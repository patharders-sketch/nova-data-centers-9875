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ildings" sheetId="2" state="visible" r:id="rId2"/>
    <sheet xmlns:r="http://schemas.openxmlformats.org/officeDocument/2006/relationships" name="Applications-Projects" sheetId="3" state="visible" r:id="rId3"/>
    <sheet xmlns:r="http://schemas.openxmlformats.org/officeDocument/2006/relationships" name="PWC-Summary" sheetId="4" state="visible" r:id="rId4"/>
    <sheet xmlns:r="http://schemas.openxmlformats.org/officeDocument/2006/relationships" name="PWC-Projects" sheetId="5" state="visible" r:id="rId5"/>
    <sheet xmlns:r="http://schemas.openxmlformats.org/officeDocument/2006/relationships" name="PWC-Buildings" sheetId="6" state="visible" r:id="rId6"/>
    <sheet xmlns:r="http://schemas.openxmlformats.org/officeDocument/2006/relationships" name="LDN-Summary" sheetId="7" state="visible" r:id="rId7"/>
    <sheet xmlns:r="http://schemas.openxmlformats.org/officeDocument/2006/relationships" name="LDN-Applications" sheetId="8" state="visible" r:id="rId8"/>
    <sheet xmlns:r="http://schemas.openxmlformats.org/officeDocument/2006/relationships" name="LDN-Buildings" sheetId="9" state="visible" r:id="rId9"/>
    <sheet xmlns:r="http://schemas.openxmlformats.org/officeDocument/2006/relationships" name="LDN-Planning areas" sheetId="10" state="visible" r:id="rId10"/>
  </sheets>
  <definedNames>
    <definedName name="_xlnm._FilterDatabase" localSheetId="1" hidden="1">'Buildings'!$A$1:$P$471</definedName>
    <definedName name="_xlnm._FilterDatabase" localSheetId="2" hidden="1">'Applications-Projects'!$A$1:$Q$362</definedName>
    <definedName name="_xlnm._FilterDatabase" localSheetId="4" hidden="1">'PWC-Projects'!$A$1:$AH$89</definedName>
    <definedName name="_xlnm._FilterDatabase" localSheetId="5" hidden="1">'PWC-Buildings'!$A$1:$R$248</definedName>
    <definedName name="_xlnm._FilterDatabase" localSheetId="7" hidden="1">'LDN-Applications'!$A$1:$O$274</definedName>
    <definedName name="_xlnm._FilterDatabase" localSheetId="8" hidden="1">'LDN-Buildings'!$A$1:$M$224</definedName>
    <definedName name="_xlnm._FilterDatabase" localSheetId="9" hidden="1">'LDN-Planning areas'!$A$1:$H$62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60" customWidth="1" min="1" max="1"/>
    <col width="18" customWidth="1" min="2" max="2"/>
    <col width="18" customWidth="1" min="3" max="3"/>
    <col width="18" customWidth="1" min="4" max="4"/>
  </cols>
  <sheetData>
    <row r="1">
      <c r="A1" s="1" t="inlineStr">
        <is>
          <t>Northern Virginia data centers: Prince William and Loudoun counties (public county GIS data, pulled Oct 15, 2026)</t>
        </is>
      </c>
    </row>
    <row r="2">
      <c r="A2" t="inlineStr">
        <is>
          <t>Sources: Prince William County GIS (gisweb.pwcva.gov) + ePortal; Loudoun County GIS (logis.loudoun.gov). Common status set mapped by build.py.</t>
        </is>
      </c>
    </row>
    <row r="4">
      <c r="A4" s="2" t="inlineStr">
        <is>
          <t>1. Buildings on the map (counts by county and status)</t>
        </is>
      </c>
    </row>
    <row r="5">
      <c r="A5" s="3" t="inlineStr">
        <is>
          <t>Status</t>
        </is>
      </c>
      <c r="B5" s="3" t="inlineStr">
        <is>
          <t>Prince William</t>
        </is>
      </c>
      <c r="C5" s="3" t="inlineStr">
        <is>
          <t>Loudoun</t>
        </is>
      </c>
      <c r="D5" s="3" t="inlineStr">
        <is>
          <t>Both counties</t>
        </is>
      </c>
    </row>
    <row r="6">
      <c r="A6" t="inlineStr">
        <is>
          <t>Existing/Completed</t>
        </is>
      </c>
      <c r="B6" t="n">
        <v>59</v>
      </c>
      <c r="C6" t="n">
        <v>184</v>
      </c>
      <c r="D6" t="n">
        <v>243</v>
      </c>
    </row>
    <row r="7">
      <c r="A7" t="inlineStr">
        <is>
          <t>Under construction</t>
        </is>
      </c>
      <c r="B7" t="n">
        <v>29</v>
      </c>
      <c r="C7" t="n">
        <v>39</v>
      </c>
      <c r="D7" t="n">
        <v>68</v>
      </c>
    </row>
    <row r="8">
      <c r="A8" t="inlineStr">
        <is>
          <t>Approved/Planned</t>
        </is>
      </c>
      <c r="B8" t="n">
        <v>91</v>
      </c>
      <c r="C8" t="n">
        <v>0</v>
      </c>
      <c r="D8" t="n">
        <v>91</v>
      </c>
    </row>
    <row r="9">
      <c r="A9" t="inlineStr">
        <is>
          <t>Pending</t>
        </is>
      </c>
      <c r="B9" t="n">
        <v>31</v>
      </c>
      <c r="C9" t="n">
        <v>0</v>
      </c>
      <c r="D9" t="n">
        <v>31</v>
      </c>
    </row>
    <row r="10">
      <c r="A10" t="inlineStr">
        <is>
          <t>Denied/Void</t>
        </is>
      </c>
      <c r="B10" t="n">
        <v>37</v>
      </c>
      <c r="C10" t="n">
        <v>0</v>
      </c>
      <c r="D10" t="n">
        <v>37</v>
      </c>
    </row>
    <row r="11">
      <c r="A11" s="2" t="inlineStr">
        <is>
          <t>Total</t>
        </is>
      </c>
      <c r="B11" s="2">
        <f>SUM(B6:B10)</f>
        <v/>
      </c>
      <c r="C11" s="2">
        <f>SUM(C6:C10)</f>
        <v/>
      </c>
      <c r="D11" s="2">
        <f>SUM(D6:D10)</f>
        <v/>
      </c>
    </row>
    <row r="13">
      <c r="A13" s="2" t="inlineStr">
        <is>
          <t>2. Applications/projects items drawn on the map (Loudoun application squares + PWC projects with no buildings that have geometry)</t>
        </is>
      </c>
    </row>
    <row r="14">
      <c r="A14" s="3" t="inlineStr">
        <is>
          <t>Status</t>
        </is>
      </c>
      <c r="B14" s="3" t="inlineStr">
        <is>
          <t>Prince William</t>
        </is>
      </c>
      <c r="C14" s="3" t="inlineStr">
        <is>
          <t>Loudoun</t>
        </is>
      </c>
      <c r="D14" s="3" t="inlineStr">
        <is>
          <t>Both counties</t>
        </is>
      </c>
    </row>
    <row r="15">
      <c r="A15" t="inlineStr">
        <is>
          <t>Existing/Completed</t>
        </is>
      </c>
      <c r="B15" t="n">
        <v>0</v>
      </c>
      <c r="C15" t="n">
        <v>0</v>
      </c>
      <c r="D15" t="n">
        <v>0</v>
      </c>
    </row>
    <row r="16">
      <c r="A16" t="inlineStr">
        <is>
          <t>Under construction</t>
        </is>
      </c>
      <c r="B16" t="n">
        <v>0</v>
      </c>
      <c r="C16" t="n">
        <v>0</v>
      </c>
      <c r="D16" t="n">
        <v>0</v>
      </c>
    </row>
    <row r="17">
      <c r="A17" t="inlineStr">
        <is>
          <t>Approved/Planned</t>
        </is>
      </c>
      <c r="B17" t="n">
        <v>2</v>
      </c>
      <c r="C17" t="n">
        <v>204</v>
      </c>
      <c r="D17" t="n">
        <v>206</v>
      </c>
    </row>
    <row r="18">
      <c r="A18" t="inlineStr">
        <is>
          <t>Pending</t>
        </is>
      </c>
      <c r="B18" t="n">
        <v>0</v>
      </c>
      <c r="C18" t="n">
        <v>69</v>
      </c>
      <c r="D18" t="n">
        <v>69</v>
      </c>
    </row>
    <row r="19">
      <c r="A19" t="inlineStr">
        <is>
          <t>Denied/Void</t>
        </is>
      </c>
      <c r="B19" t="n">
        <v>0</v>
      </c>
      <c r="C19" t="n">
        <v>0</v>
      </c>
      <c r="D19" t="n">
        <v>0</v>
      </c>
    </row>
    <row r="20">
      <c r="A20" s="2" t="inlineStr">
        <is>
          <t>Total</t>
        </is>
      </c>
      <c r="B20" s="2">
        <f>SUM(B15:B19)</f>
        <v/>
      </c>
      <c r="C20" s="2">
        <f>SUM(C15:C19)</f>
        <v/>
      </c>
      <c r="D20" s="2">
        <f>SUM(D15:D19)</f>
        <v/>
      </c>
    </row>
    <row r="22">
      <c r="A22" s="2" t="inlineStr">
        <is>
          <t>3. All rows on the 'Applications-Projects' sheet (88 PWC projects + 273 Loudoun applications; PWC: 2 drawn on map, 76 represented by their buildings, 10 skipped for lacking geometry)</t>
        </is>
      </c>
    </row>
    <row r="23">
      <c r="A23" s="3" t="inlineStr">
        <is>
          <t>Status</t>
        </is>
      </c>
      <c r="B23" s="3" t="inlineStr">
        <is>
          <t>Prince William</t>
        </is>
      </c>
      <c r="C23" s="3" t="inlineStr">
        <is>
          <t>Loudoun</t>
        </is>
      </c>
      <c r="D23" s="3" t="inlineStr">
        <is>
          <t>Both counties</t>
        </is>
      </c>
    </row>
    <row r="24">
      <c r="A24" t="inlineStr">
        <is>
          <t>Existing/Completed</t>
        </is>
      </c>
      <c r="B24" t="n">
        <v>10</v>
      </c>
      <c r="C24" t="n">
        <v>0</v>
      </c>
      <c r="D24" t="n">
        <v>10</v>
      </c>
    </row>
    <row r="25">
      <c r="A25" t="inlineStr">
        <is>
          <t>Under construction</t>
        </is>
      </c>
      <c r="B25" t="n">
        <v>13</v>
      </c>
      <c r="C25" t="n">
        <v>0</v>
      </c>
      <c r="D25" t="n">
        <v>13</v>
      </c>
    </row>
    <row r="26">
      <c r="A26" t="inlineStr">
        <is>
          <t>Approved/Planned</t>
        </is>
      </c>
      <c r="B26" t="n">
        <v>42</v>
      </c>
      <c r="C26" t="n">
        <v>204</v>
      </c>
      <c r="D26" t="n">
        <v>246</v>
      </c>
    </row>
    <row r="27">
      <c r="A27" t="inlineStr">
        <is>
          <t>Pending</t>
        </is>
      </c>
      <c r="B27" t="n">
        <v>13</v>
      </c>
      <c r="C27" t="n">
        <v>69</v>
      </c>
      <c r="D27" t="n">
        <v>82</v>
      </c>
    </row>
    <row r="28">
      <c r="A28" t="inlineStr">
        <is>
          <t>Denied/Void</t>
        </is>
      </c>
      <c r="B28" t="n">
        <v>10</v>
      </c>
      <c r="C28" t="n">
        <v>0</v>
      </c>
      <c r="D28" t="n">
        <v>10</v>
      </c>
    </row>
    <row r="29">
      <c r="A29" s="2" t="inlineStr">
        <is>
          <t>Total</t>
        </is>
      </c>
      <c r="B29" s="2">
        <f>SUM(B24:B28)</f>
        <v/>
      </c>
      <c r="C29" s="2">
        <f>SUM(C24:C28)</f>
        <v/>
      </c>
      <c r="D29" s="2">
        <f>SUM(D24:D28)</f>
        <v/>
      </c>
    </row>
    <row r="31">
      <c r="A31" s="2" t="inlineStr">
        <is>
          <t>NOTES</t>
        </is>
      </c>
    </row>
    <row r="32">
      <c r="A32" t="inlineStr">
        <is>
          <t>Map numbers are unique and continuous 1-745: 1-247 PWC buildings; 248-470 Loudoun buildings (Loudoun original # + 247); 471-743 Loudoun applications (original # + 247); 744-745 PWC projects with no buildings that have geometry.</t>
        </is>
      </c>
    </row>
    <row r="33">
      <c r="A33" t="inlineStr">
        <is>
          <t>Status mapping: PWC Completed -&gt; Existing/Completed; Under Construction -&gt; Under construction; Planned -&gt; Approved/Planned; Pending -&gt; Pending; Denied -&gt; Denied/Void. Loudoun: Existing/operating -&gt; Existing/Completed; Under construction/permitted, not complete -&gt; Under construction; Approved (both variants) -&gt; Approved/Planned; Pending application -&gt; Pending.</t>
        </is>
      </c>
    </row>
    <row r="34">
      <c r="A34" t="inlineStr">
        <is>
          <t>Loudoun applications with data center buildings already on site (132) are mapped to Approved/Planned (entitlement approved); their buildings carry the built status. 'Source status' column keeps the original label.</t>
        </is>
      </c>
    </row>
    <row r="35">
      <c r="A35" t="inlineStr">
        <is>
          <t>PWC Digital Gateway North/South and Compass buildings (37) are labeled 'Denied/Void' (constant PWC_DG_STATUS in build.py; label pending Patrick's decision). County note: the county states these rezonings (Digital Gateway North/South, Compass) were voided by the Court of Appeals on 7/29/2026. Status label here is currently "Denied" and is under review.</t>
        </is>
      </c>
    </row>
    <row r="36">
      <c r="A36" t="inlineStr">
        <is>
          <t>Basis: PWC building statuses are county-stated labels; PWC project stages are rule-derived (inferred). Loudoun building statuses and built/not-built for applications are inferred (see Basis note column).</t>
        </is>
      </c>
    </row>
    <row r="37">
      <c r="A37" t="inlineStr">
        <is>
          <t>Detail sheets prefixed PWC- and LDN- are the original per-county sheets; a leading Combined # column was added to those that carry map numbers (PWC Buildings No. already equals Combined #).</t>
        </is>
      </c>
    </row>
    <row r="38">
      <c r="A38" t="inlineStr">
        <is>
          <t>Applicant/owner, MW and (for Loudoun) building square footage are not available in the public county layers.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7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0" customWidth="1" min="4" max="4"/>
    <col width="17" customWidth="1" min="5" max="5"/>
    <col width="14" customWidth="1" min="6" max="6"/>
    <col width="20" customWidth="1" min="7" max="7"/>
    <col width="10" customWidth="1" min="8" max="8"/>
    <col width="14" customWidth="1" min="9" max="9"/>
    <col width="12" customWidth="1" min="10" max="10"/>
    <col width="14" customWidth="1" min="11" max="11"/>
    <col width="15" customWidth="1" min="12" max="12"/>
    <col width="14" customWidth="1" min="13" max="13"/>
    <col width="10" customWidth="1" min="14" max="14"/>
    <col width="10" customWidth="1" min="15" max="15"/>
    <col width="10" customWidth="1" min="16" max="16"/>
  </cols>
  <sheetData>
    <row r="1">
      <c r="A1" s="3" t="inlineStr">
        <is>
          <t>Map #</t>
        </is>
      </c>
      <c r="B1" s="3" t="inlineStr">
        <is>
          <t>County</t>
        </is>
      </c>
      <c r="C1" s="3" t="inlineStr">
        <is>
          <t>Name / address</t>
        </is>
      </c>
      <c r="D1" s="3" t="inlineStr">
        <is>
          <t>Status</t>
        </is>
      </c>
      <c r="E1" s="3" t="inlineStr">
        <is>
          <t>Source status</t>
        </is>
      </c>
      <c r="F1" s="3" t="inlineStr">
        <is>
          <t>Basis type</t>
        </is>
      </c>
      <c r="G1" s="3" t="inlineStr">
        <is>
          <t>Campus / project</t>
        </is>
      </c>
      <c r="H1" s="3" t="inlineStr">
        <is>
          <t>Case</t>
        </is>
      </c>
      <c r="I1" s="3" t="inlineStr">
        <is>
          <t>GPIN / PIN</t>
        </is>
      </c>
      <c r="J1" s="3" t="inlineStr">
        <is>
          <t>GFA (sf)</t>
        </is>
      </c>
      <c r="K1" s="3" t="inlineStr">
        <is>
          <t>Year built</t>
        </is>
      </c>
      <c r="L1" s="3" t="inlineStr">
        <is>
          <t>County note</t>
        </is>
      </c>
      <c r="M1" s="3" t="inlineStr">
        <is>
          <t>Basis note</t>
        </is>
      </c>
      <c r="N1" s="3" t="inlineStr">
        <is>
          <t>Source</t>
        </is>
      </c>
      <c r="O1" s="3" t="inlineStr">
        <is>
          <t>Lat</t>
        </is>
      </c>
      <c r="P1" s="3" t="inlineStr">
        <is>
          <t>Lon</t>
        </is>
      </c>
    </row>
    <row r="2">
      <c r="A2" t="n">
        <v>1</v>
      </c>
      <c r="B2" t="inlineStr">
        <is>
          <t>Prince William</t>
        </is>
      </c>
      <c r="C2" t="inlineStr">
        <is>
          <t>Wellington Road East</t>
        </is>
      </c>
      <c r="D2" t="inlineStr">
        <is>
          <t>Approved/Planned</t>
        </is>
      </c>
      <c r="E2" t="inlineStr">
        <is>
          <t>Planned</t>
        </is>
      </c>
      <c r="F2" t="inlineStr">
        <is>
          <t>stated</t>
        </is>
      </c>
      <c r="G2" t="inlineStr">
        <is>
          <t>5451 Wellington Road East</t>
        </is>
      </c>
      <c r="H2" t="inlineStr">
        <is>
          <t>REZ1958-0021</t>
        </is>
      </c>
      <c r="I2" t="inlineStr">
        <is>
          <t>7497-13-3597</t>
        </is>
      </c>
      <c r="J2" t="n">
        <v>116550</v>
      </c>
      <c r="L2" t="inlineStr"/>
      <c r="M2" t="inlineStr">
        <is>
          <t>Stated: building status 'Planned' is the county's own label (PWC Build_Out_Analysis layer 9).</t>
        </is>
      </c>
      <c r="N2" t="inlineStr">
        <is>
          <t>https://gisweb.pwcva.gov/arcgis/rest/services/Planning/Build_Out_Analysis/MapServer/9/242?f=html</t>
        </is>
      </c>
      <c r="O2" t="n">
        <v>38.795215</v>
      </c>
      <c r="P2" t="n">
        <v>-77.59327399999999</v>
      </c>
    </row>
    <row r="3">
      <c r="A3" t="n">
        <v>2</v>
      </c>
      <c r="B3" t="inlineStr">
        <is>
          <t>Prince William</t>
        </is>
      </c>
      <c r="C3" t="inlineStr">
        <is>
          <t>Wellington Road West</t>
        </is>
      </c>
      <c r="D3" t="inlineStr">
        <is>
          <t>Approved/Planned</t>
        </is>
      </c>
      <c r="E3" t="inlineStr">
        <is>
          <t>Planned</t>
        </is>
      </c>
      <c r="F3" t="inlineStr">
        <is>
          <t>stated</t>
        </is>
      </c>
      <c r="G3" t="inlineStr">
        <is>
          <t>5451 Wellington Road West</t>
        </is>
      </c>
      <c r="H3" t="inlineStr">
        <is>
          <t>REZ1958-0021</t>
        </is>
      </c>
      <c r="I3" t="inlineStr">
        <is>
          <t>7497-04-7126</t>
        </is>
      </c>
      <c r="J3" t="n">
        <v>255500</v>
      </c>
      <c r="L3" t="inlineStr"/>
      <c r="M3" t="inlineStr">
        <is>
          <t>Stated: building status 'Planned' is the county's own label (PWC Build_Out_Analysis layer 9).</t>
        </is>
      </c>
      <c r="N3" t="inlineStr">
        <is>
          <t>https://gisweb.pwcva.gov/arcgis/rest/services/Planning/Build_Out_Analysis/MapServer/9/234?f=html</t>
        </is>
      </c>
      <c r="O3" t="n">
        <v>38.795788</v>
      </c>
      <c r="P3" t="n">
        <v>-77.595766</v>
      </c>
    </row>
    <row r="4">
      <c r="A4" t="n">
        <v>3</v>
      </c>
      <c r="B4" t="inlineStr">
        <is>
          <t>Prince William</t>
        </is>
      </c>
      <c r="C4" t="inlineStr">
        <is>
          <t>Aligned Data Centers IAD05</t>
        </is>
      </c>
      <c r="D4" t="inlineStr">
        <is>
          <t>Approved/Planned</t>
        </is>
      </c>
      <c r="E4" t="inlineStr">
        <is>
          <t>Planned</t>
        </is>
      </c>
      <c r="F4" t="inlineStr">
        <is>
          <t>stated</t>
        </is>
      </c>
      <c r="G4" t="inlineStr">
        <is>
          <t>Aligned Manassas</t>
        </is>
      </c>
      <c r="H4" t="inlineStr">
        <is>
          <t>REZ2019-00022</t>
        </is>
      </c>
      <c r="I4" t="inlineStr">
        <is>
          <t>7597-95-8953</t>
        </is>
      </c>
      <c r="J4" t="n">
        <v>432742</v>
      </c>
      <c r="L4" t="inlineStr"/>
      <c r="M4" t="inlineStr">
        <is>
          <t>Stated: building status 'Planned' is the county's own label (PWC Build_Out_Analysis layer 9).</t>
        </is>
      </c>
      <c r="N4" t="inlineStr">
        <is>
          <t>https://gisweb.pwcva.gov/arcgis/rest/services/Planning/Build_Out_Analysis/MapServer/9/75?f=html</t>
        </is>
      </c>
      <c r="O4" t="n">
        <v>38.798844</v>
      </c>
      <c r="P4" t="n">
        <v>-77.52787600000001</v>
      </c>
    </row>
    <row r="5">
      <c r="A5" t="n">
        <v>4</v>
      </c>
      <c r="B5" t="inlineStr">
        <is>
          <t>Prince William</t>
        </is>
      </c>
      <c r="C5" t="inlineStr">
        <is>
          <t>Amazon Bethlehem Technology Park DC18</t>
        </is>
      </c>
      <c r="D5" t="inlineStr">
        <is>
          <t>Existing/Completed</t>
        </is>
      </c>
      <c r="E5" t="inlineStr">
        <is>
          <t>Completed</t>
        </is>
      </c>
      <c r="F5" t="inlineStr">
        <is>
          <t>stated</t>
        </is>
      </c>
      <c r="G5" t="inlineStr">
        <is>
          <t>Amazon Bethlehem Technology Park</t>
        </is>
      </c>
      <c r="H5" t="inlineStr">
        <is>
          <t>REZ2016-00024</t>
        </is>
      </c>
      <c r="I5" t="inlineStr">
        <is>
          <t>7596-58-8732</t>
        </is>
      </c>
      <c r="J5" t="n">
        <v>211816</v>
      </c>
      <c r="K5" t="n">
        <v>2017</v>
      </c>
      <c r="L5" t="inlineStr"/>
      <c r="M5" t="inlineStr">
        <is>
          <t>Stated: building status 'Completed' is the county's own label (PWC Build_Out_Analysis layer 9).</t>
        </is>
      </c>
      <c r="N5" t="inlineStr">
        <is>
          <t>https://gisweb.pwcva.gov/arcgis/rest/services/Planning/Build_Out_Analysis/MapServer/9/14?f=html</t>
        </is>
      </c>
      <c r="O5" t="n">
        <v>38.778582</v>
      </c>
      <c r="P5" t="n">
        <v>-77.53940900000001</v>
      </c>
    </row>
    <row r="6">
      <c r="A6" t="n">
        <v>5</v>
      </c>
      <c r="B6" t="inlineStr">
        <is>
          <t>Prince William</t>
        </is>
      </c>
      <c r="C6" t="inlineStr">
        <is>
          <t>Amazon Bethlehem Technology Park DC19</t>
        </is>
      </c>
      <c r="D6" t="inlineStr">
        <is>
          <t>Existing/Completed</t>
        </is>
      </c>
      <c r="E6" t="inlineStr">
        <is>
          <t>Completed</t>
        </is>
      </c>
      <c r="F6" t="inlineStr">
        <is>
          <t>stated</t>
        </is>
      </c>
      <c r="G6" t="inlineStr">
        <is>
          <t>Amazon Bethlehem Technology Park</t>
        </is>
      </c>
      <c r="H6" t="inlineStr">
        <is>
          <t>REZ2016-00024</t>
        </is>
      </c>
      <c r="I6" t="inlineStr">
        <is>
          <t>7596-58-8732</t>
        </is>
      </c>
      <c r="J6" t="n">
        <v>148580</v>
      </c>
      <c r="K6" t="n">
        <v>2017</v>
      </c>
      <c r="L6" t="inlineStr"/>
      <c r="M6" t="inlineStr">
        <is>
          <t>Stated: building status 'Completed' is the county's own label (PWC Build_Out_Analysis layer 9).</t>
        </is>
      </c>
      <c r="N6" t="inlineStr">
        <is>
          <t>https://gisweb.pwcva.gov/arcgis/rest/services/Planning/Build_Out_Analysis/MapServer/9/15?f=html</t>
        </is>
      </c>
      <c r="O6" t="n">
        <v>38.77937</v>
      </c>
      <c r="P6" t="n">
        <v>-77.541713</v>
      </c>
    </row>
    <row r="7">
      <c r="A7" t="n">
        <v>6</v>
      </c>
      <c r="B7" t="inlineStr">
        <is>
          <t>Prince William</t>
        </is>
      </c>
      <c r="C7" t="inlineStr">
        <is>
          <t>Amazon Bethlehem Technology Park DC20</t>
        </is>
      </c>
      <c r="D7" t="inlineStr">
        <is>
          <t>Existing/Completed</t>
        </is>
      </c>
      <c r="E7" t="inlineStr">
        <is>
          <t>Completed</t>
        </is>
      </c>
      <c r="F7" t="inlineStr">
        <is>
          <t>stated</t>
        </is>
      </c>
      <c r="G7" t="inlineStr">
        <is>
          <t>Amazon Bethlehem Technology Park</t>
        </is>
      </c>
      <c r="H7" t="inlineStr">
        <is>
          <t>REZ2016-00024</t>
        </is>
      </c>
      <c r="I7" t="inlineStr">
        <is>
          <t>7596-58-8732</t>
        </is>
      </c>
      <c r="J7" t="n">
        <v>211816</v>
      </c>
      <c r="K7" t="n">
        <v>2017</v>
      </c>
      <c r="L7" t="inlineStr"/>
      <c r="M7" t="inlineStr">
        <is>
          <t>Stated: building status 'Completed' is the county's own label (PWC Build_Out_Analysis layer 9).</t>
        </is>
      </c>
      <c r="N7" t="inlineStr">
        <is>
          <t>https://gisweb.pwcva.gov/arcgis/rest/services/Planning/Build_Out_Analysis/MapServer/9/16?f=html</t>
        </is>
      </c>
      <c r="O7" t="n">
        <v>38.779327</v>
      </c>
      <c r="P7" t="n">
        <v>-77.542783</v>
      </c>
    </row>
    <row r="8">
      <c r="A8" t="n">
        <v>7</v>
      </c>
      <c r="B8" t="inlineStr">
        <is>
          <t>Prince William</t>
        </is>
      </c>
      <c r="C8" t="inlineStr">
        <is>
          <t>Amazon Bethlehem Technology Park DC23</t>
        </is>
      </c>
      <c r="D8" t="inlineStr">
        <is>
          <t>Existing/Completed</t>
        </is>
      </c>
      <c r="E8" t="inlineStr">
        <is>
          <t>Completed</t>
        </is>
      </c>
      <c r="F8" t="inlineStr">
        <is>
          <t>stated</t>
        </is>
      </c>
      <c r="G8" t="inlineStr">
        <is>
          <t>Amazon Bethlehem Technology Park</t>
        </is>
      </c>
      <c r="H8" t="inlineStr">
        <is>
          <t>REZ2016-00024</t>
        </is>
      </c>
      <c r="I8" t="inlineStr">
        <is>
          <t>7596-58-8732</t>
        </is>
      </c>
      <c r="J8" t="n">
        <v>147530</v>
      </c>
      <c r="K8" t="n">
        <v>2020</v>
      </c>
      <c r="L8" t="inlineStr"/>
      <c r="M8" t="inlineStr">
        <is>
          <t>Stated: building status 'Completed' is the county's own label (PWC Build_Out_Analysis layer 9).</t>
        </is>
      </c>
      <c r="N8" t="inlineStr">
        <is>
          <t>https://gisweb.pwcva.gov/arcgis/rest/services/Planning/Build_Out_Analysis/MapServer/9/13?f=html</t>
        </is>
      </c>
      <c r="O8" t="n">
        <v>38.780184</v>
      </c>
      <c r="P8" t="n">
        <v>-77.539795</v>
      </c>
    </row>
    <row r="9">
      <c r="A9" t="n">
        <v>8</v>
      </c>
      <c r="B9" t="inlineStr">
        <is>
          <t>Prince William</t>
        </is>
      </c>
      <c r="C9" t="inlineStr">
        <is>
          <t>Amazon Colchester Industrial Park 1</t>
        </is>
      </c>
      <c r="D9" t="inlineStr">
        <is>
          <t>Approved/Planned</t>
        </is>
      </c>
      <c r="E9" t="inlineStr">
        <is>
          <t>Planned</t>
        </is>
      </c>
      <c r="F9" t="inlineStr">
        <is>
          <t>stated</t>
        </is>
      </c>
      <c r="G9" t="inlineStr">
        <is>
          <t>Amazon Colchester Industrial Park</t>
        </is>
      </c>
      <c r="H9" t="inlineStr">
        <is>
          <t>REZ2024-00006</t>
        </is>
      </c>
      <c r="I9" t="inlineStr">
        <is>
          <t>7991-45-0874</t>
        </is>
      </c>
      <c r="J9" t="n">
        <v>224173</v>
      </c>
      <c r="L9" t="inlineStr"/>
      <c r="M9" t="inlineStr">
        <is>
          <t>Stated: building status 'Planned' is the county's own label (PWC Build_Out_Analysis layer 9).</t>
        </is>
      </c>
      <c r="N9" t="inlineStr">
        <is>
          <t>https://gisweb.pwcva.gov/arcgis/rest/services/Planning/Build_Out_Analysis/MapServer/9/134?f=html</t>
        </is>
      </c>
      <c r="O9" t="n">
        <v>38.630186</v>
      </c>
      <c r="P9" t="n">
        <v>-77.41264099999999</v>
      </c>
    </row>
    <row r="10">
      <c r="A10" t="n">
        <v>9</v>
      </c>
      <c r="B10" t="inlineStr">
        <is>
          <t>Prince William</t>
        </is>
      </c>
      <c r="C10" t="inlineStr">
        <is>
          <t>Amazon Colchester Industrial Park 2</t>
        </is>
      </c>
      <c r="D10" t="inlineStr">
        <is>
          <t>Approved/Planned</t>
        </is>
      </c>
      <c r="E10" t="inlineStr">
        <is>
          <t>Planned</t>
        </is>
      </c>
      <c r="F10" t="inlineStr">
        <is>
          <t>stated</t>
        </is>
      </c>
      <c r="G10" t="inlineStr">
        <is>
          <t>Amazon Colchester Industrial Park</t>
        </is>
      </c>
      <c r="H10" t="inlineStr">
        <is>
          <t>REZ2024-00006</t>
        </is>
      </c>
      <c r="I10" t="inlineStr">
        <is>
          <t>7991-45-0874</t>
        </is>
      </c>
      <c r="J10" t="n">
        <v>224173</v>
      </c>
      <c r="L10" t="inlineStr"/>
      <c r="M10" t="inlineStr">
        <is>
          <t>Stated: building status 'Planned' is the county's own label (PWC Build_Out_Analysis layer 9).</t>
        </is>
      </c>
      <c r="N10" t="inlineStr">
        <is>
          <t>https://gisweb.pwcva.gov/arcgis/rest/services/Planning/Build_Out_Analysis/MapServer/9/132?f=html</t>
        </is>
      </c>
      <c r="O10" t="n">
        <v>38.633593</v>
      </c>
      <c r="P10" t="n">
        <v>-77.413239</v>
      </c>
    </row>
    <row r="11">
      <c r="A11" t="n">
        <v>10</v>
      </c>
      <c r="B11" t="inlineStr">
        <is>
          <t>Prince William</t>
        </is>
      </c>
      <c r="C11" t="inlineStr">
        <is>
          <t>Amazon AWS IAD-130</t>
        </is>
      </c>
      <c r="D11" t="inlineStr">
        <is>
          <t>Existing/Completed</t>
        </is>
      </c>
      <c r="E11" t="inlineStr">
        <is>
          <t>Completed</t>
        </is>
      </c>
      <c r="F11" t="inlineStr">
        <is>
          <t>stated</t>
        </is>
      </c>
      <c r="G11" t="inlineStr">
        <is>
          <t>Amazon Freedom Boulevard</t>
        </is>
      </c>
      <c r="H11" t="inlineStr">
        <is>
          <t>REZ1989-0022</t>
        </is>
      </c>
      <c r="I11" t="inlineStr">
        <is>
          <t>7696-21-7764</t>
        </is>
      </c>
      <c r="J11" t="n">
        <v>204211</v>
      </c>
      <c r="K11" t="n">
        <v>2020</v>
      </c>
      <c r="L11" t="inlineStr"/>
      <c r="M11" t="inlineStr">
        <is>
          <t>Stated: building status 'Completed' is the county's own label (PWC Build_Out_Analysis layer 9).</t>
        </is>
      </c>
      <c r="N11" t="inlineStr">
        <is>
          <t>https://gisweb.pwcva.gov/arcgis/rest/services/Planning/Build_Out_Analysis/MapServer/9/27?f=html</t>
        </is>
      </c>
      <c r="O11" t="n">
        <v>38.760212</v>
      </c>
      <c r="P11" t="n">
        <v>-77.51894</v>
      </c>
    </row>
    <row r="12">
      <c r="A12" t="n">
        <v>11</v>
      </c>
      <c r="B12" t="inlineStr">
        <is>
          <t>Prince William</t>
        </is>
      </c>
      <c r="C12" t="inlineStr">
        <is>
          <t>Amazon AWS IAD-131</t>
        </is>
      </c>
      <c r="D12" t="inlineStr">
        <is>
          <t>Existing/Completed</t>
        </is>
      </c>
      <c r="E12" t="inlineStr">
        <is>
          <t>Completed</t>
        </is>
      </c>
      <c r="F12" t="inlineStr">
        <is>
          <t>stated</t>
        </is>
      </c>
      <c r="G12" t="inlineStr">
        <is>
          <t>Amazon Freedom Boulevard</t>
        </is>
      </c>
      <c r="H12" t="inlineStr">
        <is>
          <t>REZ1989-0022</t>
        </is>
      </c>
      <c r="I12" t="inlineStr">
        <is>
          <t>7696-21-7764</t>
        </is>
      </c>
      <c r="J12" t="n">
        <v>204211</v>
      </c>
      <c r="K12" t="n">
        <v>2020</v>
      </c>
      <c r="L12" t="inlineStr"/>
      <c r="M12" t="inlineStr">
        <is>
          <t>Stated: building status 'Completed' is the county's own label (PWC Build_Out_Analysis layer 9).</t>
        </is>
      </c>
      <c r="N12" t="inlineStr">
        <is>
          <t>https://gisweb.pwcva.gov/arcgis/rest/services/Planning/Build_Out_Analysis/MapServer/9/28?f=html</t>
        </is>
      </c>
      <c r="O12" t="n">
        <v>38.760967</v>
      </c>
      <c r="P12" t="n">
        <v>-77.51844800000001</v>
      </c>
    </row>
    <row r="13">
      <c r="A13" t="n">
        <v>12</v>
      </c>
      <c r="B13" t="inlineStr">
        <is>
          <t>Prince William</t>
        </is>
      </c>
      <c r="C13" t="inlineStr">
        <is>
          <t>Amazon AWS IAD-104</t>
        </is>
      </c>
      <c r="D13" t="inlineStr">
        <is>
          <t>Existing/Completed</t>
        </is>
      </c>
      <c r="E13" t="inlineStr">
        <is>
          <t>Completed</t>
        </is>
      </c>
      <c r="F13" t="inlineStr">
        <is>
          <t>stated</t>
        </is>
      </c>
      <c r="G13" t="inlineStr">
        <is>
          <t>Amazon Innovation Drive</t>
        </is>
      </c>
      <c r="H13" t="inlineStr">
        <is>
          <t>PLN2007-00749</t>
        </is>
      </c>
      <c r="I13" t="inlineStr">
        <is>
          <t>7695-17-9607</t>
        </is>
      </c>
      <c r="J13" t="n">
        <v>213320</v>
      </c>
      <c r="K13" t="n">
        <v>2024</v>
      </c>
      <c r="L13" t="inlineStr"/>
      <c r="M13" t="inlineStr">
        <is>
          <t>Stated: building status 'Completed' is the county's own label (PWC Build_Out_Analysis layer 9).</t>
        </is>
      </c>
      <c r="N13" t="inlineStr">
        <is>
          <t>https://gisweb.pwcva.gov/arcgis/rest/services/Planning/Build_Out_Analysis/MapServer/9/20?f=html</t>
        </is>
      </c>
      <c r="O13" t="n">
        <v>38.748312</v>
      </c>
      <c r="P13" t="n">
        <v>-77.520056</v>
      </c>
    </row>
    <row r="14">
      <c r="A14" t="n">
        <v>13</v>
      </c>
      <c r="B14" t="inlineStr">
        <is>
          <t>Prince William</t>
        </is>
      </c>
      <c r="C14" t="inlineStr">
        <is>
          <t>Amazon AWS IAD-105</t>
        </is>
      </c>
      <c r="D14" t="inlineStr">
        <is>
          <t>Existing/Completed</t>
        </is>
      </c>
      <c r="E14" t="inlineStr">
        <is>
          <t>Completed</t>
        </is>
      </c>
      <c r="F14" t="inlineStr">
        <is>
          <t>stated</t>
        </is>
      </c>
      <c r="G14" t="inlineStr">
        <is>
          <t>Amazon Innovation Drive</t>
        </is>
      </c>
      <c r="H14" t="inlineStr">
        <is>
          <t>PLN2007-00749</t>
        </is>
      </c>
      <c r="I14" t="inlineStr">
        <is>
          <t>7695-26-4469</t>
        </is>
      </c>
      <c r="J14" t="n">
        <v>223757</v>
      </c>
      <c r="K14" t="n">
        <v>2024</v>
      </c>
      <c r="L14" t="inlineStr"/>
      <c r="M14" t="inlineStr">
        <is>
          <t>Stated: building status 'Completed' is the county's own label (PWC Build_Out_Analysis layer 9).</t>
        </is>
      </c>
      <c r="N14" t="inlineStr">
        <is>
          <t>https://gisweb.pwcva.gov/arcgis/rest/services/Planning/Build_Out_Analysis/MapServer/9/19?f=html</t>
        </is>
      </c>
      <c r="O14" t="n">
        <v>38.747627</v>
      </c>
      <c r="P14" t="n">
        <v>-77.51887600000001</v>
      </c>
    </row>
    <row r="15">
      <c r="A15" t="n">
        <v>14</v>
      </c>
      <c r="B15" t="inlineStr">
        <is>
          <t>Prince William</t>
        </is>
      </c>
      <c r="C15" t="inlineStr">
        <is>
          <t>Amazon AWS IAD-106</t>
        </is>
      </c>
      <c r="D15" t="inlineStr">
        <is>
          <t>Existing/Completed</t>
        </is>
      </c>
      <c r="E15" t="inlineStr">
        <is>
          <t>Completed</t>
        </is>
      </c>
      <c r="F15" t="inlineStr">
        <is>
          <t>stated</t>
        </is>
      </c>
      <c r="G15" t="inlineStr">
        <is>
          <t>Amazon Innovation Drive</t>
        </is>
      </c>
      <c r="H15" t="inlineStr">
        <is>
          <t>PLN2007-00749</t>
        </is>
      </c>
      <c r="I15" t="inlineStr">
        <is>
          <t>7695-26-7645</t>
        </is>
      </c>
      <c r="J15" t="n">
        <v>233757</v>
      </c>
      <c r="K15" t="n">
        <v>2025</v>
      </c>
      <c r="L15" t="inlineStr"/>
      <c r="M15" t="inlineStr">
        <is>
          <t>Stated: building status 'Completed' is the county's own label (PWC Build_Out_Analysis layer 9).</t>
        </is>
      </c>
      <c r="N15" t="inlineStr">
        <is>
          <t>https://gisweb.pwcva.gov/arcgis/rest/services/Planning/Build_Out_Analysis/MapServer/9/18?f=html</t>
        </is>
      </c>
      <c r="O15" t="n">
        <v>38.746959</v>
      </c>
      <c r="P15" t="n">
        <v>-77.517769</v>
      </c>
    </row>
    <row r="16">
      <c r="A16" t="n">
        <v>15</v>
      </c>
      <c r="B16" t="inlineStr">
        <is>
          <t>Prince William</t>
        </is>
      </c>
      <c r="C16" t="inlineStr">
        <is>
          <t>Amazon AWS IAD-107</t>
        </is>
      </c>
      <c r="D16" t="inlineStr">
        <is>
          <t>Existing/Completed</t>
        </is>
      </c>
      <c r="E16" t="inlineStr">
        <is>
          <t>Completed</t>
        </is>
      </c>
      <c r="F16" t="inlineStr">
        <is>
          <t>stated</t>
        </is>
      </c>
      <c r="G16" t="inlineStr">
        <is>
          <t>Amazon Innovation Drive</t>
        </is>
      </c>
      <c r="H16" t="inlineStr">
        <is>
          <t>PLN2007-00749</t>
        </is>
      </c>
      <c r="I16" t="inlineStr">
        <is>
          <t>7695-36-1324</t>
        </is>
      </c>
      <c r="J16" t="n">
        <v>216067</v>
      </c>
      <c r="K16" t="n">
        <v>2025</v>
      </c>
      <c r="L16" t="inlineStr"/>
      <c r="M16" t="inlineStr">
        <is>
          <t>Stated: building status 'Completed' is the county's own label (PWC Build_Out_Analysis layer 9).</t>
        </is>
      </c>
      <c r="N16" t="inlineStr">
        <is>
          <t>https://gisweb.pwcva.gov/arcgis/rest/services/Planning/Build_Out_Analysis/MapServer/9/17?f=html</t>
        </is>
      </c>
      <c r="O16" t="n">
        <v>38.746779</v>
      </c>
      <c r="P16" t="n">
        <v>-77.516429</v>
      </c>
    </row>
    <row r="17">
      <c r="A17" t="n">
        <v>16</v>
      </c>
      <c r="B17" t="inlineStr">
        <is>
          <t>Prince William</t>
        </is>
      </c>
      <c r="C17" t="inlineStr">
        <is>
          <t>Amazon AWS IAD-F</t>
        </is>
      </c>
      <c r="D17" t="inlineStr">
        <is>
          <t>Approved/Planned</t>
        </is>
      </c>
      <c r="E17" t="inlineStr">
        <is>
          <t>Planned</t>
        </is>
      </c>
      <c r="F17" t="inlineStr">
        <is>
          <t>stated</t>
        </is>
      </c>
      <c r="G17" t="inlineStr">
        <is>
          <t>Amazon Innovation Drive</t>
        </is>
      </c>
      <c r="H17" t="inlineStr">
        <is>
          <t>PLN2007-00749</t>
        </is>
      </c>
      <c r="I17" t="inlineStr">
        <is>
          <t>7695-17-9607</t>
        </is>
      </c>
      <c r="J17" t="n">
        <v>201000</v>
      </c>
      <c r="L17" t="inlineStr"/>
      <c r="M17" t="inlineStr">
        <is>
          <t>Stated: building status 'Planned' is the county's own label (PWC Build_Out_Analysis layer 9).</t>
        </is>
      </c>
      <c r="N17" t="inlineStr">
        <is>
          <t>https://gisweb.pwcva.gov/arcgis/rest/services/Planning/Build_Out_Analysis/MapServer/9/233?f=html</t>
        </is>
      </c>
      <c r="O17" t="n">
        <v>38.748426</v>
      </c>
      <c r="P17" t="n">
        <v>-77.52271</v>
      </c>
    </row>
    <row r="18">
      <c r="A18" t="n">
        <v>17</v>
      </c>
      <c r="B18" t="inlineStr">
        <is>
          <t>Prince William</t>
        </is>
      </c>
      <c r="C18" t="inlineStr">
        <is>
          <t>Amazon AWS IAD-11</t>
        </is>
      </c>
      <c r="D18" t="inlineStr">
        <is>
          <t>Existing/Completed</t>
        </is>
      </c>
      <c r="E18" t="inlineStr">
        <is>
          <t>Completed</t>
        </is>
      </c>
      <c r="F18" t="inlineStr">
        <is>
          <t>stated</t>
        </is>
      </c>
      <c r="G18" t="inlineStr">
        <is>
          <t>Amazon Mason King Court</t>
        </is>
      </c>
      <c r="H18" t="inlineStr">
        <is>
          <t>REZ1969-0021</t>
        </is>
      </c>
      <c r="I18" t="inlineStr">
        <is>
          <t>7597-62-3841</t>
        </is>
      </c>
      <c r="J18" t="n">
        <v>167145</v>
      </c>
      <c r="K18" t="n">
        <v>2012</v>
      </c>
      <c r="L18" t="inlineStr"/>
      <c r="M18" t="inlineStr">
        <is>
          <t>Stated: building status 'Completed' is the county's own label (PWC Build_Out_Analysis layer 9).</t>
        </is>
      </c>
      <c r="N18" t="inlineStr">
        <is>
          <t>https://gisweb.pwcva.gov/arcgis/rest/services/Planning/Build_Out_Analysis/MapServer/9/69?f=html</t>
        </is>
      </c>
      <c r="O18" t="n">
        <v>38.790574</v>
      </c>
      <c r="P18" t="n">
        <v>-77.541124</v>
      </c>
    </row>
    <row r="19">
      <c r="A19" t="n">
        <v>18</v>
      </c>
      <c r="B19" t="inlineStr">
        <is>
          <t>Prince William</t>
        </is>
      </c>
      <c r="C19" t="inlineStr">
        <is>
          <t>Amazon AWS IAD-24</t>
        </is>
      </c>
      <c r="D19" t="inlineStr">
        <is>
          <t>Existing/Completed</t>
        </is>
      </c>
      <c r="E19" t="inlineStr">
        <is>
          <t>Completed</t>
        </is>
      </c>
      <c r="F19" t="inlineStr">
        <is>
          <t>stated</t>
        </is>
      </c>
      <c r="G19" t="inlineStr">
        <is>
          <t>Amazon Mason King Court</t>
        </is>
      </c>
      <c r="H19" t="inlineStr">
        <is>
          <t>REZ1969-0021</t>
        </is>
      </c>
      <c r="I19" t="inlineStr">
        <is>
          <t>7597-62-3841</t>
        </is>
      </c>
      <c r="J19" t="n">
        <v>41786</v>
      </c>
      <c r="K19" t="n">
        <v>2012</v>
      </c>
      <c r="L19" t="inlineStr"/>
      <c r="M19" t="inlineStr">
        <is>
          <t>Stated: building status 'Completed' is the county's own label (PWC Build_Out_Analysis layer 9).</t>
        </is>
      </c>
      <c r="N19" t="inlineStr">
        <is>
          <t>https://gisweb.pwcva.gov/arcgis/rest/services/Planning/Build_Out_Analysis/MapServer/9/70?f=html</t>
        </is>
      </c>
      <c r="O19" t="n">
        <v>38.790408</v>
      </c>
      <c r="P19" t="n">
        <v>-77.54002199999999</v>
      </c>
    </row>
    <row r="20">
      <c r="A20" t="n">
        <v>19</v>
      </c>
      <c r="B20" t="inlineStr">
        <is>
          <t>Prince William</t>
        </is>
      </c>
      <c r="C20" t="inlineStr">
        <is>
          <t>Amazon AWS IAD-7</t>
        </is>
      </c>
      <c r="D20" t="inlineStr">
        <is>
          <t>Existing/Completed</t>
        </is>
      </c>
      <c r="E20" t="inlineStr">
        <is>
          <t>Completed</t>
        </is>
      </c>
      <c r="F20" t="inlineStr">
        <is>
          <t>stated</t>
        </is>
      </c>
      <c r="G20" t="inlineStr">
        <is>
          <t>Amazon Mason King Court</t>
        </is>
      </c>
      <c r="H20" t="inlineStr">
        <is>
          <t>REZ1969-0021</t>
        </is>
      </c>
      <c r="I20" t="inlineStr">
        <is>
          <t>7597-72-1867</t>
        </is>
      </c>
      <c r="J20" t="n">
        <v>167193</v>
      </c>
      <c r="K20" t="n">
        <v>2012</v>
      </c>
      <c r="L20" t="inlineStr"/>
      <c r="M20" t="inlineStr">
        <is>
          <t>Stated: building status 'Completed' is the county's own label (PWC Build_Out_Analysis layer 9).</t>
        </is>
      </c>
      <c r="N20" t="inlineStr">
        <is>
          <t>https://gisweb.pwcva.gov/arcgis/rest/services/Planning/Build_Out_Analysis/MapServer/9/67?f=html</t>
        </is>
      </c>
      <c r="O20" t="n">
        <v>38.791291</v>
      </c>
      <c r="P20" t="n">
        <v>-77.53782200000001</v>
      </c>
    </row>
    <row r="21">
      <c r="A21" t="n">
        <v>20</v>
      </c>
      <c r="B21" t="inlineStr">
        <is>
          <t>Prince William</t>
        </is>
      </c>
      <c r="C21" t="inlineStr">
        <is>
          <t>Amazon AWS IAD 15445 John Marshall</t>
        </is>
      </c>
      <c r="D21" t="inlineStr">
        <is>
          <t>Existing/Completed</t>
        </is>
      </c>
      <c r="E21" t="inlineStr">
        <is>
          <t>Completed</t>
        </is>
      </c>
      <c r="F21" t="inlineStr">
        <is>
          <t>stated</t>
        </is>
      </c>
      <c r="G21" t="inlineStr">
        <is>
          <t>Amazon Midwood Center</t>
        </is>
      </c>
      <c r="H21" t="inlineStr">
        <is>
          <t>PLN2003-00108</t>
        </is>
      </c>
      <c r="I21" t="inlineStr">
        <is>
          <t>7298-41-4524</t>
        </is>
      </c>
      <c r="J21" t="n">
        <v>141592</v>
      </c>
      <c r="K21" t="n">
        <v>2024</v>
      </c>
      <c r="L21" t="inlineStr"/>
      <c r="M21" t="inlineStr">
        <is>
          <t>Stated: building status 'Completed' is the county's own label (PWC Build_Out_Analysis layer 9).</t>
        </is>
      </c>
      <c r="N21" t="inlineStr">
        <is>
          <t>https://gisweb.pwcva.gov/arcgis/rest/services/Planning/Build_Out_Analysis/MapServer/9/106?f=html</t>
        </is>
      </c>
      <c r="O21" t="n">
        <v>38.816847</v>
      </c>
      <c r="P21" t="n">
        <v>-77.652055</v>
      </c>
    </row>
    <row r="22">
      <c r="A22" t="n">
        <v>21</v>
      </c>
      <c r="B22" t="inlineStr">
        <is>
          <t>Prince William</t>
        </is>
      </c>
      <c r="C22" t="inlineStr">
        <is>
          <t>Amazon AWS IAD-55</t>
        </is>
      </c>
      <c r="D22" t="inlineStr">
        <is>
          <t>Existing/Completed</t>
        </is>
      </c>
      <c r="E22" t="inlineStr">
        <is>
          <t>Completed</t>
        </is>
      </c>
      <c r="F22" t="inlineStr">
        <is>
          <t>stated</t>
        </is>
      </c>
      <c r="G22" t="inlineStr">
        <is>
          <t>Amazon Midwood Center</t>
        </is>
      </c>
      <c r="H22" t="inlineStr">
        <is>
          <t>PLN2003-00108</t>
        </is>
      </c>
      <c r="I22" t="inlineStr">
        <is>
          <t>7298-51-5907</t>
        </is>
      </c>
      <c r="J22" t="n">
        <v>236082</v>
      </c>
      <c r="K22" t="n">
        <v>2014</v>
      </c>
      <c r="L22" t="inlineStr"/>
      <c r="M22" t="inlineStr">
        <is>
          <t>Stated: building status 'Completed' is the county's own label (PWC Build_Out_Analysis layer 9).</t>
        </is>
      </c>
      <c r="N22" t="inlineStr">
        <is>
          <t>https://gisweb.pwcva.gov/arcgis/rest/services/Planning/Build_Out_Analysis/MapServer/9/105?f=html</t>
        </is>
      </c>
      <c r="O22" t="n">
        <v>38.81557</v>
      </c>
      <c r="P22" t="n">
        <v>-77.648606</v>
      </c>
    </row>
    <row r="23">
      <c r="A23" t="n">
        <v>22</v>
      </c>
      <c r="B23" t="inlineStr">
        <is>
          <t>Prince William</t>
        </is>
      </c>
      <c r="C23" t="inlineStr">
        <is>
          <t>Amazon AWS IAD-64</t>
        </is>
      </c>
      <c r="D23" t="inlineStr">
        <is>
          <t>Existing/Completed</t>
        </is>
      </c>
      <c r="E23" t="inlineStr">
        <is>
          <t>Completed</t>
        </is>
      </c>
      <c r="F23" t="inlineStr">
        <is>
          <t>stated</t>
        </is>
      </c>
      <c r="G23" t="inlineStr">
        <is>
          <t>Amazon Midwood Center</t>
        </is>
      </c>
      <c r="H23" t="inlineStr">
        <is>
          <t>PLN2003-00108</t>
        </is>
      </c>
      <c r="I23" t="inlineStr">
        <is>
          <t>7298-41-4524</t>
        </is>
      </c>
      <c r="J23" t="n">
        <v>147187</v>
      </c>
      <c r="K23" t="n">
        <v>2017</v>
      </c>
      <c r="L23" t="inlineStr"/>
      <c r="M23" t="inlineStr">
        <is>
          <t>Stated: building status 'Completed' is the county's own label (PWC Build_Out_Analysis layer 9).</t>
        </is>
      </c>
      <c r="N23" t="inlineStr">
        <is>
          <t>https://gisweb.pwcva.gov/arcgis/rest/services/Planning/Build_Out_Analysis/MapServer/9/107?f=html</t>
        </is>
      </c>
      <c r="O23" t="n">
        <v>38.815099</v>
      </c>
      <c r="P23" t="n">
        <v>-77.65282000000001</v>
      </c>
    </row>
    <row r="24">
      <c r="A24" t="n">
        <v>23</v>
      </c>
      <c r="B24" t="inlineStr">
        <is>
          <t>Prince William</t>
        </is>
      </c>
      <c r="C24" t="inlineStr">
        <is>
          <t>Amazon AWS IAD-64 Ext</t>
        </is>
      </c>
      <c r="D24" t="inlineStr">
        <is>
          <t>Existing/Completed</t>
        </is>
      </c>
      <c r="E24" t="inlineStr">
        <is>
          <t>Completed</t>
        </is>
      </c>
      <c r="F24" t="inlineStr">
        <is>
          <t>stated</t>
        </is>
      </c>
      <c r="G24" t="inlineStr">
        <is>
          <t>Amazon Midwood Center</t>
        </is>
      </c>
      <c r="H24" t="inlineStr">
        <is>
          <t>PLN2003-00108</t>
        </is>
      </c>
      <c r="I24" t="inlineStr">
        <is>
          <t>7298-41-4524</t>
        </is>
      </c>
      <c r="J24" t="n">
        <v>17421</v>
      </c>
      <c r="K24" t="n">
        <v>2021</v>
      </c>
      <c r="L24" t="inlineStr"/>
      <c r="M24" t="inlineStr">
        <is>
          <t>Stated: building status 'Completed' is the county's own label (PWC Build_Out_Analysis layer 9).</t>
        </is>
      </c>
      <c r="N24" t="inlineStr">
        <is>
          <t>https://gisweb.pwcva.gov/arcgis/rest/services/Planning/Build_Out_Analysis/MapServer/9/109?f=html</t>
        </is>
      </c>
      <c r="O24" t="n">
        <v>38.814564</v>
      </c>
      <c r="P24" t="n">
        <v>-77.65416</v>
      </c>
    </row>
    <row r="25">
      <c r="A25" t="n">
        <v>24</v>
      </c>
      <c r="B25" t="inlineStr">
        <is>
          <t>Prince William</t>
        </is>
      </c>
      <c r="C25" t="inlineStr">
        <is>
          <t>Amazon AWS IAD-84</t>
        </is>
      </c>
      <c r="D25" t="inlineStr">
        <is>
          <t>Existing/Completed</t>
        </is>
      </c>
      <c r="E25" t="inlineStr">
        <is>
          <t>Completed</t>
        </is>
      </c>
      <c r="F25" t="inlineStr">
        <is>
          <t>stated</t>
        </is>
      </c>
      <c r="G25" t="inlineStr">
        <is>
          <t>Amazon Midwood Center</t>
        </is>
      </c>
      <c r="H25" t="inlineStr">
        <is>
          <t>PLN2003-00108</t>
        </is>
      </c>
      <c r="I25" t="inlineStr">
        <is>
          <t>7298-41-4524</t>
        </is>
      </c>
      <c r="J25" t="n">
        <v>147187</v>
      </c>
      <c r="K25" t="n">
        <v>2023</v>
      </c>
      <c r="L25" t="inlineStr"/>
      <c r="M25" t="inlineStr">
        <is>
          <t>Stated: building status 'Completed' is the county's own label (PWC Build_Out_Analysis layer 9).</t>
        </is>
      </c>
      <c r="N25" t="inlineStr">
        <is>
          <t>https://gisweb.pwcva.gov/arcgis/rest/services/Planning/Build_Out_Analysis/MapServer/9/108?f=html</t>
        </is>
      </c>
      <c r="O25" t="n">
        <v>38.81594</v>
      </c>
      <c r="P25" t="n">
        <v>-77.652378</v>
      </c>
    </row>
    <row r="26">
      <c r="A26" t="n">
        <v>25</v>
      </c>
      <c r="B26" t="inlineStr">
        <is>
          <t>Prince William</t>
        </is>
      </c>
      <c r="C26" t="inlineStr">
        <is>
          <t>Amazon Parsons Business Park 1</t>
        </is>
      </c>
      <c r="D26" t="inlineStr">
        <is>
          <t>Approved/Planned</t>
        </is>
      </c>
      <c r="E26" t="inlineStr">
        <is>
          <t>Planned</t>
        </is>
      </c>
      <c r="F26" t="inlineStr">
        <is>
          <t>stated</t>
        </is>
      </c>
      <c r="G26" t="inlineStr">
        <is>
          <t>Amazon Parsons Business Park</t>
        </is>
      </c>
      <c r="H26" t="inlineStr">
        <is>
          <t>REZ2023-00028</t>
        </is>
      </c>
      <c r="I26" t="inlineStr">
        <is>
          <t>7891-69-0322</t>
        </is>
      </c>
      <c r="J26" t="n">
        <v>171785</v>
      </c>
      <c r="L26" t="inlineStr"/>
      <c r="M26" t="inlineStr">
        <is>
          <t>Stated: building status 'Planned' is the county's own label (PWC Build_Out_Analysis layer 9).</t>
        </is>
      </c>
      <c r="N26" t="inlineStr">
        <is>
          <t>https://gisweb.pwcva.gov/arcgis/rest/services/Planning/Build_Out_Analysis/MapServer/9/136?f=html</t>
        </is>
      </c>
      <c r="O26" t="n">
        <v>38.644017</v>
      </c>
      <c r="P26" t="n">
        <v>-77.439486</v>
      </c>
    </row>
    <row r="27">
      <c r="A27" t="n">
        <v>26</v>
      </c>
      <c r="B27" t="inlineStr">
        <is>
          <t>Prince William</t>
        </is>
      </c>
      <c r="C27" t="inlineStr">
        <is>
          <t>Amazon Parsons Business Park 2</t>
        </is>
      </c>
      <c r="D27" t="inlineStr">
        <is>
          <t>Approved/Planned</t>
        </is>
      </c>
      <c r="E27" t="inlineStr">
        <is>
          <t>Planned</t>
        </is>
      </c>
      <c r="F27" t="inlineStr">
        <is>
          <t>stated</t>
        </is>
      </c>
      <c r="G27" t="inlineStr">
        <is>
          <t>Amazon Parsons Business Park</t>
        </is>
      </c>
      <c r="H27" t="inlineStr">
        <is>
          <t>REZ2023-00028</t>
        </is>
      </c>
      <c r="I27" t="inlineStr">
        <is>
          <t>7891-69-0322</t>
        </is>
      </c>
      <c r="J27" t="n">
        <v>227153</v>
      </c>
      <c r="L27" t="inlineStr"/>
      <c r="M27" t="inlineStr">
        <is>
          <t>Stated: building status 'Planned' is the county's own label (PWC Build_Out_Analysis layer 9).</t>
        </is>
      </c>
      <c r="N27" t="inlineStr">
        <is>
          <t>https://gisweb.pwcva.gov/arcgis/rest/services/Planning/Build_Out_Analysis/MapServer/9/137?f=html</t>
        </is>
      </c>
      <c r="O27" t="n">
        <v>38.643981</v>
      </c>
      <c r="P27" t="n">
        <v>-77.436753</v>
      </c>
    </row>
    <row r="28">
      <c r="A28" t="n">
        <v>27</v>
      </c>
      <c r="B28" t="inlineStr">
        <is>
          <t>Prince William</t>
        </is>
      </c>
      <c r="C28" t="inlineStr">
        <is>
          <t>Amazon Parsons Business Park 3</t>
        </is>
      </c>
      <c r="D28" t="inlineStr">
        <is>
          <t>Approved/Planned</t>
        </is>
      </c>
      <c r="E28" t="inlineStr">
        <is>
          <t>Planned</t>
        </is>
      </c>
      <c r="F28" t="inlineStr">
        <is>
          <t>stated</t>
        </is>
      </c>
      <c r="G28" t="inlineStr">
        <is>
          <t>Amazon Parsons Business Park</t>
        </is>
      </c>
      <c r="H28" t="inlineStr">
        <is>
          <t>REZ2023-00028</t>
        </is>
      </c>
      <c r="I28" t="inlineStr">
        <is>
          <t>7891-69-0322</t>
        </is>
      </c>
      <c r="J28" t="n">
        <v>227153</v>
      </c>
      <c r="L28" t="inlineStr"/>
      <c r="M28" t="inlineStr">
        <is>
          <t>Stated: building status 'Planned' is the county's own label (PWC Build_Out_Analysis layer 9).</t>
        </is>
      </c>
      <c r="N28" t="inlineStr">
        <is>
          <t>https://gisweb.pwcva.gov/arcgis/rest/services/Planning/Build_Out_Analysis/MapServer/9/135?f=html</t>
        </is>
      </c>
      <c r="O28" t="n">
        <v>38.645933</v>
      </c>
      <c r="P28" t="n">
        <v>-77.439369</v>
      </c>
    </row>
    <row r="29">
      <c r="A29" t="n">
        <v>28</v>
      </c>
      <c r="B29" t="inlineStr">
        <is>
          <t>Prince William</t>
        </is>
      </c>
      <c r="C29" t="inlineStr">
        <is>
          <t>Amazon Parsons Business Park 4</t>
        </is>
      </c>
      <c r="D29" t="inlineStr">
        <is>
          <t>Approved/Planned</t>
        </is>
      </c>
      <c r="E29" t="inlineStr">
        <is>
          <t>Planned</t>
        </is>
      </c>
      <c r="F29" t="inlineStr">
        <is>
          <t>stated</t>
        </is>
      </c>
      <c r="G29" t="inlineStr">
        <is>
          <t>Amazon Parsons Business Park</t>
        </is>
      </c>
      <c r="H29" t="inlineStr">
        <is>
          <t>REZ2023-00028</t>
        </is>
      </c>
      <c r="I29" t="inlineStr">
        <is>
          <t>7891-69-0322</t>
        </is>
      </c>
      <c r="J29" t="n">
        <v>227153</v>
      </c>
      <c r="L29" t="inlineStr"/>
      <c r="M29" t="inlineStr">
        <is>
          <t>Stated: building status 'Planned' is the county's own label (PWC Build_Out_Analysis layer 9).</t>
        </is>
      </c>
      <c r="N29" t="inlineStr">
        <is>
          <t>https://gisweb.pwcva.gov/arcgis/rest/services/Planning/Build_Out_Analysis/MapServer/9/138?f=html</t>
        </is>
      </c>
      <c r="O29" t="n">
        <v>38.646134</v>
      </c>
      <c r="P29" t="n">
        <v>-77.441941</v>
      </c>
    </row>
    <row r="30">
      <c r="A30" t="n">
        <v>29</v>
      </c>
      <c r="B30" t="inlineStr">
        <is>
          <t>Prince William</t>
        </is>
      </c>
      <c r="C30" t="inlineStr">
        <is>
          <t>Amazon Parsons Business Park 5</t>
        </is>
      </c>
      <c r="D30" t="inlineStr">
        <is>
          <t>Approved/Planned</t>
        </is>
      </c>
      <c r="E30" t="inlineStr">
        <is>
          <t>Planned</t>
        </is>
      </c>
      <c r="F30" t="inlineStr">
        <is>
          <t>stated</t>
        </is>
      </c>
      <c r="G30" t="inlineStr">
        <is>
          <t>Amazon Parsons Business Park</t>
        </is>
      </c>
      <c r="H30" t="inlineStr">
        <is>
          <t>REZ2023-00028</t>
        </is>
      </c>
      <c r="I30" t="inlineStr">
        <is>
          <t>7891-69-0322</t>
        </is>
      </c>
      <c r="J30" t="n">
        <v>227153</v>
      </c>
      <c r="L30" t="inlineStr"/>
      <c r="M30" t="inlineStr">
        <is>
          <t>Stated: building status 'Planned' is the county's own label (PWC Build_Out_Analysis layer 9).</t>
        </is>
      </c>
      <c r="N30" t="inlineStr">
        <is>
          <t>https://gisweb.pwcva.gov/arcgis/rest/services/Planning/Build_Out_Analysis/MapServer/9/139?f=html</t>
        </is>
      </c>
      <c r="O30" t="n">
        <v>38.644791</v>
      </c>
      <c r="P30" t="n">
        <v>-77.44194400000001</v>
      </c>
    </row>
    <row r="31">
      <c r="A31" t="n">
        <v>30</v>
      </c>
      <c r="B31" t="inlineStr">
        <is>
          <t>Prince William</t>
        </is>
      </c>
      <c r="C31" t="inlineStr">
        <is>
          <t>Amazon Parsons Business Park 6</t>
        </is>
      </c>
      <c r="D31" t="inlineStr">
        <is>
          <t>Approved/Planned</t>
        </is>
      </c>
      <c r="E31" t="inlineStr">
        <is>
          <t>Planned</t>
        </is>
      </c>
      <c r="F31" t="inlineStr">
        <is>
          <t>stated</t>
        </is>
      </c>
      <c r="G31" t="inlineStr">
        <is>
          <t>Amazon Parsons Business Park</t>
        </is>
      </c>
      <c r="H31" t="inlineStr">
        <is>
          <t>REZ2023-00028</t>
        </is>
      </c>
      <c r="I31" t="inlineStr">
        <is>
          <t>7891-69-0322</t>
        </is>
      </c>
      <c r="J31" t="n">
        <v>15943</v>
      </c>
      <c r="L31" t="inlineStr"/>
      <c r="M31" t="inlineStr">
        <is>
          <t>Stated: building status 'Planned' is the county's own label (PWC Build_Out_Analysis layer 9).</t>
        </is>
      </c>
      <c r="N31" t="inlineStr">
        <is>
          <t>https://gisweb.pwcva.gov/arcgis/rest/services/Planning/Build_Out_Analysis/MapServer/9/244?f=html</t>
        </is>
      </c>
      <c r="O31" t="n">
        <v>38.645166</v>
      </c>
      <c r="P31" t="n">
        <v>-77.438306</v>
      </c>
    </row>
    <row r="32">
      <c r="A32" t="n">
        <v>31</v>
      </c>
      <c r="B32" t="inlineStr">
        <is>
          <t>Prince William</t>
        </is>
      </c>
      <c r="C32" t="inlineStr">
        <is>
          <t>Amazon AWS IAD-100</t>
        </is>
      </c>
      <c r="D32" t="inlineStr">
        <is>
          <t>Existing/Completed</t>
        </is>
      </c>
      <c r="E32" t="inlineStr">
        <is>
          <t>Completed</t>
        </is>
      </c>
      <c r="F32" t="inlineStr">
        <is>
          <t>stated</t>
        </is>
      </c>
      <c r="G32" t="inlineStr">
        <is>
          <t>Amazon Tanner Way</t>
        </is>
      </c>
      <c r="H32" t="inlineStr">
        <is>
          <t>REZ2018-00002</t>
        </is>
      </c>
      <c r="I32" t="inlineStr">
        <is>
          <t>7695-62-8723</t>
        </is>
      </c>
      <c r="J32" t="n">
        <v>212017</v>
      </c>
      <c r="K32" t="n">
        <v>2021</v>
      </c>
      <c r="L32" t="inlineStr"/>
      <c r="M32" t="inlineStr">
        <is>
          <t>Stated: building status 'Completed' is the county's own label (PWC Build_Out_Analysis layer 9).</t>
        </is>
      </c>
      <c r="N32" t="inlineStr">
        <is>
          <t>https://gisweb.pwcva.gov/arcgis/rest/services/Planning/Build_Out_Analysis/MapServer/9/46?f=html</t>
        </is>
      </c>
      <c r="O32" t="n">
        <v>38.734547</v>
      </c>
      <c r="P32" t="n">
        <v>-77.506488</v>
      </c>
    </row>
    <row r="33">
      <c r="A33" t="n">
        <v>32</v>
      </c>
      <c r="B33" t="inlineStr">
        <is>
          <t>Prince William</t>
        </is>
      </c>
      <c r="C33" t="inlineStr">
        <is>
          <t>Amazon AWS IAD-101</t>
        </is>
      </c>
      <c r="D33" t="inlineStr">
        <is>
          <t>Existing/Completed</t>
        </is>
      </c>
      <c r="E33" t="inlineStr">
        <is>
          <t>Completed</t>
        </is>
      </c>
      <c r="F33" t="inlineStr">
        <is>
          <t>stated</t>
        </is>
      </c>
      <c r="G33" t="inlineStr">
        <is>
          <t>Amazon Tanner Way</t>
        </is>
      </c>
      <c r="H33" t="inlineStr">
        <is>
          <t>REZ2018-00002</t>
        </is>
      </c>
      <c r="I33" t="inlineStr">
        <is>
          <t>7695-62-8723</t>
        </is>
      </c>
      <c r="J33" t="n">
        <v>214796</v>
      </c>
      <c r="K33" t="n">
        <v>2022</v>
      </c>
      <c r="L33" t="inlineStr"/>
      <c r="M33" t="inlineStr">
        <is>
          <t>Stated: building status 'Completed' is the county's own label (PWC Build_Out_Analysis layer 9).</t>
        </is>
      </c>
      <c r="N33" t="inlineStr">
        <is>
          <t>https://gisweb.pwcva.gov/arcgis/rest/services/Planning/Build_Out_Analysis/MapServer/9/48?f=html</t>
        </is>
      </c>
      <c r="O33" t="n">
        <v>38.735265</v>
      </c>
      <c r="P33" t="n">
        <v>-77.505382</v>
      </c>
    </row>
    <row r="34">
      <c r="A34" t="n">
        <v>33</v>
      </c>
      <c r="B34" t="inlineStr">
        <is>
          <t>Prince William</t>
        </is>
      </c>
      <c r="C34" t="inlineStr">
        <is>
          <t>Amazon AWS IAD-102</t>
        </is>
      </c>
      <c r="D34" t="inlineStr">
        <is>
          <t>Existing/Completed</t>
        </is>
      </c>
      <c r="E34" t="inlineStr">
        <is>
          <t>Completed</t>
        </is>
      </c>
      <c r="F34" t="inlineStr">
        <is>
          <t>stated</t>
        </is>
      </c>
      <c r="G34" t="inlineStr">
        <is>
          <t>Amazon Tanner Way</t>
        </is>
      </c>
      <c r="H34" t="inlineStr">
        <is>
          <t>REZ2018-00002</t>
        </is>
      </c>
      <c r="I34" t="inlineStr">
        <is>
          <t>7695-62-8723</t>
        </is>
      </c>
      <c r="J34" t="n">
        <v>214796</v>
      </c>
      <c r="K34" t="n">
        <v>2022</v>
      </c>
      <c r="L34" t="inlineStr"/>
      <c r="M34" t="inlineStr">
        <is>
          <t>Stated: building status 'Completed' is the county's own label (PWC Build_Out_Analysis layer 9).</t>
        </is>
      </c>
      <c r="N34" t="inlineStr">
        <is>
          <t>https://gisweb.pwcva.gov/arcgis/rest/services/Planning/Build_Out_Analysis/MapServer/9/49?f=html</t>
        </is>
      </c>
      <c r="O34" t="n">
        <v>38.736034</v>
      </c>
      <c r="P34" t="n">
        <v>-77.504868</v>
      </c>
    </row>
    <row r="35">
      <c r="A35" t="n">
        <v>34</v>
      </c>
      <c r="B35" t="inlineStr">
        <is>
          <t>Prince William</t>
        </is>
      </c>
      <c r="C35" t="inlineStr">
        <is>
          <t>Amazon AWS IAD-103</t>
        </is>
      </c>
      <c r="D35" t="inlineStr">
        <is>
          <t>Existing/Completed</t>
        </is>
      </c>
      <c r="E35" t="inlineStr">
        <is>
          <t>Completed</t>
        </is>
      </c>
      <c r="F35" t="inlineStr">
        <is>
          <t>stated</t>
        </is>
      </c>
      <c r="G35" t="inlineStr">
        <is>
          <t>Amazon Tanner Way</t>
        </is>
      </c>
      <c r="H35" t="inlineStr">
        <is>
          <t>REZ2018-00002</t>
        </is>
      </c>
      <c r="I35" t="inlineStr">
        <is>
          <t>7695-62-8723</t>
        </is>
      </c>
      <c r="J35" t="n">
        <v>153582</v>
      </c>
      <c r="K35" t="n">
        <v>2023</v>
      </c>
      <c r="L35" t="inlineStr"/>
      <c r="M35" t="inlineStr">
        <is>
          <t>Stated: building status 'Completed' is the county's own label (PWC Build_Out_Analysis layer 9).</t>
        </is>
      </c>
      <c r="N35" t="inlineStr">
        <is>
          <t>https://gisweb.pwcva.gov/arcgis/rest/services/Planning/Build_Out_Analysis/MapServer/9/47?f=html</t>
        </is>
      </c>
      <c r="O35" t="n">
        <v>38.736921</v>
      </c>
      <c r="P35" t="n">
        <v>-77.503929</v>
      </c>
    </row>
    <row r="36">
      <c r="A36" t="n">
        <v>35</v>
      </c>
      <c r="B36" t="inlineStr">
        <is>
          <t>Prince William</t>
        </is>
      </c>
      <c r="C36" t="inlineStr">
        <is>
          <t>Manassas Amazon AWS 139</t>
        </is>
      </c>
      <c r="D36" t="inlineStr">
        <is>
          <t>Existing/Completed</t>
        </is>
      </c>
      <c r="E36" t="inlineStr">
        <is>
          <t>Completed</t>
        </is>
      </c>
      <c r="F36" t="inlineStr">
        <is>
          <t>stated</t>
        </is>
      </c>
      <c r="G36" t="inlineStr">
        <is>
          <t>Amazon Thomasson Barn</t>
        </is>
      </c>
      <c r="H36" t="inlineStr">
        <is>
          <t>PLN2007-00535</t>
        </is>
      </c>
      <c r="I36" t="inlineStr">
        <is>
          <t>7595-95-6147</t>
        </is>
      </c>
      <c r="J36" t="n">
        <v>149404</v>
      </c>
      <c r="K36" t="n">
        <v>2019</v>
      </c>
      <c r="L36" t="inlineStr"/>
      <c r="M36" t="inlineStr">
        <is>
          <t>Stated: building status 'Completed' is the county's own label (PWC Build_Out_Analysis layer 9).</t>
        </is>
      </c>
      <c r="N36" t="inlineStr">
        <is>
          <t>https://gisweb.pwcva.gov/arcgis/rest/services/Planning/Build_Out_Analysis/MapServer/9/35?f=html</t>
        </is>
      </c>
      <c r="O36" t="n">
        <v>38.743837</v>
      </c>
      <c r="P36" t="n">
        <v>-77.53057</v>
      </c>
    </row>
    <row r="37">
      <c r="A37" t="n">
        <v>36</v>
      </c>
      <c r="B37" t="inlineStr">
        <is>
          <t>Prince William</t>
        </is>
      </c>
      <c r="C37" t="inlineStr">
        <is>
          <t>Manassas Amazon AWS 140</t>
        </is>
      </c>
      <c r="D37" t="inlineStr">
        <is>
          <t>Existing/Completed</t>
        </is>
      </c>
      <c r="E37" t="inlineStr">
        <is>
          <t>Completed</t>
        </is>
      </c>
      <c r="F37" t="inlineStr">
        <is>
          <t>stated</t>
        </is>
      </c>
      <c r="G37" t="inlineStr">
        <is>
          <t>Amazon Thomasson Barn</t>
        </is>
      </c>
      <c r="H37" t="inlineStr">
        <is>
          <t>PLN2007-00535</t>
        </is>
      </c>
      <c r="I37" t="inlineStr">
        <is>
          <t>7595-95-6147</t>
        </is>
      </c>
      <c r="J37" t="n">
        <v>202626</v>
      </c>
      <c r="K37" t="n">
        <v>2020</v>
      </c>
      <c r="L37" t="inlineStr"/>
      <c r="M37" t="inlineStr">
        <is>
          <t>Stated: building status 'Completed' is the county's own label (PWC Build_Out_Analysis layer 9).</t>
        </is>
      </c>
      <c r="N37" t="inlineStr">
        <is>
          <t>https://gisweb.pwcva.gov/arcgis/rest/services/Planning/Build_Out_Analysis/MapServer/9/36?f=html</t>
        </is>
      </c>
      <c r="O37" t="n">
        <v>38.744061</v>
      </c>
      <c r="P37" t="n">
        <v>-77.52909699999999</v>
      </c>
    </row>
    <row r="38">
      <c r="A38" t="n">
        <v>37</v>
      </c>
      <c r="B38" t="inlineStr">
        <is>
          <t>Prince William</t>
        </is>
      </c>
      <c r="C38" t="inlineStr">
        <is>
          <t>Village Place Technology Park Bldg 1</t>
        </is>
      </c>
      <c r="D38" t="inlineStr">
        <is>
          <t>Under construction</t>
        </is>
      </c>
      <c r="E38" t="inlineStr">
        <is>
          <t>Under Construction</t>
        </is>
      </c>
      <c r="F38" t="inlineStr">
        <is>
          <t>stated</t>
        </is>
      </c>
      <c r="G38" t="inlineStr">
        <is>
          <t>Amazon Village Place Technology Park</t>
        </is>
      </c>
      <c r="H38" t="inlineStr">
        <is>
          <t>REZ2020-00024</t>
        </is>
      </c>
      <c r="I38" t="inlineStr">
        <is>
          <t>7397-35-8363</t>
        </is>
      </c>
      <c r="J38" t="n">
        <v>217917</v>
      </c>
      <c r="L38" t="inlineStr"/>
      <c r="M38" t="inlineStr">
        <is>
          <t>Stated: building status 'Under Construction' is the county's own label (PWC Build_Out_Analysis layer 9).</t>
        </is>
      </c>
      <c r="N38" t="inlineStr">
        <is>
          <t>https://gisweb.pwcva.gov/arcgis/rest/services/Planning/Build_Out_Analysis/MapServer/9/100?f=html</t>
        </is>
      </c>
      <c r="O38" t="n">
        <v>38.799835</v>
      </c>
      <c r="P38" t="n">
        <v>-77.620053</v>
      </c>
    </row>
    <row r="39">
      <c r="A39" t="n">
        <v>38</v>
      </c>
      <c r="B39" t="inlineStr">
        <is>
          <t>Prince William</t>
        </is>
      </c>
      <c r="C39" t="inlineStr">
        <is>
          <t>Village Place Technology Park Bldg 2</t>
        </is>
      </c>
      <c r="D39" t="inlineStr">
        <is>
          <t>Under construction</t>
        </is>
      </c>
      <c r="E39" t="inlineStr">
        <is>
          <t>Under Construction</t>
        </is>
      </c>
      <c r="F39" t="inlineStr">
        <is>
          <t>stated</t>
        </is>
      </c>
      <c r="G39" t="inlineStr">
        <is>
          <t>Amazon Village Place Technology Park</t>
        </is>
      </c>
      <c r="H39" t="inlineStr">
        <is>
          <t>REZ2020-00024</t>
        </is>
      </c>
      <c r="I39" t="inlineStr">
        <is>
          <t>7397-35-5597</t>
        </is>
      </c>
      <c r="J39" t="n">
        <v>0</v>
      </c>
      <c r="L39" t="inlineStr"/>
      <c r="M39" t="inlineStr">
        <is>
          <t>Stated: building status 'Under Construction' is the county's own label (PWC Build_Out_Analysis layer 9).</t>
        </is>
      </c>
      <c r="N39" t="inlineStr">
        <is>
          <t>https://gisweb.pwcva.gov/arcgis/rest/services/Planning/Build_Out_Analysis/MapServer/9/99?f=html</t>
        </is>
      </c>
      <c r="O39" t="n">
        <v>38.801371</v>
      </c>
      <c r="P39" t="n">
        <v>-77.62028599999999</v>
      </c>
    </row>
    <row r="40">
      <c r="A40" t="n">
        <v>39</v>
      </c>
      <c r="B40" t="inlineStr">
        <is>
          <t>Prince William</t>
        </is>
      </c>
      <c r="C40" t="inlineStr">
        <is>
          <t>Village Place Technology Park Bldg 3</t>
        </is>
      </c>
      <c r="D40" t="inlineStr">
        <is>
          <t>Under construction</t>
        </is>
      </c>
      <c r="E40" t="inlineStr">
        <is>
          <t>Under Construction</t>
        </is>
      </c>
      <c r="F40" t="inlineStr">
        <is>
          <t>stated</t>
        </is>
      </c>
      <c r="G40" t="inlineStr">
        <is>
          <t>Amazon Village Place Technology Park</t>
        </is>
      </c>
      <c r="H40" t="inlineStr">
        <is>
          <t>REZ2020-00024</t>
        </is>
      </c>
      <c r="I40" t="inlineStr">
        <is>
          <t>7397-36-2834</t>
        </is>
      </c>
      <c r="J40" t="n">
        <v>0</v>
      </c>
      <c r="L40" t="inlineStr"/>
      <c r="M40" t="inlineStr">
        <is>
          <t>Stated: building status 'Under Construction' is the county's own label (PWC Build_Out_Analysis layer 9).</t>
        </is>
      </c>
      <c r="N40" t="inlineStr">
        <is>
          <t>https://gisweb.pwcva.gov/arcgis/rest/services/Planning/Build_Out_Analysis/MapServer/9/98?f=html</t>
        </is>
      </c>
      <c r="O40" t="n">
        <v>38.801912</v>
      </c>
      <c r="P40" t="n">
        <v>-77.62096</v>
      </c>
    </row>
    <row r="41">
      <c r="A41" t="n">
        <v>40</v>
      </c>
      <c r="B41" t="inlineStr">
        <is>
          <t>Prince William</t>
        </is>
      </c>
      <c r="C41" t="inlineStr">
        <is>
          <t>Village Place Technology Park Bldg 4</t>
        </is>
      </c>
      <c r="D41" t="inlineStr">
        <is>
          <t>Under construction</t>
        </is>
      </c>
      <c r="E41" t="inlineStr">
        <is>
          <t>Under Construction</t>
        </is>
      </c>
      <c r="F41" t="inlineStr">
        <is>
          <t>stated</t>
        </is>
      </c>
      <c r="G41" t="inlineStr">
        <is>
          <t>Amazon Village Place Technology Park</t>
        </is>
      </c>
      <c r="H41" t="inlineStr">
        <is>
          <t>REZ2020-00024</t>
        </is>
      </c>
      <c r="I41" t="inlineStr">
        <is>
          <t>7397-36-1468</t>
        </is>
      </c>
      <c r="J41" t="n">
        <v>0</v>
      </c>
      <c r="L41" t="inlineStr"/>
      <c r="M41" t="inlineStr">
        <is>
          <t>Stated: building status 'Under Construction' is the county's own label (PWC Build_Out_Analysis layer 9).</t>
        </is>
      </c>
      <c r="N41" t="inlineStr">
        <is>
          <t>https://gisweb.pwcva.gov/arcgis/rest/services/Planning/Build_Out_Analysis/MapServer/9/97?f=html</t>
        </is>
      </c>
      <c r="O41" t="n">
        <v>38.802843</v>
      </c>
      <c r="P41" t="n">
        <v>-77.622023</v>
      </c>
    </row>
    <row r="42">
      <c r="A42" t="n">
        <v>41</v>
      </c>
      <c r="B42" t="inlineStr">
        <is>
          <t>Prince William</t>
        </is>
      </c>
      <c r="C42" t="inlineStr">
        <is>
          <t>Amazon AWS IAD-73 Manassas</t>
        </is>
      </c>
      <c r="D42" t="inlineStr">
        <is>
          <t>Existing/Completed</t>
        </is>
      </c>
      <c r="E42" t="inlineStr">
        <is>
          <t>Completed</t>
        </is>
      </c>
      <c r="F42" t="inlineStr">
        <is>
          <t>stated</t>
        </is>
      </c>
      <c r="G42" t="inlineStr">
        <is>
          <t>Amazon Wellington South</t>
        </is>
      </c>
      <c r="H42" t="inlineStr">
        <is>
          <t>REZ1989-0069</t>
        </is>
      </c>
      <c r="I42" t="inlineStr">
        <is>
          <t>7596-17-3979</t>
        </is>
      </c>
      <c r="J42" t="n">
        <v>148580</v>
      </c>
      <c r="K42" t="n">
        <v>2016</v>
      </c>
      <c r="L42" t="inlineStr"/>
      <c r="M42" t="inlineStr">
        <is>
          <t>Stated: building status 'Completed' is the county's own label (PWC Build_Out_Analysis layer 9).</t>
        </is>
      </c>
      <c r="N42" t="inlineStr">
        <is>
          <t>https://gisweb.pwcva.gov/arcgis/rest/services/Planning/Build_Out_Analysis/MapServer/9/10?f=html</t>
        </is>
      </c>
      <c r="O42" t="n">
        <v>38.777968</v>
      </c>
      <c r="P42" t="n">
        <v>-77.559129</v>
      </c>
    </row>
    <row r="43">
      <c r="A43" t="n">
        <v>42</v>
      </c>
      <c r="B43" t="inlineStr">
        <is>
          <t>Prince William</t>
        </is>
      </c>
      <c r="C43" t="inlineStr">
        <is>
          <t>Amazon AWS IAD-74 Manassas</t>
        </is>
      </c>
      <c r="D43" t="inlineStr">
        <is>
          <t>Existing/Completed</t>
        </is>
      </c>
      <c r="E43" t="inlineStr">
        <is>
          <t>Completed</t>
        </is>
      </c>
      <c r="F43" t="inlineStr">
        <is>
          <t>stated</t>
        </is>
      </c>
      <c r="G43" t="inlineStr">
        <is>
          <t>Amazon Wellington South</t>
        </is>
      </c>
      <c r="H43" t="inlineStr">
        <is>
          <t>REZ1989-0069</t>
        </is>
      </c>
      <c r="I43" t="inlineStr">
        <is>
          <t>7596-17-3979</t>
        </is>
      </c>
      <c r="J43" t="n">
        <v>148580</v>
      </c>
      <c r="K43" t="n">
        <v>2016</v>
      </c>
      <c r="L43" t="inlineStr"/>
      <c r="M43" t="inlineStr">
        <is>
          <t>Stated: building status 'Completed' is the county's own label (PWC Build_Out_Analysis layer 9).</t>
        </is>
      </c>
      <c r="N43" t="inlineStr">
        <is>
          <t>https://gisweb.pwcva.gov/arcgis/rest/services/Planning/Build_Out_Analysis/MapServer/9/9?f=html</t>
        </is>
      </c>
      <c r="O43" t="n">
        <v>38.777469</v>
      </c>
      <c r="P43" t="n">
        <v>-77.55785</v>
      </c>
    </row>
    <row r="44">
      <c r="A44" t="n">
        <v>43</v>
      </c>
      <c r="B44" t="inlineStr">
        <is>
          <t>Prince William</t>
        </is>
      </c>
      <c r="C44" t="inlineStr">
        <is>
          <t>Ashton Data Center 1</t>
        </is>
      </c>
      <c r="D44" t="inlineStr">
        <is>
          <t>Pending</t>
        </is>
      </c>
      <c r="E44" t="inlineStr">
        <is>
          <t>Pending</t>
        </is>
      </c>
      <c r="F44" t="inlineStr">
        <is>
          <t>stated</t>
        </is>
      </c>
      <c r="G44" t="inlineStr">
        <is>
          <t>Ashton Data Center</t>
        </is>
      </c>
      <c r="H44" t="inlineStr">
        <is>
          <t>REZ2022-00031</t>
        </is>
      </c>
      <c r="I44" t="inlineStr">
        <is>
          <t>7696-46-3403</t>
        </is>
      </c>
      <c r="J44" t="n">
        <v>300000</v>
      </c>
      <c r="L44" t="inlineStr"/>
      <c r="M44" t="inlineStr">
        <is>
          <t>Stated: building status 'Pending' is the county's own label (PWC Build_Out_Analysis layer 9).</t>
        </is>
      </c>
      <c r="N44" t="inlineStr">
        <is>
          <t>https://gisweb.pwcva.gov/arcgis/rest/services/Planning/Build_Out_Analysis/MapServer/9/141?f=html</t>
        </is>
      </c>
      <c r="O44" t="n">
        <v>38.771672</v>
      </c>
      <c r="P44" t="n">
        <v>-77.512027</v>
      </c>
    </row>
    <row r="45">
      <c r="A45" t="n">
        <v>44</v>
      </c>
      <c r="B45" t="inlineStr">
        <is>
          <t>Prince William</t>
        </is>
      </c>
      <c r="C45" t="inlineStr">
        <is>
          <t>Ashton Data Center 2</t>
        </is>
      </c>
      <c r="D45" t="inlineStr">
        <is>
          <t>Pending</t>
        </is>
      </c>
      <c r="E45" t="inlineStr">
        <is>
          <t>Pending</t>
        </is>
      </c>
      <c r="F45" t="inlineStr">
        <is>
          <t>stated</t>
        </is>
      </c>
      <c r="G45" t="inlineStr">
        <is>
          <t>Ashton Data Center</t>
        </is>
      </c>
      <c r="H45" t="inlineStr">
        <is>
          <t>REZ2022-00031</t>
        </is>
      </c>
      <c r="I45" t="inlineStr">
        <is>
          <t>7696-46-3403</t>
        </is>
      </c>
      <c r="J45" t="n">
        <v>300000</v>
      </c>
      <c r="L45" t="inlineStr"/>
      <c r="M45" t="inlineStr">
        <is>
          <t>Stated: building status 'Pending' is the county's own label (PWC Build_Out_Analysis layer 9).</t>
        </is>
      </c>
      <c r="N45" t="inlineStr">
        <is>
          <t>https://gisweb.pwcva.gov/arcgis/rest/services/Planning/Build_Out_Analysis/MapServer/9/162?f=html</t>
        </is>
      </c>
      <c r="O45" t="n">
        <v>38.77437</v>
      </c>
      <c r="P45" t="n">
        <v>-77.514343</v>
      </c>
    </row>
    <row r="46">
      <c r="A46" t="n">
        <v>45</v>
      </c>
      <c r="B46" t="inlineStr">
        <is>
          <t>Prince William</t>
        </is>
      </c>
      <c r="C46" t="inlineStr">
        <is>
          <t>Astrid North</t>
        </is>
      </c>
      <c r="D46" t="inlineStr">
        <is>
          <t>Approved/Planned</t>
        </is>
      </c>
      <c r="E46" t="inlineStr">
        <is>
          <t>Planned</t>
        </is>
      </c>
      <c r="F46" t="inlineStr">
        <is>
          <t>stated</t>
        </is>
      </c>
      <c r="G46" t="inlineStr">
        <is>
          <t>Astrid</t>
        </is>
      </c>
      <c r="H46" t="inlineStr">
        <is>
          <t>REZ1958-0021</t>
        </is>
      </c>
      <c r="I46" t="inlineStr">
        <is>
          <t>7497-61-8568</t>
        </is>
      </c>
      <c r="J46" t="n">
        <v>1700000</v>
      </c>
      <c r="L46" t="inlineStr"/>
      <c r="M46" t="inlineStr">
        <is>
          <t>Stated: building status 'Planned' is the county's own label (PWC Build_Out_Analysis layer 9).</t>
        </is>
      </c>
      <c r="N46" t="inlineStr">
        <is>
          <t>https://gisweb.pwcva.gov/arcgis/rest/services/Planning/Build_Out_Analysis/MapServer/9/251?f=html</t>
        </is>
      </c>
      <c r="O46" t="n">
        <v>38.791574</v>
      </c>
      <c r="P46" t="n">
        <v>-77.574196</v>
      </c>
    </row>
    <row r="47">
      <c r="A47" t="n">
        <v>46</v>
      </c>
      <c r="B47" t="inlineStr">
        <is>
          <t>Prince William</t>
        </is>
      </c>
      <c r="C47" t="inlineStr">
        <is>
          <t>Astrid South</t>
        </is>
      </c>
      <c r="D47" t="inlineStr">
        <is>
          <t>Approved/Planned</t>
        </is>
      </c>
      <c r="E47" t="inlineStr">
        <is>
          <t>Planned</t>
        </is>
      </c>
      <c r="F47" t="inlineStr">
        <is>
          <t>stated</t>
        </is>
      </c>
      <c r="G47" t="inlineStr">
        <is>
          <t>Astrid</t>
        </is>
      </c>
      <c r="H47" t="inlineStr">
        <is>
          <t>REZ1958-0021</t>
        </is>
      </c>
      <c r="I47" t="inlineStr">
        <is>
          <t>7497-61-8568</t>
        </is>
      </c>
      <c r="J47" t="n">
        <v>1100000</v>
      </c>
      <c r="L47" t="inlineStr"/>
      <c r="M47" t="inlineStr">
        <is>
          <t>Stated: building status 'Planned' is the county's own label (PWC Build_Out_Analysis layer 9).</t>
        </is>
      </c>
      <c r="N47" t="inlineStr">
        <is>
          <t>https://gisweb.pwcva.gov/arcgis/rest/services/Planning/Build_Out_Analysis/MapServer/9/252?f=html</t>
        </is>
      </c>
      <c r="O47" t="n">
        <v>38.787333</v>
      </c>
      <c r="P47" t="n">
        <v>-77.575344</v>
      </c>
    </row>
    <row r="48">
      <c r="A48" t="n">
        <v>47</v>
      </c>
      <c r="B48" t="inlineStr">
        <is>
          <t>Prince William</t>
        </is>
      </c>
      <c r="C48" t="inlineStr">
        <is>
          <t>Atlantic Funding 1</t>
        </is>
      </c>
      <c r="D48" t="inlineStr">
        <is>
          <t>Pending</t>
        </is>
      </c>
      <c r="E48" t="inlineStr">
        <is>
          <t>Pending</t>
        </is>
      </c>
      <c r="F48" t="inlineStr">
        <is>
          <t>stated</t>
        </is>
      </c>
      <c r="G48" t="inlineStr">
        <is>
          <t>Atlantic Funding</t>
        </is>
      </c>
      <c r="H48" t="inlineStr">
        <is>
          <t>REZ2026-00041</t>
        </is>
      </c>
      <c r="I48" t="inlineStr">
        <is>
          <t>8290-03-9812</t>
        </is>
      </c>
      <c r="J48" t="n">
        <v>200627</v>
      </c>
      <c r="L48" t="inlineStr"/>
      <c r="M48" t="inlineStr">
        <is>
          <t>Stated: building status 'Pending' is the county's own label (PWC Build_Out_Analysis layer 9).</t>
        </is>
      </c>
      <c r="N48" t="inlineStr">
        <is>
          <t>https://gisweb.pwcva.gov/arcgis/rest/services/Planning/Build_Out_Analysis/MapServer/9/255?f=html</t>
        </is>
      </c>
      <c r="O48" t="n">
        <v>38.59913</v>
      </c>
      <c r="P48" t="n">
        <v>-77.316219</v>
      </c>
    </row>
    <row r="49">
      <c r="A49" t="n">
        <v>48</v>
      </c>
      <c r="B49" t="inlineStr">
        <is>
          <t>Prince William</t>
        </is>
      </c>
      <c r="C49" t="inlineStr">
        <is>
          <t>Atlantic Funding 2</t>
        </is>
      </c>
      <c r="D49" t="inlineStr">
        <is>
          <t>Pending</t>
        </is>
      </c>
      <c r="E49" t="inlineStr">
        <is>
          <t>Pending</t>
        </is>
      </c>
      <c r="F49" t="inlineStr">
        <is>
          <t>stated</t>
        </is>
      </c>
      <c r="G49" t="inlineStr">
        <is>
          <t>Atlantic Funding</t>
        </is>
      </c>
      <c r="H49" t="inlineStr">
        <is>
          <t>REZ2026-00041</t>
        </is>
      </c>
      <c r="I49" t="inlineStr">
        <is>
          <t>8290-03-9812</t>
        </is>
      </c>
      <c r="J49" t="n">
        <v>200627</v>
      </c>
      <c r="L49" t="inlineStr"/>
      <c r="M49" t="inlineStr">
        <is>
          <t>Stated: building status 'Pending' is the county's own label (PWC Build_Out_Analysis layer 9).</t>
        </is>
      </c>
      <c r="N49" t="inlineStr">
        <is>
          <t>https://gisweb.pwcva.gov/arcgis/rest/services/Planning/Build_Out_Analysis/MapServer/9/254?f=html</t>
        </is>
      </c>
      <c r="O49" t="n">
        <v>38.597459</v>
      </c>
      <c r="P49" t="n">
        <v>-77.317547</v>
      </c>
    </row>
    <row r="50">
      <c r="A50" t="n">
        <v>49</v>
      </c>
      <c r="B50" t="inlineStr">
        <is>
          <t>Prince William</t>
        </is>
      </c>
      <c r="C50" t="inlineStr">
        <is>
          <t>Atlantic Funding 3</t>
        </is>
      </c>
      <c r="D50" t="inlineStr">
        <is>
          <t>Pending</t>
        </is>
      </c>
      <c r="E50" t="inlineStr">
        <is>
          <t>Pending</t>
        </is>
      </c>
      <c r="F50" t="inlineStr">
        <is>
          <t>stated</t>
        </is>
      </c>
      <c r="G50" t="inlineStr">
        <is>
          <t>Atlantic Funding</t>
        </is>
      </c>
      <c r="H50" t="inlineStr">
        <is>
          <t>REZ2026-00041</t>
        </is>
      </c>
      <c r="I50" t="inlineStr">
        <is>
          <t>8290-03-9812</t>
        </is>
      </c>
      <c r="J50" t="n">
        <v>200627</v>
      </c>
      <c r="L50" t="inlineStr"/>
      <c r="M50" t="inlineStr">
        <is>
          <t>Stated: building status 'Pending' is the county's own label (PWC Build_Out_Analysis layer 9).</t>
        </is>
      </c>
      <c r="N50" t="inlineStr">
        <is>
          <t>https://gisweb.pwcva.gov/arcgis/rest/services/Planning/Build_Out_Analysis/MapServer/9/253?f=html</t>
        </is>
      </c>
      <c r="O50" t="n">
        <v>38.595385</v>
      </c>
      <c r="P50" t="n">
        <v>-77.319294</v>
      </c>
    </row>
    <row r="51">
      <c r="A51" t="n">
        <v>50</v>
      </c>
      <c r="B51" t="inlineStr">
        <is>
          <t>Prince William</t>
        </is>
      </c>
      <c r="C51" t="inlineStr">
        <is>
          <t>Century Park - McLane Site</t>
        </is>
      </c>
      <c r="D51" t="inlineStr">
        <is>
          <t>Approved/Planned</t>
        </is>
      </c>
      <c r="E51" t="inlineStr">
        <is>
          <t>Planned</t>
        </is>
      </c>
      <c r="F51" t="inlineStr">
        <is>
          <t>stated</t>
        </is>
      </c>
      <c r="G51" t="inlineStr">
        <is>
          <t>Century Park</t>
        </is>
      </c>
      <c r="H51" t="inlineStr">
        <is>
          <t>REZ1969-0021</t>
        </is>
      </c>
      <c r="I51" t="inlineStr">
        <is>
          <t>7597-53-0484</t>
        </is>
      </c>
      <c r="J51" t="n">
        <v>620000</v>
      </c>
      <c r="L51" t="inlineStr"/>
      <c r="M51" t="inlineStr">
        <is>
          <t>Stated: building status 'Planned' is the county's own label (PWC Build_Out_Analysis layer 9).</t>
        </is>
      </c>
      <c r="N51" t="inlineStr">
        <is>
          <t>https://gisweb.pwcva.gov/arcgis/rest/services/Planning/Build_Out_Analysis/MapServer/9/682?f=html</t>
        </is>
      </c>
      <c r="O51" t="n">
        <v>38.794885</v>
      </c>
      <c r="P51" t="n">
        <v>-77.545249</v>
      </c>
    </row>
    <row r="52">
      <c r="A52" t="n">
        <v>51</v>
      </c>
      <c r="B52" t="inlineStr">
        <is>
          <t>Prince William</t>
        </is>
      </c>
      <c r="C52" t="inlineStr">
        <is>
          <t>Century Park 1</t>
        </is>
      </c>
      <c r="D52" t="inlineStr">
        <is>
          <t>Approved/Planned</t>
        </is>
      </c>
      <c r="E52" t="inlineStr">
        <is>
          <t>Planned</t>
        </is>
      </c>
      <c r="F52" t="inlineStr">
        <is>
          <t>stated</t>
        </is>
      </c>
      <c r="G52" t="inlineStr">
        <is>
          <t>Century Park Phase 2 &amp; 3</t>
        </is>
      </c>
      <c r="H52" t="inlineStr">
        <is>
          <t>REZ1969-0021</t>
        </is>
      </c>
      <c r="I52" t="inlineStr">
        <is>
          <t>7597-54-1893.01</t>
        </is>
      </c>
      <c r="J52" t="n">
        <v>252000</v>
      </c>
      <c r="L52" t="inlineStr"/>
      <c r="M52" t="inlineStr">
        <is>
          <t>Stated: building status 'Planned' is the county's own label (PWC Build_Out_Analysis layer 9).</t>
        </is>
      </c>
      <c r="N52" t="inlineStr">
        <is>
          <t>https://gisweb.pwcva.gov/arcgis/rest/services/Planning/Build_Out_Analysis/MapServer/9/260?f=html</t>
        </is>
      </c>
      <c r="O52" t="n">
        <v>38.79773</v>
      </c>
      <c r="P52" t="n">
        <v>-77.54434500000001</v>
      </c>
    </row>
    <row r="53">
      <c r="A53" t="n">
        <v>52</v>
      </c>
      <c r="B53" t="inlineStr">
        <is>
          <t>Prince William</t>
        </is>
      </c>
      <c r="C53" t="inlineStr">
        <is>
          <t>Century Park 2</t>
        </is>
      </c>
      <c r="D53" t="inlineStr">
        <is>
          <t>Approved/Planned</t>
        </is>
      </c>
      <c r="E53" t="inlineStr">
        <is>
          <t>Planned</t>
        </is>
      </c>
      <c r="F53" t="inlineStr">
        <is>
          <t>stated</t>
        </is>
      </c>
      <c r="G53" t="inlineStr">
        <is>
          <t>Century Park Phase 2 &amp; 3</t>
        </is>
      </c>
      <c r="H53" t="inlineStr">
        <is>
          <t>REZ1969-0021</t>
        </is>
      </c>
      <c r="I53" t="inlineStr">
        <is>
          <t>7597-54-9420.01</t>
        </is>
      </c>
      <c r="J53" t="n">
        <v>164000</v>
      </c>
      <c r="L53" t="inlineStr"/>
      <c r="M53" t="inlineStr">
        <is>
          <t>Stated: building status 'Planned' is the county's own label (PWC Build_Out_Analysis layer 9).</t>
        </is>
      </c>
      <c r="N53" t="inlineStr">
        <is>
          <t>https://gisweb.pwcva.gov/arcgis/rest/services/Planning/Build_Out_Analysis/MapServer/9/259?f=html</t>
        </is>
      </c>
      <c r="O53" t="n">
        <v>38.796122</v>
      </c>
      <c r="P53" t="n">
        <v>-77.542337</v>
      </c>
    </row>
    <row r="54">
      <c r="A54" t="n">
        <v>53</v>
      </c>
      <c r="B54" t="inlineStr">
        <is>
          <t>Prince William</t>
        </is>
      </c>
      <c r="C54" t="inlineStr">
        <is>
          <t>CloudHQ Manassas Corporate Center 1</t>
        </is>
      </c>
      <c r="D54" t="inlineStr">
        <is>
          <t>Existing/Completed</t>
        </is>
      </c>
      <c r="E54" t="inlineStr">
        <is>
          <t>Completed</t>
        </is>
      </c>
      <c r="F54" t="inlineStr">
        <is>
          <t>stated</t>
        </is>
      </c>
      <c r="G54" t="inlineStr">
        <is>
          <t>CloudHQ Manassas Corporate Center (MCC)</t>
        </is>
      </c>
      <c r="H54" t="inlineStr">
        <is>
          <t>PLN2011-00437</t>
        </is>
      </c>
      <c r="I54" t="inlineStr">
        <is>
          <t>7694-85-3066</t>
        </is>
      </c>
      <c r="J54" t="n">
        <v>460248</v>
      </c>
      <c r="K54" t="n">
        <v>2017</v>
      </c>
      <c r="L54" t="inlineStr"/>
      <c r="M54" t="inlineStr">
        <is>
          <t>Stated: building status 'Completed' is the county's own label (PWC Build_Out_Analysis layer 9).</t>
        </is>
      </c>
      <c r="N54" t="inlineStr">
        <is>
          <t>https://gisweb.pwcva.gov/arcgis/rest/services/Planning/Build_Out_Analysis/MapServer/9/51?f=html</t>
        </is>
      </c>
      <c r="O54" t="n">
        <v>38.716575</v>
      </c>
      <c r="P54" t="n">
        <v>-77.50054299999999</v>
      </c>
    </row>
    <row r="55">
      <c r="A55" t="n">
        <v>54</v>
      </c>
      <c r="B55" t="inlineStr">
        <is>
          <t>Prince William</t>
        </is>
      </c>
      <c r="C55" t="inlineStr">
        <is>
          <t>CloudHQ Manassas Corporate Center 2</t>
        </is>
      </c>
      <c r="D55" t="inlineStr">
        <is>
          <t>Existing/Completed</t>
        </is>
      </c>
      <c r="E55" t="inlineStr">
        <is>
          <t>Completed</t>
        </is>
      </c>
      <c r="F55" t="inlineStr">
        <is>
          <t>stated</t>
        </is>
      </c>
      <c r="G55" t="inlineStr">
        <is>
          <t>CloudHQ Manassas Corporate Center (MCC)</t>
        </is>
      </c>
      <c r="H55" t="inlineStr">
        <is>
          <t>PLN2011-00437</t>
        </is>
      </c>
      <c r="I55" t="inlineStr">
        <is>
          <t>7694-87-3694</t>
        </is>
      </c>
      <c r="J55" t="n">
        <v>392565</v>
      </c>
      <c r="K55" t="n">
        <v>2021</v>
      </c>
      <c r="L55" t="inlineStr"/>
      <c r="M55" t="inlineStr">
        <is>
          <t>Stated: building status 'Completed' is the county's own label (PWC Build_Out_Analysis layer 9).</t>
        </is>
      </c>
      <c r="N55" t="inlineStr">
        <is>
          <t>https://gisweb.pwcva.gov/arcgis/rest/services/Planning/Build_Out_Analysis/MapServer/9/50?f=html</t>
        </is>
      </c>
      <c r="O55" t="n">
        <v>38.723276</v>
      </c>
      <c r="P55" t="n">
        <v>-77.49897199999999</v>
      </c>
    </row>
    <row r="56">
      <c r="A56" t="n">
        <v>55</v>
      </c>
      <c r="B56" t="inlineStr">
        <is>
          <t>Prince William</t>
        </is>
      </c>
      <c r="C56" t="inlineStr">
        <is>
          <t>CloudHQ Manassas Corporate Center 3</t>
        </is>
      </c>
      <c r="D56" t="inlineStr">
        <is>
          <t>Approved/Planned</t>
        </is>
      </c>
      <c r="E56" t="inlineStr">
        <is>
          <t>Planned</t>
        </is>
      </c>
      <c r="F56" t="inlineStr">
        <is>
          <t>stated</t>
        </is>
      </c>
      <c r="G56" t="inlineStr">
        <is>
          <t>CloudHQ Manassas Corporate Center (MCC)</t>
        </is>
      </c>
      <c r="H56" t="inlineStr">
        <is>
          <t>PLN2011-00437</t>
        </is>
      </c>
      <c r="I56" t="inlineStr">
        <is>
          <t>7794-06-4463</t>
        </is>
      </c>
      <c r="J56" t="n">
        <v>317944</v>
      </c>
      <c r="K56" t="n">
        <v>0</v>
      </c>
      <c r="L56" t="inlineStr"/>
      <c r="M56" t="inlineStr">
        <is>
          <t>Stated: building status 'Planned' is the county's own label (PWC Build_Out_Analysis layer 9).</t>
        </is>
      </c>
      <c r="N56" t="inlineStr">
        <is>
          <t>https://gisweb.pwcva.gov/arcgis/rest/services/Planning/Build_Out_Analysis/MapServer/9/53?f=html</t>
        </is>
      </c>
      <c r="O56" t="n">
        <v>38.719906</v>
      </c>
      <c r="P56" t="n">
        <v>-77.49301</v>
      </c>
    </row>
    <row r="57">
      <c r="A57" t="n">
        <v>56</v>
      </c>
      <c r="B57" t="inlineStr">
        <is>
          <t>Prince William</t>
        </is>
      </c>
      <c r="C57" t="inlineStr">
        <is>
          <t>CloudHQ Manassas Corporate Center 4</t>
        </is>
      </c>
      <c r="D57" t="inlineStr">
        <is>
          <t>Approved/Planned</t>
        </is>
      </c>
      <c r="E57" t="inlineStr">
        <is>
          <t>Planned</t>
        </is>
      </c>
      <c r="F57" t="inlineStr">
        <is>
          <t>stated</t>
        </is>
      </c>
      <c r="G57" t="inlineStr">
        <is>
          <t>CloudHQ Manassas Corporate Center (MCC)</t>
        </is>
      </c>
      <c r="H57" t="inlineStr">
        <is>
          <t>PLN2011-00437</t>
        </is>
      </c>
      <c r="I57" t="inlineStr">
        <is>
          <t>7694-96-2732</t>
        </is>
      </c>
      <c r="J57" t="n">
        <v>252309</v>
      </c>
      <c r="K57" t="n">
        <v>0</v>
      </c>
      <c r="L57" t="inlineStr"/>
      <c r="M57" t="inlineStr">
        <is>
          <t>Stated: building status 'Planned' is the county's own label (PWC Build_Out_Analysis layer 9).</t>
        </is>
      </c>
      <c r="N57" t="inlineStr">
        <is>
          <t>https://gisweb.pwcva.gov/arcgis/rest/services/Planning/Build_Out_Analysis/MapServer/9/54?f=html</t>
        </is>
      </c>
      <c r="O57" t="n">
        <v>38.718715</v>
      </c>
      <c r="P57" t="n">
        <v>-77.496285</v>
      </c>
    </row>
    <row r="58">
      <c r="A58" t="n">
        <v>57</v>
      </c>
      <c r="B58" t="inlineStr">
        <is>
          <t>Prince William</t>
        </is>
      </c>
      <c r="C58" t="inlineStr">
        <is>
          <t>CloudHQ Manassas Corporate Center 5</t>
        </is>
      </c>
      <c r="D58" t="inlineStr">
        <is>
          <t>Approved/Planned</t>
        </is>
      </c>
      <c r="E58" t="inlineStr">
        <is>
          <t>Planned</t>
        </is>
      </c>
      <c r="F58" t="inlineStr">
        <is>
          <t>stated</t>
        </is>
      </c>
      <c r="G58" t="inlineStr">
        <is>
          <t>CloudHQ Manassas Corporate Center (MCC)</t>
        </is>
      </c>
      <c r="H58" t="inlineStr">
        <is>
          <t>PLN2011-00437</t>
        </is>
      </c>
      <c r="I58" t="inlineStr">
        <is>
          <t>7694-84-2446</t>
        </is>
      </c>
      <c r="J58" t="n">
        <v>317944</v>
      </c>
      <c r="K58" t="n">
        <v>0</v>
      </c>
      <c r="L58" t="inlineStr"/>
      <c r="M58" t="inlineStr">
        <is>
          <t>Stated: building status 'Planned' is the county's own label (PWC Build_Out_Analysis layer 9).</t>
        </is>
      </c>
      <c r="N58" t="inlineStr">
        <is>
          <t>https://gisweb.pwcva.gov/arcgis/rest/services/Planning/Build_Out_Analysis/MapServer/9/55?f=html</t>
        </is>
      </c>
      <c r="O58" t="n">
        <v>38.71342</v>
      </c>
      <c r="P58" t="n">
        <v>-77.500074</v>
      </c>
    </row>
    <row r="59">
      <c r="A59" t="n">
        <v>58</v>
      </c>
      <c r="B59" t="inlineStr">
        <is>
          <t>Prince William</t>
        </is>
      </c>
      <c r="C59" t="inlineStr">
        <is>
          <t>CloudHQ Manassas Corporate Center 6A</t>
        </is>
      </c>
      <c r="D59" t="inlineStr">
        <is>
          <t>Under construction</t>
        </is>
      </c>
      <c r="E59" t="inlineStr">
        <is>
          <t>Under Construction</t>
        </is>
      </c>
      <c r="F59" t="inlineStr">
        <is>
          <t>stated</t>
        </is>
      </c>
      <c r="G59" t="inlineStr">
        <is>
          <t>CloudHQ Manassas Corporate Center (MCC)</t>
        </is>
      </c>
      <c r="H59" t="inlineStr">
        <is>
          <t>PLN2011-00437</t>
        </is>
      </c>
      <c r="I59" t="inlineStr">
        <is>
          <t>7694-95-7303.00</t>
        </is>
      </c>
      <c r="J59" t="n">
        <v>317944</v>
      </c>
      <c r="L59" t="inlineStr"/>
      <c r="M59" t="inlineStr">
        <is>
          <t>Stated: building status 'Under Construction' is the county's own label (PWC Build_Out_Analysis layer 9).</t>
        </is>
      </c>
      <c r="N59" t="inlineStr">
        <is>
          <t>https://gisweb.pwcva.gov/arcgis/rest/services/Planning/Build_Out_Analysis/MapServer/9/52?f=html</t>
        </is>
      </c>
      <c r="O59" t="n">
        <v>38.715086</v>
      </c>
      <c r="P59" t="n">
        <v>-77.494764</v>
      </c>
    </row>
    <row r="60">
      <c r="A60" t="n">
        <v>59</v>
      </c>
      <c r="B60" t="inlineStr">
        <is>
          <t>Prince William</t>
        </is>
      </c>
      <c r="C60" t="inlineStr">
        <is>
          <t>CloudHQ Manassas Corporate Center 6B</t>
        </is>
      </c>
      <c r="D60" t="inlineStr">
        <is>
          <t>Approved/Planned</t>
        </is>
      </c>
      <c r="E60" t="inlineStr">
        <is>
          <t>Planned</t>
        </is>
      </c>
      <c r="F60" t="inlineStr">
        <is>
          <t>stated</t>
        </is>
      </c>
      <c r="G60" t="inlineStr">
        <is>
          <t>CloudHQ Manassas Corporate Center (MCC)</t>
        </is>
      </c>
      <c r="H60" t="inlineStr">
        <is>
          <t>PLN2011-00437</t>
        </is>
      </c>
      <c r="I60" t="inlineStr">
        <is>
          <t>7694-95-2326.00</t>
        </is>
      </c>
      <c r="J60" t="n">
        <v>317944</v>
      </c>
      <c r="K60" t="n">
        <v>0</v>
      </c>
      <c r="L60" t="inlineStr"/>
      <c r="M60" t="inlineStr">
        <is>
          <t>Stated: building status 'Planned' is the county's own label (PWC Build_Out_Analysis layer 9).</t>
        </is>
      </c>
      <c r="N60" t="inlineStr">
        <is>
          <t>https://gisweb.pwcva.gov/arcgis/rest/services/Planning/Build_Out_Analysis/MapServer/9/130?f=html</t>
        </is>
      </c>
      <c r="O60" t="n">
        <v>38.715389</v>
      </c>
      <c r="P60" t="n">
        <v>-77.496039</v>
      </c>
    </row>
    <row r="61">
      <c r="A61" t="n">
        <v>60</v>
      </c>
      <c r="B61" t="inlineStr">
        <is>
          <t>Prince William</t>
        </is>
      </c>
      <c r="C61" t="inlineStr">
        <is>
          <t>CloudHQ Manassas Corporate Center 6C</t>
        </is>
      </c>
      <c r="D61" t="inlineStr">
        <is>
          <t>Approved/Planned</t>
        </is>
      </c>
      <c r="E61" t="inlineStr">
        <is>
          <t>Planned</t>
        </is>
      </c>
      <c r="F61" t="inlineStr">
        <is>
          <t>stated</t>
        </is>
      </c>
      <c r="G61" t="inlineStr">
        <is>
          <t>CloudHQ Manassas Corporate Center (MCC)</t>
        </is>
      </c>
      <c r="H61" t="inlineStr">
        <is>
          <t>PLN2011-00437</t>
        </is>
      </c>
      <c r="I61" t="inlineStr">
        <is>
          <t>7694-95-2326.00</t>
        </is>
      </c>
      <c r="J61" t="n">
        <v>317944</v>
      </c>
      <c r="K61" t="n">
        <v>0</v>
      </c>
      <c r="L61" t="inlineStr"/>
      <c r="M61" t="inlineStr">
        <is>
          <t>Stated: building status 'Planned' is the county's own label (PWC Build_Out_Analysis layer 9).</t>
        </is>
      </c>
      <c r="N61" t="inlineStr">
        <is>
          <t>https://gisweb.pwcva.gov/arcgis/rest/services/Planning/Build_Out_Analysis/MapServer/9/131?f=html</t>
        </is>
      </c>
      <c r="O61" t="n">
        <v>38.715732</v>
      </c>
      <c r="P61" t="n">
        <v>-77.496954</v>
      </c>
    </row>
    <row r="62">
      <c r="A62" t="n">
        <v>61</v>
      </c>
      <c r="B62" t="inlineStr">
        <is>
          <t>Prince William</t>
        </is>
      </c>
      <c r="C62" t="inlineStr">
        <is>
          <t>CloudHQ Manassas Corporate Center 7</t>
        </is>
      </c>
      <c r="D62" t="inlineStr">
        <is>
          <t>Under construction</t>
        </is>
      </c>
      <c r="E62" t="inlineStr">
        <is>
          <t>Under Construction</t>
        </is>
      </c>
      <c r="F62" t="inlineStr">
        <is>
          <t>stated</t>
        </is>
      </c>
      <c r="G62" t="inlineStr">
        <is>
          <t>CloudHQ Manassas Corporate Center (MCC)</t>
        </is>
      </c>
      <c r="H62" t="inlineStr">
        <is>
          <t>PLN2011-00437</t>
        </is>
      </c>
      <c r="I62" t="inlineStr">
        <is>
          <t>7694-87-2108</t>
        </is>
      </c>
      <c r="J62" t="n">
        <v>235305</v>
      </c>
      <c r="L62" t="inlineStr"/>
      <c r="M62" t="inlineStr">
        <is>
          <t>Stated: building status 'Under Construction' is the county's own label (PWC Build_Out_Analysis layer 9).</t>
        </is>
      </c>
      <c r="N62" t="inlineStr">
        <is>
          <t>https://gisweb.pwcva.gov/arcgis/rest/services/Planning/Build_Out_Analysis/MapServer/9/56?f=html</t>
        </is>
      </c>
      <c r="O62" t="n">
        <v>38.722217</v>
      </c>
      <c r="P62" t="n">
        <v>-77.50111</v>
      </c>
    </row>
    <row r="63">
      <c r="A63" t="n">
        <v>62</v>
      </c>
      <c r="B63" t="inlineStr">
        <is>
          <t>Prince William</t>
        </is>
      </c>
      <c r="C63" t="inlineStr">
        <is>
          <t>CloudHQ Manassas Corporate Center 8</t>
        </is>
      </c>
      <c r="D63" t="inlineStr">
        <is>
          <t>Pending</t>
        </is>
      </c>
      <c r="E63" t="inlineStr">
        <is>
          <t>Pending</t>
        </is>
      </c>
      <c r="F63" t="inlineStr">
        <is>
          <t>stated</t>
        </is>
      </c>
      <c r="G63" t="inlineStr">
        <is>
          <t>CloudHQ Manassas Corporate Center (MCC)</t>
        </is>
      </c>
      <c r="H63" t="inlineStr">
        <is>
          <t>REZ2026-00032</t>
        </is>
      </c>
      <c r="I63" t="inlineStr">
        <is>
          <t>7794-06-1635</t>
        </is>
      </c>
      <c r="J63" t="n">
        <v>860788</v>
      </c>
      <c r="L63" t="inlineStr"/>
      <c r="M63" t="inlineStr">
        <is>
          <t>Stated: building status 'Pending' is the county's own label (PWC Build_Out_Analysis layer 9).</t>
        </is>
      </c>
      <c r="N63" t="inlineStr">
        <is>
          <t>https://gisweb.pwcva.gov/arcgis/rest/services/Planning/Build_Out_Analysis/MapServer/9/205?f=html</t>
        </is>
      </c>
      <c r="O63" t="n">
        <v>38.717734</v>
      </c>
      <c r="P63" t="n">
        <v>-77.493979</v>
      </c>
    </row>
    <row r="64">
      <c r="A64" t="n">
        <v>63</v>
      </c>
      <c r="B64" t="inlineStr">
        <is>
          <t>Prince William</t>
        </is>
      </c>
      <c r="C64" t="inlineStr">
        <is>
          <t>CloudHQ Manassas Data Center 1</t>
        </is>
      </c>
      <c r="D64" t="inlineStr">
        <is>
          <t>Under construction</t>
        </is>
      </c>
      <c r="E64" t="inlineStr">
        <is>
          <t>Under Construction</t>
        </is>
      </c>
      <c r="F64" t="inlineStr">
        <is>
          <t>stated</t>
        </is>
      </c>
      <c r="G64" t="inlineStr">
        <is>
          <t>CloudHQ Manassas Data Center (MDC)</t>
        </is>
      </c>
      <c r="H64" t="inlineStr">
        <is>
          <t>REZ2018-00001</t>
        </is>
      </c>
      <c r="I64" t="inlineStr">
        <is>
          <t>7695-50-9420</t>
        </is>
      </c>
      <c r="J64" t="n">
        <v>597947</v>
      </c>
      <c r="L64" t="inlineStr"/>
      <c r="M64" t="inlineStr">
        <is>
          <t>Stated: building status 'Under Construction' is the county's own label (PWC Build_Out_Analysis layer 9).</t>
        </is>
      </c>
      <c r="N64" t="inlineStr">
        <is>
          <t>https://gisweb.pwcva.gov/arcgis/rest/services/Planning/Build_Out_Analysis/MapServer/9/62?f=html</t>
        </is>
      </c>
      <c r="O64" t="n">
        <v>38.730772</v>
      </c>
      <c r="P64" t="n">
        <v>-77.50814099999999</v>
      </c>
    </row>
    <row r="65">
      <c r="A65" t="n">
        <v>64</v>
      </c>
      <c r="B65" t="inlineStr">
        <is>
          <t>Prince William</t>
        </is>
      </c>
      <c r="C65" t="inlineStr">
        <is>
          <t>CloudHQ Manassas Data Center 2</t>
        </is>
      </c>
      <c r="D65" t="inlineStr">
        <is>
          <t>Under construction</t>
        </is>
      </c>
      <c r="E65" t="inlineStr">
        <is>
          <t>Under Construction</t>
        </is>
      </c>
      <c r="F65" t="inlineStr">
        <is>
          <t>stated</t>
        </is>
      </c>
      <c r="G65" t="inlineStr">
        <is>
          <t>CloudHQ Manassas Data Center (MDC)</t>
        </is>
      </c>
      <c r="H65" t="inlineStr">
        <is>
          <t>REZ2018-00001</t>
        </is>
      </c>
      <c r="I65" t="inlineStr">
        <is>
          <t>7695-50-2882</t>
        </is>
      </c>
      <c r="J65" t="n">
        <v>523151</v>
      </c>
      <c r="L65" t="inlineStr"/>
      <c r="M65" t="inlineStr">
        <is>
          <t>Stated: building status 'Under Construction' is the county's own label (PWC Build_Out_Analysis layer 9).</t>
        </is>
      </c>
      <c r="N65" t="inlineStr">
        <is>
          <t>https://gisweb.pwcva.gov/arcgis/rest/services/Planning/Build_Out_Analysis/MapServer/9/61?f=html</t>
        </is>
      </c>
      <c r="O65" t="n">
        <v>38.732287</v>
      </c>
      <c r="P65" t="n">
        <v>-77.509809</v>
      </c>
    </row>
    <row r="66">
      <c r="A66" t="n">
        <v>65</v>
      </c>
      <c r="B66" t="inlineStr">
        <is>
          <t>Prince William</t>
        </is>
      </c>
      <c r="C66" t="inlineStr">
        <is>
          <t>CloudHQ Manassas Data Center 3</t>
        </is>
      </c>
      <c r="D66" t="inlineStr">
        <is>
          <t>Under construction</t>
        </is>
      </c>
      <c r="E66" t="inlineStr">
        <is>
          <t>Under Construction</t>
        </is>
      </c>
      <c r="F66" t="inlineStr">
        <is>
          <t>stated</t>
        </is>
      </c>
      <c r="G66" t="inlineStr">
        <is>
          <t>CloudHQ Manassas Data Center (MDC)</t>
        </is>
      </c>
      <c r="H66" t="inlineStr">
        <is>
          <t>REZ2018-00001</t>
        </is>
      </c>
      <c r="I66" t="inlineStr">
        <is>
          <t>7695-41-6086</t>
        </is>
      </c>
      <c r="J66" t="n">
        <v>523151</v>
      </c>
      <c r="L66" t="inlineStr"/>
      <c r="M66" t="inlineStr">
        <is>
          <t>Stated: building status 'Under Construction' is the county's own label (PWC Build_Out_Analysis layer 9).</t>
        </is>
      </c>
      <c r="N66" t="inlineStr">
        <is>
          <t>https://gisweb.pwcva.gov/arcgis/rest/services/Planning/Build_Out_Analysis/MapServer/9/265?f=html</t>
        </is>
      </c>
      <c r="O66" t="n">
        <v>38.733768</v>
      </c>
      <c r="P66" t="n">
        <v>-77.51167</v>
      </c>
    </row>
    <row r="67">
      <c r="A67" t="n">
        <v>66</v>
      </c>
      <c r="B67" t="inlineStr">
        <is>
          <t>Prince William</t>
        </is>
      </c>
      <c r="C67" t="inlineStr">
        <is>
          <t>Manassas Amazon AWS 004</t>
        </is>
      </c>
      <c r="D67" t="inlineStr">
        <is>
          <t>Existing/Completed</t>
        </is>
      </c>
      <c r="E67" t="inlineStr">
        <is>
          <t>Completed</t>
        </is>
      </c>
      <c r="F67" t="inlineStr">
        <is>
          <t>stated</t>
        </is>
      </c>
      <c r="G67" t="inlineStr">
        <is>
          <t>CloudHQ Manassas Hornbaker</t>
        </is>
      </c>
      <c r="H67" t="inlineStr">
        <is>
          <t>PLN2007-00535</t>
        </is>
      </c>
      <c r="I67" t="inlineStr">
        <is>
          <t>7595-96-0662</t>
        </is>
      </c>
      <c r="J67" t="n">
        <v>247608</v>
      </c>
      <c r="K67" t="n">
        <v>2010</v>
      </c>
      <c r="L67" t="inlineStr"/>
      <c r="M67" t="inlineStr">
        <is>
          <t>Stated: building status 'Completed' is the county's own label (PWC Build_Out_Analysis layer 9).</t>
        </is>
      </c>
      <c r="N67" t="inlineStr">
        <is>
          <t>https://gisweb.pwcva.gov/arcgis/rest/services/Planning/Build_Out_Analysis/MapServer/9/34?f=html</t>
        </is>
      </c>
      <c r="O67" t="n">
        <v>38.747154</v>
      </c>
      <c r="P67" t="n">
        <v>-77.53247500000001</v>
      </c>
    </row>
    <row r="68">
      <c r="A68" t="n">
        <v>67</v>
      </c>
      <c r="B68" t="inlineStr">
        <is>
          <t>Prince William</t>
        </is>
      </c>
      <c r="C68" t="inlineStr">
        <is>
          <t>Compass Data Centers</t>
        </is>
      </c>
      <c r="D68" t="inlineStr">
        <is>
          <t>Denied/Void</t>
        </is>
      </c>
      <c r="E68" t="inlineStr">
        <is>
          <t>Pending</t>
        </is>
      </c>
      <c r="F68" t="inlineStr">
        <is>
          <t>mixed (county label stated; displayed status ours)</t>
        </is>
      </c>
      <c r="G68" t="inlineStr">
        <is>
          <t>Compass Data Centers</t>
        </is>
      </c>
      <c r="H68" t="inlineStr">
        <is>
          <t>REZ2022-00036</t>
        </is>
      </c>
      <c r="I68" t="inlineStr"/>
      <c r="J68" t="n">
        <v>679718</v>
      </c>
      <c r="L68" t="inlineStr">
        <is>
          <t>County note: the county states these rezonings (Digital Gateway North/South, Compass) were voided by the Court of Appeals on 7/29/2026. Status label here is currently "Denied" and is under review.</t>
        </is>
      </c>
      <c r="M68" t="inlineStr">
        <is>
          <t>County GIS building label is 'Pending' (stated). The displayed status 'Denied/Void' is our project-level treatment (Digital Gateway denied; Compass buildings shown with them), not a county building label.</t>
        </is>
      </c>
      <c r="N68" t="inlineStr">
        <is>
          <t>https://gisweb.pwcva.gov/arcgis/rest/services/Planning/Build_Out_Analysis/MapServer/9/297?f=html</t>
        </is>
      </c>
      <c r="O68" t="n">
        <v>38.848929</v>
      </c>
      <c r="P68" t="n">
        <v>-77.57781300000001</v>
      </c>
    </row>
    <row r="69">
      <c r="A69" t="n">
        <v>68</v>
      </c>
      <c r="B69" t="inlineStr">
        <is>
          <t>Prince William</t>
        </is>
      </c>
      <c r="C69" t="inlineStr">
        <is>
          <t>Compass Data Centers</t>
        </is>
      </c>
      <c r="D69" t="inlineStr">
        <is>
          <t>Denied/Void</t>
        </is>
      </c>
      <c r="E69" t="inlineStr">
        <is>
          <t>Pending</t>
        </is>
      </c>
      <c r="F69" t="inlineStr">
        <is>
          <t>mixed (county label stated; displayed status ours)</t>
        </is>
      </c>
      <c r="G69" t="inlineStr">
        <is>
          <t>Compass Data Centers</t>
        </is>
      </c>
      <c r="H69" t="inlineStr">
        <is>
          <t>REZ2022-00036</t>
        </is>
      </c>
      <c r="I69" t="inlineStr"/>
      <c r="J69" t="n">
        <v>679718</v>
      </c>
      <c r="L69" t="inlineStr">
        <is>
          <t>County note: the county states these rezonings (Digital Gateway North/South, Compass) were voided by the Court of Appeals on 7/29/2026. Status label here is currently "Denied" and is under review.</t>
        </is>
      </c>
      <c r="M69" t="inlineStr">
        <is>
          <t>County GIS building label is 'Pending' (stated). The displayed status 'Denied/Void' is our project-level treatment (Digital Gateway denied; Compass buildings shown with them), not a county building label.</t>
        </is>
      </c>
      <c r="N69" t="inlineStr">
        <is>
          <t>https://gisweb.pwcva.gov/arcgis/rest/services/Planning/Build_Out_Analysis/MapServer/9/298?f=html</t>
        </is>
      </c>
      <c r="O69" t="n">
        <v>38.850635</v>
      </c>
      <c r="P69" t="n">
        <v>-77.57747999999999</v>
      </c>
    </row>
    <row r="70">
      <c r="A70" t="n">
        <v>69</v>
      </c>
      <c r="B70" t="inlineStr">
        <is>
          <t>Prince William</t>
        </is>
      </c>
      <c r="C70" t="inlineStr">
        <is>
          <t>Compass Data Centers</t>
        </is>
      </c>
      <c r="D70" t="inlineStr">
        <is>
          <t>Denied/Void</t>
        </is>
      </c>
      <c r="E70" t="inlineStr">
        <is>
          <t>Pending</t>
        </is>
      </c>
      <c r="F70" t="inlineStr">
        <is>
          <t>mixed (county label stated; displayed status ours)</t>
        </is>
      </c>
      <c r="G70" t="inlineStr">
        <is>
          <t>Compass Data Centers</t>
        </is>
      </c>
      <c r="H70" t="inlineStr">
        <is>
          <t>REZ2022-00036</t>
        </is>
      </c>
      <c r="I70" t="inlineStr"/>
      <c r="J70" t="n">
        <v>679718</v>
      </c>
      <c r="L70" t="inlineStr">
        <is>
          <t>County note: the county states these rezonings (Digital Gateway North/South, Compass) were voided by the Court of Appeals on 7/29/2026. Status label here is currently "Denied" and is under review.</t>
        </is>
      </c>
      <c r="M70" t="inlineStr">
        <is>
          <t>County GIS building label is 'Pending' (stated). The displayed status 'Denied/Void' is our project-level treatment (Digital Gateway denied; Compass buildings shown with them), not a county building label.</t>
        </is>
      </c>
      <c r="N70" t="inlineStr">
        <is>
          <t>https://gisweb.pwcva.gov/arcgis/rest/services/Planning/Build_Out_Analysis/MapServer/9/299?f=html</t>
        </is>
      </c>
      <c r="O70" t="n">
        <v>38.839404</v>
      </c>
      <c r="P70" t="n">
        <v>-77.576549</v>
      </c>
    </row>
    <row r="71">
      <c r="A71" t="n">
        <v>70</v>
      </c>
      <c r="B71" t="inlineStr">
        <is>
          <t>Prince William</t>
        </is>
      </c>
      <c r="C71" t="inlineStr">
        <is>
          <t>Compass Data Centers</t>
        </is>
      </c>
      <c r="D71" t="inlineStr">
        <is>
          <t>Denied/Void</t>
        </is>
      </c>
      <c r="E71" t="inlineStr">
        <is>
          <t>Pending</t>
        </is>
      </c>
      <c r="F71" t="inlineStr">
        <is>
          <t>mixed (county label stated; displayed status ours)</t>
        </is>
      </c>
      <c r="G71" t="inlineStr">
        <is>
          <t>Compass Data Centers</t>
        </is>
      </c>
      <c r="H71" t="inlineStr">
        <is>
          <t>REZ2022-00036</t>
        </is>
      </c>
      <c r="I71" t="inlineStr"/>
      <c r="J71" t="n">
        <v>679718</v>
      </c>
      <c r="L71" t="inlineStr">
        <is>
          <t>County note: the county states these rezonings (Digital Gateway North/South, Compass) were voided by the Court of Appeals on 7/29/2026. Status label here is currently "Denied" and is under review.</t>
        </is>
      </c>
      <c r="M71" t="inlineStr">
        <is>
          <t>County GIS building label is 'Pending' (stated). The displayed status 'Denied/Void' is our project-level treatment (Digital Gateway denied; Compass buildings shown with them), not a county building label.</t>
        </is>
      </c>
      <c r="N71" t="inlineStr">
        <is>
          <t>https://gisweb.pwcva.gov/arcgis/rest/services/Planning/Build_Out_Analysis/MapServer/9/300?f=html</t>
        </is>
      </c>
      <c r="O71" t="n">
        <v>38.838268</v>
      </c>
      <c r="P71" t="n">
        <v>-77.580307</v>
      </c>
    </row>
    <row r="72">
      <c r="A72" t="n">
        <v>71</v>
      </c>
      <c r="B72" t="inlineStr">
        <is>
          <t>Prince William</t>
        </is>
      </c>
      <c r="C72" t="inlineStr">
        <is>
          <t>Compass Data Centers</t>
        </is>
      </c>
      <c r="D72" t="inlineStr">
        <is>
          <t>Denied/Void</t>
        </is>
      </c>
      <c r="E72" t="inlineStr">
        <is>
          <t>Pending</t>
        </is>
      </c>
      <c r="F72" t="inlineStr">
        <is>
          <t>mixed (county label stated; displayed status ours)</t>
        </is>
      </c>
      <c r="G72" t="inlineStr">
        <is>
          <t>Compass Data Centers</t>
        </is>
      </c>
      <c r="H72" t="inlineStr">
        <is>
          <t>REZ2022-00036</t>
        </is>
      </c>
      <c r="I72" t="inlineStr"/>
      <c r="J72" t="n">
        <v>679718</v>
      </c>
      <c r="L72" t="inlineStr">
        <is>
          <t>County note: the county states these rezonings (Digital Gateway North/South, Compass) were voided by the Court of Appeals on 7/29/2026. Status label here is currently "Denied" and is under review.</t>
        </is>
      </c>
      <c r="M72" t="inlineStr">
        <is>
          <t>County GIS building label is 'Pending' (stated). The displayed status 'Denied/Void' is our project-level treatment (Digital Gateway denied; Compass buildings shown with them), not a county building label.</t>
        </is>
      </c>
      <c r="N72" t="inlineStr">
        <is>
          <t>https://gisweb.pwcva.gov/arcgis/rest/services/Planning/Build_Out_Analysis/MapServer/9/301?f=html</t>
        </is>
      </c>
      <c r="O72" t="n">
        <v>38.839488</v>
      </c>
      <c r="P72" t="n">
        <v>-77.580292</v>
      </c>
    </row>
    <row r="73">
      <c r="A73" t="n">
        <v>72</v>
      </c>
      <c r="B73" t="inlineStr">
        <is>
          <t>Prince William</t>
        </is>
      </c>
      <c r="C73" t="inlineStr">
        <is>
          <t>Compass Data Centers</t>
        </is>
      </c>
      <c r="D73" t="inlineStr">
        <is>
          <t>Denied/Void</t>
        </is>
      </c>
      <c r="E73" t="inlineStr">
        <is>
          <t>Pending</t>
        </is>
      </c>
      <c r="F73" t="inlineStr">
        <is>
          <t>mixed (county label stated; displayed status ours)</t>
        </is>
      </c>
      <c r="G73" t="inlineStr">
        <is>
          <t>Compass Data Centers</t>
        </is>
      </c>
      <c r="H73" t="inlineStr">
        <is>
          <t>REZ2022-00036</t>
        </is>
      </c>
      <c r="I73" t="inlineStr"/>
      <c r="J73" t="n">
        <v>679718</v>
      </c>
      <c r="L73" t="inlineStr">
        <is>
          <t>County note: the county states these rezonings (Digital Gateway North/South, Compass) were voided by the Court of Appeals on 7/29/2026. Status label here is currently "Denied" and is under review.</t>
        </is>
      </c>
      <c r="M73" t="inlineStr">
        <is>
          <t>County GIS building label is 'Pending' (stated). The displayed status 'Denied/Void' is our project-level treatment (Digital Gateway denied; Compass buildings shown with them), not a county building label.</t>
        </is>
      </c>
      <c r="N73" t="inlineStr">
        <is>
          <t>https://gisweb.pwcva.gov/arcgis/rest/services/Planning/Build_Out_Analysis/MapServer/9/302?f=html</t>
        </is>
      </c>
      <c r="O73" t="n">
        <v>38.837971</v>
      </c>
      <c r="P73" t="n">
        <v>-77.570086</v>
      </c>
    </row>
    <row r="74">
      <c r="A74" t="n">
        <v>73</v>
      </c>
      <c r="B74" t="inlineStr">
        <is>
          <t>Prince William</t>
        </is>
      </c>
      <c r="C74" t="inlineStr">
        <is>
          <t>Compass Data Centers</t>
        </is>
      </c>
      <c r="D74" t="inlineStr">
        <is>
          <t>Denied/Void</t>
        </is>
      </c>
      <c r="E74" t="inlineStr">
        <is>
          <t>Pending</t>
        </is>
      </c>
      <c r="F74" t="inlineStr">
        <is>
          <t>mixed (county label stated; displayed status ours)</t>
        </is>
      </c>
      <c r="G74" t="inlineStr">
        <is>
          <t>Compass Data Centers</t>
        </is>
      </c>
      <c r="H74" t="inlineStr">
        <is>
          <t>REZ2022-00036</t>
        </is>
      </c>
      <c r="I74" t="inlineStr"/>
      <c r="J74" t="n">
        <v>679718</v>
      </c>
      <c r="L74" t="inlineStr">
        <is>
          <t>County note: the county states these rezonings (Digital Gateway North/South, Compass) were voided by the Court of Appeals on 7/29/2026. Status label here is currently "Denied" and is under review.</t>
        </is>
      </c>
      <c r="M74" t="inlineStr">
        <is>
          <t>County GIS building label is 'Pending' (stated). The displayed status 'Denied/Void' is our project-level treatment (Digital Gateway denied; Compass buildings shown with them), not a county building label.</t>
        </is>
      </c>
      <c r="N74" t="inlineStr">
        <is>
          <t>https://gisweb.pwcva.gov/arcgis/rest/services/Planning/Build_Out_Analysis/MapServer/9/303?f=html</t>
        </is>
      </c>
      <c r="O74" t="n">
        <v>38.833845</v>
      </c>
      <c r="P74" t="n">
        <v>-77.583241</v>
      </c>
    </row>
    <row r="75">
      <c r="A75" t="n">
        <v>74</v>
      </c>
      <c r="B75" t="inlineStr">
        <is>
          <t>Prince William</t>
        </is>
      </c>
      <c r="C75" t="inlineStr">
        <is>
          <t>Compass Data Centers</t>
        </is>
      </c>
      <c r="D75" t="inlineStr">
        <is>
          <t>Denied/Void</t>
        </is>
      </c>
      <c r="E75" t="inlineStr">
        <is>
          <t>Pending</t>
        </is>
      </c>
      <c r="F75" t="inlineStr">
        <is>
          <t>mixed (county label stated; displayed status ours)</t>
        </is>
      </c>
      <c r="G75" t="inlineStr">
        <is>
          <t>Compass Data Centers</t>
        </is>
      </c>
      <c r="H75" t="inlineStr">
        <is>
          <t>REZ2022-00036</t>
        </is>
      </c>
      <c r="I75" t="inlineStr"/>
      <c r="J75" t="n">
        <v>679718</v>
      </c>
      <c r="L75" t="inlineStr">
        <is>
          <t>County note: the county states these rezonings (Digital Gateway North/South, Compass) were voided by the Court of Appeals on 7/29/2026. Status label here is currently "Denied" and is under review.</t>
        </is>
      </c>
      <c r="M75" t="inlineStr">
        <is>
          <t>County GIS building label is 'Pending' (stated). The displayed status 'Denied/Void' is our project-level treatment (Digital Gateway denied; Compass buildings shown with them), not a county building label.</t>
        </is>
      </c>
      <c r="N75" t="inlineStr">
        <is>
          <t>https://gisweb.pwcva.gov/arcgis/rest/services/Planning/Build_Out_Analysis/MapServer/9/304?f=html</t>
        </is>
      </c>
      <c r="O75" t="n">
        <v>38.83363</v>
      </c>
      <c r="P75" t="n">
        <v>-77.579916</v>
      </c>
    </row>
    <row r="76">
      <c r="A76" t="n">
        <v>75</v>
      </c>
      <c r="B76" t="inlineStr">
        <is>
          <t>Prince William</t>
        </is>
      </c>
      <c r="C76" t="inlineStr">
        <is>
          <t>Compass Data Centers</t>
        </is>
      </c>
      <c r="D76" t="inlineStr">
        <is>
          <t>Denied/Void</t>
        </is>
      </c>
      <c r="E76" t="inlineStr">
        <is>
          <t>Pending</t>
        </is>
      </c>
      <c r="F76" t="inlineStr">
        <is>
          <t>mixed (county label stated; displayed status ours)</t>
        </is>
      </c>
      <c r="G76" t="inlineStr">
        <is>
          <t>Compass Data Centers</t>
        </is>
      </c>
      <c r="H76" t="inlineStr">
        <is>
          <t>REZ2022-00036</t>
        </is>
      </c>
      <c r="I76" t="inlineStr"/>
      <c r="J76" t="n">
        <v>679718</v>
      </c>
      <c r="L76" t="inlineStr">
        <is>
          <t>County note: the county states these rezonings (Digital Gateway North/South, Compass) were voided by the Court of Appeals on 7/29/2026. Status label here is currently "Denied" and is under review.</t>
        </is>
      </c>
      <c r="M76" t="inlineStr">
        <is>
          <t>County GIS building label is 'Pending' (stated). The displayed status 'Denied/Void' is our project-level treatment (Digital Gateway denied; Compass buildings shown with them), not a county building label.</t>
        </is>
      </c>
      <c r="N76" t="inlineStr">
        <is>
          <t>https://gisweb.pwcva.gov/arcgis/rest/services/Planning/Build_Out_Analysis/MapServer/9/305?f=html</t>
        </is>
      </c>
      <c r="O76" t="n">
        <v>38.834543</v>
      </c>
      <c r="P76" t="n">
        <v>-77.575468</v>
      </c>
    </row>
    <row r="77">
      <c r="A77" t="n">
        <v>76</v>
      </c>
      <c r="B77" t="inlineStr">
        <is>
          <t>Prince William</t>
        </is>
      </c>
      <c r="C77" t="inlineStr">
        <is>
          <t>Compass Data Centers</t>
        </is>
      </c>
      <c r="D77" t="inlineStr">
        <is>
          <t>Denied/Void</t>
        </is>
      </c>
      <c r="E77" t="inlineStr">
        <is>
          <t>Pending</t>
        </is>
      </c>
      <c r="F77" t="inlineStr">
        <is>
          <t>mixed (county label stated; displayed status ours)</t>
        </is>
      </c>
      <c r="G77" t="inlineStr">
        <is>
          <t>Compass Data Centers</t>
        </is>
      </c>
      <c r="H77" t="inlineStr">
        <is>
          <t>REZ2022-00036</t>
        </is>
      </c>
      <c r="I77" t="inlineStr"/>
      <c r="J77" t="n">
        <v>679718</v>
      </c>
      <c r="L77" t="inlineStr">
        <is>
          <t>County note: the county states these rezonings (Digital Gateway North/South, Compass) were voided by the Court of Appeals on 7/29/2026. Status label here is currently "Denied" and is under review.</t>
        </is>
      </c>
      <c r="M77" t="inlineStr">
        <is>
          <t>County GIS building label is 'Pending' (stated). The displayed status 'Denied/Void' is our project-level treatment (Digital Gateway denied; Compass buildings shown with them), not a county building label.</t>
        </is>
      </c>
      <c r="N77" t="inlineStr">
        <is>
          <t>https://gisweb.pwcva.gov/arcgis/rest/services/Planning/Build_Out_Analysis/MapServer/9/306?f=html</t>
        </is>
      </c>
      <c r="O77" t="n">
        <v>38.83523</v>
      </c>
      <c r="P77" t="n">
        <v>-77.573206</v>
      </c>
    </row>
    <row r="78">
      <c r="A78" t="n">
        <v>77</v>
      </c>
      <c r="B78" t="inlineStr">
        <is>
          <t>Prince William</t>
        </is>
      </c>
      <c r="C78" t="inlineStr">
        <is>
          <t>Compass Data Centers</t>
        </is>
      </c>
      <c r="D78" t="inlineStr">
        <is>
          <t>Denied/Void</t>
        </is>
      </c>
      <c r="E78" t="inlineStr">
        <is>
          <t>Pending</t>
        </is>
      </c>
      <c r="F78" t="inlineStr">
        <is>
          <t>mixed (county label stated; displayed status ours)</t>
        </is>
      </c>
      <c r="G78" t="inlineStr">
        <is>
          <t>Compass Data Centers</t>
        </is>
      </c>
      <c r="H78" t="inlineStr">
        <is>
          <t>REZ2022-00036</t>
        </is>
      </c>
      <c r="I78" t="inlineStr"/>
      <c r="J78" t="n">
        <v>679718</v>
      </c>
      <c r="L78" t="inlineStr">
        <is>
          <t>County note: the county states these rezonings (Digital Gateway North/South, Compass) were voided by the Court of Appeals on 7/29/2026. Status label here is currently "Denied" and is under review.</t>
        </is>
      </c>
      <c r="M78" t="inlineStr">
        <is>
          <t>County GIS building label is 'Pending' (stated). The displayed status 'Denied/Void' is our project-level treatment (Digital Gateway denied; Compass buildings shown with them), not a county building label.</t>
        </is>
      </c>
      <c r="N78" t="inlineStr">
        <is>
          <t>https://gisweb.pwcva.gov/arcgis/rest/services/Planning/Build_Out_Analysis/MapServer/9/307?f=html</t>
        </is>
      </c>
      <c r="O78" t="n">
        <v>38.827048</v>
      </c>
      <c r="P78" t="n">
        <v>-77.574815</v>
      </c>
    </row>
    <row r="79">
      <c r="A79" t="n">
        <v>78</v>
      </c>
      <c r="B79" t="inlineStr">
        <is>
          <t>Prince William</t>
        </is>
      </c>
      <c r="C79" t="inlineStr">
        <is>
          <t>Compass Data Centers</t>
        </is>
      </c>
      <c r="D79" t="inlineStr">
        <is>
          <t>Denied/Void</t>
        </is>
      </c>
      <c r="E79" t="inlineStr">
        <is>
          <t>Pending</t>
        </is>
      </c>
      <c r="F79" t="inlineStr">
        <is>
          <t>mixed (county label stated; displayed status ours)</t>
        </is>
      </c>
      <c r="G79" t="inlineStr">
        <is>
          <t>Compass Data Centers</t>
        </is>
      </c>
      <c r="H79" t="inlineStr">
        <is>
          <t>REZ2022-00036</t>
        </is>
      </c>
      <c r="I79" t="inlineStr"/>
      <c r="J79" t="n">
        <v>679718</v>
      </c>
      <c r="L79" t="inlineStr">
        <is>
          <t>County note: the county states these rezonings (Digital Gateway North/South, Compass) were voided by the Court of Appeals on 7/29/2026. Status label here is currently "Denied" and is under review.</t>
        </is>
      </c>
      <c r="M79" t="inlineStr">
        <is>
          <t>County GIS building label is 'Pending' (stated). The displayed status 'Denied/Void' is our project-level treatment (Digital Gateway denied; Compass buildings shown with them), not a county building label.</t>
        </is>
      </c>
      <c r="N79" t="inlineStr">
        <is>
          <t>https://gisweb.pwcva.gov/arcgis/rest/services/Planning/Build_Out_Analysis/MapServer/9/308?f=html</t>
        </is>
      </c>
      <c r="O79" t="n">
        <v>38.829267</v>
      </c>
      <c r="P79" t="n">
        <v>-77.574631</v>
      </c>
    </row>
    <row r="80">
      <c r="A80" t="n">
        <v>79</v>
      </c>
      <c r="B80" t="inlineStr">
        <is>
          <t>Prince William</t>
        </is>
      </c>
      <c r="C80" t="inlineStr">
        <is>
          <t>Compass Data Centers</t>
        </is>
      </c>
      <c r="D80" t="inlineStr">
        <is>
          <t>Denied/Void</t>
        </is>
      </c>
      <c r="E80" t="inlineStr">
        <is>
          <t>Pending</t>
        </is>
      </c>
      <c r="F80" t="inlineStr">
        <is>
          <t>mixed (county label stated; displayed status ours)</t>
        </is>
      </c>
      <c r="G80" t="inlineStr">
        <is>
          <t>Compass Data Centers</t>
        </is>
      </c>
      <c r="H80" t="inlineStr">
        <is>
          <t>REZ2022-00036</t>
        </is>
      </c>
      <c r="I80" t="inlineStr"/>
      <c r="J80" t="n">
        <v>679718</v>
      </c>
      <c r="L80" t="inlineStr">
        <is>
          <t>County note: the county states these rezonings (Digital Gateway North/South, Compass) were voided by the Court of Appeals on 7/29/2026. Status label here is currently "Denied" and is under review.</t>
        </is>
      </c>
      <c r="M80" t="inlineStr">
        <is>
          <t>County GIS building label is 'Pending' (stated). The displayed status 'Denied/Void' is our project-level treatment (Digital Gateway denied; Compass buildings shown with them), not a county building label.</t>
        </is>
      </c>
      <c r="N80" t="inlineStr">
        <is>
          <t>https://gisweb.pwcva.gov/arcgis/rest/services/Planning/Build_Out_Analysis/MapServer/9/309?f=html</t>
        </is>
      </c>
      <c r="O80" t="n">
        <v>38.829131</v>
      </c>
      <c r="P80" t="n">
        <v>-77.57946800000001</v>
      </c>
    </row>
    <row r="81">
      <c r="A81" t="n">
        <v>80</v>
      </c>
      <c r="B81" t="inlineStr">
        <is>
          <t>Prince William</t>
        </is>
      </c>
      <c r="C81" t="inlineStr">
        <is>
          <t>Compass Data Centers</t>
        </is>
      </c>
      <c r="D81" t="inlineStr">
        <is>
          <t>Denied/Void</t>
        </is>
      </c>
      <c r="E81" t="inlineStr">
        <is>
          <t>Pending</t>
        </is>
      </c>
      <c r="F81" t="inlineStr">
        <is>
          <t>mixed (county label stated; displayed status ours)</t>
        </is>
      </c>
      <c r="G81" t="inlineStr">
        <is>
          <t>Compass Data Centers</t>
        </is>
      </c>
      <c r="H81" t="inlineStr">
        <is>
          <t>REZ2022-00036</t>
        </is>
      </c>
      <c r="I81" t="inlineStr"/>
      <c r="J81" t="n">
        <v>679718</v>
      </c>
      <c r="L81" t="inlineStr">
        <is>
          <t>County note: the county states these rezonings (Digital Gateway North/South, Compass) were voided by the Court of Appeals on 7/29/2026. Status label here is currently "Denied" and is under review.</t>
        </is>
      </c>
      <c r="M81" t="inlineStr">
        <is>
          <t>County GIS building label is 'Pending' (stated). The displayed status 'Denied/Void' is our project-level treatment (Digital Gateway denied; Compass buildings shown with them), not a county building label.</t>
        </is>
      </c>
      <c r="N81" t="inlineStr">
        <is>
          <t>https://gisweb.pwcva.gov/arcgis/rest/services/Planning/Build_Out_Analysis/MapServer/9/310?f=html</t>
        </is>
      </c>
      <c r="O81" t="n">
        <v>38.828381</v>
      </c>
      <c r="P81" t="n">
        <v>-77.58327</v>
      </c>
    </row>
    <row r="82">
      <c r="A82" t="n">
        <v>81</v>
      </c>
      <c r="B82" t="inlineStr">
        <is>
          <t>Prince William</t>
        </is>
      </c>
      <c r="C82" t="inlineStr">
        <is>
          <t>Compass Data Centers</t>
        </is>
      </c>
      <c r="D82" t="inlineStr">
        <is>
          <t>Denied/Void</t>
        </is>
      </c>
      <c r="E82" t="inlineStr">
        <is>
          <t>Pending</t>
        </is>
      </c>
      <c r="F82" t="inlineStr">
        <is>
          <t>mixed (county label stated; displayed status ours)</t>
        </is>
      </c>
      <c r="G82" t="inlineStr">
        <is>
          <t>Compass Data Centers</t>
        </is>
      </c>
      <c r="H82" t="inlineStr">
        <is>
          <t>REZ2022-00036</t>
        </is>
      </c>
      <c r="I82" t="inlineStr"/>
      <c r="J82" t="n">
        <v>679718</v>
      </c>
      <c r="L82" t="inlineStr">
        <is>
          <t>County note: the county states these rezonings (Digital Gateway North/South, Compass) were voided by the Court of Appeals on 7/29/2026. Status label here is currently "Denied" and is under review.</t>
        </is>
      </c>
      <c r="M82" t="inlineStr">
        <is>
          <t>County GIS building label is 'Pending' (stated). The displayed status 'Denied/Void' is our project-level treatment (Digital Gateway denied; Compass buildings shown with them), not a county building label.</t>
        </is>
      </c>
      <c r="N82" t="inlineStr">
        <is>
          <t>https://gisweb.pwcva.gov/arcgis/rest/services/Planning/Build_Out_Analysis/MapServer/9/311?f=html</t>
        </is>
      </c>
      <c r="O82" t="n">
        <v>38.827229</v>
      </c>
      <c r="P82" t="n">
        <v>-77.584704</v>
      </c>
    </row>
    <row r="83">
      <c r="A83" t="n">
        <v>82</v>
      </c>
      <c r="B83" t="inlineStr">
        <is>
          <t>Prince William</t>
        </is>
      </c>
      <c r="C83" t="inlineStr">
        <is>
          <t>Compass Data Centers</t>
        </is>
      </c>
      <c r="D83" t="inlineStr">
        <is>
          <t>Denied/Void</t>
        </is>
      </c>
      <c r="E83" t="inlineStr">
        <is>
          <t>Pending</t>
        </is>
      </c>
      <c r="F83" t="inlineStr">
        <is>
          <t>mixed (county label stated; displayed status ours)</t>
        </is>
      </c>
      <c r="G83" t="inlineStr">
        <is>
          <t>Compass Data Centers</t>
        </is>
      </c>
      <c r="H83" t="inlineStr">
        <is>
          <t>REZ2022-00036</t>
        </is>
      </c>
      <c r="I83" t="inlineStr"/>
      <c r="J83" t="n">
        <v>679718</v>
      </c>
      <c r="L83" t="inlineStr">
        <is>
          <t>County note: the county states these rezonings (Digital Gateway North/South, Compass) were voided by the Court of Appeals on 7/29/2026. Status label here is currently "Denied" and is under review.</t>
        </is>
      </c>
      <c r="M83" t="inlineStr">
        <is>
          <t>County GIS building label is 'Pending' (stated). The displayed status 'Denied/Void' is our project-level treatment (Digital Gateway denied; Compass buildings shown with them), not a county building label.</t>
        </is>
      </c>
      <c r="N83" t="inlineStr">
        <is>
          <t>https://gisweb.pwcva.gov/arcgis/rest/services/Planning/Build_Out_Analysis/MapServer/9/312?f=html</t>
        </is>
      </c>
      <c r="O83" t="n">
        <v>38.823603</v>
      </c>
      <c r="P83" t="n">
        <v>-77.580679</v>
      </c>
    </row>
    <row r="84">
      <c r="A84" t="n">
        <v>83</v>
      </c>
      <c r="B84" t="inlineStr">
        <is>
          <t>Prince William</t>
        </is>
      </c>
      <c r="C84" t="inlineStr">
        <is>
          <t>Compass Data Centers</t>
        </is>
      </c>
      <c r="D84" t="inlineStr">
        <is>
          <t>Denied/Void</t>
        </is>
      </c>
      <c r="E84" t="inlineStr">
        <is>
          <t>Pending</t>
        </is>
      </c>
      <c r="F84" t="inlineStr">
        <is>
          <t>mixed (county label stated; displayed status ours)</t>
        </is>
      </c>
      <c r="G84" t="inlineStr">
        <is>
          <t>Compass Data Centers</t>
        </is>
      </c>
      <c r="H84" t="inlineStr">
        <is>
          <t>REZ2022-00036</t>
        </is>
      </c>
      <c r="I84" t="inlineStr"/>
      <c r="J84" t="n">
        <v>679718</v>
      </c>
      <c r="L84" t="inlineStr">
        <is>
          <t>County note: the county states these rezonings (Digital Gateway North/South, Compass) were voided by the Court of Appeals on 7/29/2026. Status label here is currently "Denied" and is under review.</t>
        </is>
      </c>
      <c r="M84" t="inlineStr">
        <is>
          <t>County GIS building label is 'Pending' (stated). The displayed status 'Denied/Void' is our project-level treatment (Digital Gateway denied; Compass buildings shown with them), not a county building label.</t>
        </is>
      </c>
      <c r="N84" t="inlineStr">
        <is>
          <t>https://gisweb.pwcva.gov/arcgis/rest/services/Planning/Build_Out_Analysis/MapServer/9/313?f=html</t>
        </is>
      </c>
      <c r="O84" t="n">
        <v>38.823191</v>
      </c>
      <c r="P84" t="n">
        <v>-77.58304800000001</v>
      </c>
    </row>
    <row r="85">
      <c r="A85" t="n">
        <v>84</v>
      </c>
      <c r="B85" t="inlineStr">
        <is>
          <t>Prince William</t>
        </is>
      </c>
      <c r="C85" t="inlineStr">
        <is>
          <t>Corscale Gainesville Crossing 1</t>
        </is>
      </c>
      <c r="D85" t="inlineStr">
        <is>
          <t>Existing/Completed</t>
        </is>
      </c>
      <c r="E85" t="inlineStr">
        <is>
          <t>Completed</t>
        </is>
      </c>
      <c r="F85" t="inlineStr">
        <is>
          <t>stated</t>
        </is>
      </c>
      <c r="G85" t="inlineStr">
        <is>
          <t>CorScale Gainesville Crossing</t>
        </is>
      </c>
      <c r="H85" t="inlineStr">
        <is>
          <t>REZ2018-00008</t>
        </is>
      </c>
      <c r="I85" t="inlineStr">
        <is>
          <t>7497-46-2858</t>
        </is>
      </c>
      <c r="J85" t="n">
        <v>482223</v>
      </c>
      <c r="K85" t="n">
        <v>2024</v>
      </c>
      <c r="L85" t="inlineStr"/>
      <c r="M85" t="inlineStr">
        <is>
          <t>Stated: building status 'Completed' is the county's own label (PWC Build_Out_Analysis layer 9).</t>
        </is>
      </c>
      <c r="N85" t="inlineStr">
        <is>
          <t>https://gisweb.pwcva.gov/arcgis/rest/services/Planning/Build_Out_Analysis/MapServer/9/83?f=html</t>
        </is>
      </c>
      <c r="O85" t="n">
        <v>38.802511</v>
      </c>
      <c r="P85" t="n">
        <v>-77.58238900000001</v>
      </c>
    </row>
    <row r="86">
      <c r="A86" t="n">
        <v>85</v>
      </c>
      <c r="B86" t="inlineStr">
        <is>
          <t>Prince William</t>
        </is>
      </c>
      <c r="C86" t="inlineStr">
        <is>
          <t>Corscale Gainesville Crossing 2</t>
        </is>
      </c>
      <c r="D86" t="inlineStr">
        <is>
          <t>Existing/Completed</t>
        </is>
      </c>
      <c r="E86" t="inlineStr">
        <is>
          <t>Completed</t>
        </is>
      </c>
      <c r="F86" t="inlineStr">
        <is>
          <t>stated</t>
        </is>
      </c>
      <c r="G86" t="inlineStr">
        <is>
          <t>CorScale Gainesville Crossing</t>
        </is>
      </c>
      <c r="H86" t="inlineStr">
        <is>
          <t>REZ2018-00008</t>
        </is>
      </c>
      <c r="I86" t="inlineStr">
        <is>
          <t>7497-45-3874</t>
        </is>
      </c>
      <c r="J86" t="n">
        <v>480200</v>
      </c>
      <c r="K86" t="n">
        <v>2026</v>
      </c>
      <c r="L86" t="inlineStr"/>
      <c r="M86" t="inlineStr">
        <is>
          <t>Stated: building status 'Completed' is the county's own label (PWC Build_Out_Analysis layer 9).</t>
        </is>
      </c>
      <c r="N86" t="inlineStr">
        <is>
          <t>https://gisweb.pwcva.gov/arcgis/rest/services/Planning/Build_Out_Analysis/MapServer/9/87?f=html</t>
        </is>
      </c>
      <c r="O86" t="n">
        <v>38.799947</v>
      </c>
      <c r="P86" t="n">
        <v>-77.583409</v>
      </c>
    </row>
    <row r="87">
      <c r="A87" t="n">
        <v>86</v>
      </c>
      <c r="B87" t="inlineStr">
        <is>
          <t>Prince William</t>
        </is>
      </c>
      <c r="C87" t="inlineStr">
        <is>
          <t>Corscale Gainesville Crossing 3</t>
        </is>
      </c>
      <c r="D87" t="inlineStr">
        <is>
          <t>Existing/Completed</t>
        </is>
      </c>
      <c r="E87" t="inlineStr">
        <is>
          <t>Completed</t>
        </is>
      </c>
      <c r="F87" t="inlineStr">
        <is>
          <t>stated</t>
        </is>
      </c>
      <c r="G87" t="inlineStr">
        <is>
          <t>CorScale Gainesville Crossing</t>
        </is>
      </c>
      <c r="H87" t="inlineStr">
        <is>
          <t>REZ2018-00008</t>
        </is>
      </c>
      <c r="I87" t="inlineStr">
        <is>
          <t>7497-45-9757</t>
        </is>
      </c>
      <c r="J87" t="n">
        <v>363220</v>
      </c>
      <c r="K87" t="n">
        <v>2026</v>
      </c>
      <c r="L87" t="inlineStr"/>
      <c r="M87" t="inlineStr">
        <is>
          <t>Stated: building status 'Completed' is the county's own label (PWC Build_Out_Analysis layer 9).</t>
        </is>
      </c>
      <c r="N87" t="inlineStr">
        <is>
          <t>https://gisweb.pwcva.gov/arcgis/rest/services/Planning/Build_Out_Analysis/MapServer/9/84?f=html</t>
        </is>
      </c>
      <c r="O87" t="n">
        <v>38.799568</v>
      </c>
      <c r="P87" t="n">
        <v>-77.580631</v>
      </c>
    </row>
    <row r="88">
      <c r="A88" t="n">
        <v>87</v>
      </c>
      <c r="B88" t="inlineStr">
        <is>
          <t>Prince William</t>
        </is>
      </c>
      <c r="C88" t="inlineStr">
        <is>
          <t>Corscale Gainesville Crossing 4</t>
        </is>
      </c>
      <c r="D88" t="inlineStr">
        <is>
          <t>Approved/Planned</t>
        </is>
      </c>
      <c r="E88" t="inlineStr">
        <is>
          <t>Planned</t>
        </is>
      </c>
      <c r="F88" t="inlineStr">
        <is>
          <t>stated</t>
        </is>
      </c>
      <c r="G88" t="inlineStr">
        <is>
          <t>CorScale Gainesville Crossing</t>
        </is>
      </c>
      <c r="H88" t="inlineStr">
        <is>
          <t>REZ2018-00008</t>
        </is>
      </c>
      <c r="I88" t="inlineStr">
        <is>
          <t>7497-55-7796</t>
        </is>
      </c>
      <c r="J88" t="n">
        <v>326208</v>
      </c>
      <c r="L88" t="inlineStr"/>
      <c r="M88" t="inlineStr">
        <is>
          <t>Stated: building status 'Planned' is the county's own label (PWC Build_Out_Analysis layer 9).</t>
        </is>
      </c>
      <c r="N88" t="inlineStr">
        <is>
          <t>https://gisweb.pwcva.gov/arcgis/rest/services/Planning/Build_Out_Analysis/MapServer/9/86?f=html</t>
        </is>
      </c>
      <c r="O88" t="n">
        <v>38.800684</v>
      </c>
      <c r="P88" t="n">
        <v>-77.577639</v>
      </c>
    </row>
    <row r="89">
      <c r="A89" t="n">
        <v>88</v>
      </c>
      <c r="B89" t="inlineStr">
        <is>
          <t>Prince William</t>
        </is>
      </c>
      <c r="C89" t="inlineStr">
        <is>
          <t>Corscale Gainesville Crossing 5</t>
        </is>
      </c>
      <c r="D89" t="inlineStr">
        <is>
          <t>Approved/Planned</t>
        </is>
      </c>
      <c r="E89" t="inlineStr">
        <is>
          <t>Planned</t>
        </is>
      </c>
      <c r="F89" t="inlineStr">
        <is>
          <t>stated</t>
        </is>
      </c>
      <c r="G89" t="inlineStr">
        <is>
          <t>CorScale Gainesville Crossing</t>
        </is>
      </c>
      <c r="H89" t="inlineStr">
        <is>
          <t>REZ2018-00008</t>
        </is>
      </c>
      <c r="I89" t="inlineStr">
        <is>
          <t>7497-57-7904</t>
        </is>
      </c>
      <c r="J89" t="n">
        <v>600000</v>
      </c>
      <c r="L89" t="inlineStr"/>
      <c r="M89" t="inlineStr">
        <is>
          <t>Stated: building status 'Planned' is the county's own label (PWC Build_Out_Analysis layer 9).</t>
        </is>
      </c>
      <c r="N89" t="inlineStr">
        <is>
          <t>https://gisweb.pwcva.gov/arcgis/rest/services/Planning/Build_Out_Analysis/MapServer/9/85?f=html</t>
        </is>
      </c>
      <c r="O89" t="n">
        <v>38.803663</v>
      </c>
      <c r="P89" t="n">
        <v>-77.577534</v>
      </c>
    </row>
    <row r="90">
      <c r="A90" t="n">
        <v>89</v>
      </c>
      <c r="B90" t="inlineStr">
        <is>
          <t>Prince William</t>
        </is>
      </c>
      <c r="C90" t="inlineStr">
        <is>
          <t>DOANE DRIVE - DULLES GLASS</t>
        </is>
      </c>
      <c r="D90" t="inlineStr">
        <is>
          <t>Approved/Planned</t>
        </is>
      </c>
      <c r="E90" t="inlineStr">
        <is>
          <t>Planned</t>
        </is>
      </c>
      <c r="F90" t="inlineStr">
        <is>
          <t>stated</t>
        </is>
      </c>
      <c r="G90" t="inlineStr">
        <is>
          <t>DOANE DRIVE - DULLES GLASS</t>
        </is>
      </c>
      <c r="H90" t="inlineStr">
        <is>
          <t>REZ1969-0021</t>
        </is>
      </c>
      <c r="I90" t="inlineStr">
        <is>
          <t>7597-42-8878</t>
        </is>
      </c>
      <c r="J90" t="n">
        <v>242530</v>
      </c>
      <c r="L90" t="inlineStr"/>
      <c r="M90" t="inlineStr">
        <is>
          <t>Stated: building status 'Planned' is the county's own label (PWC Build_Out_Analysis layer 9).</t>
        </is>
      </c>
      <c r="N90" t="inlineStr">
        <is>
          <t>https://gisweb.pwcva.gov/arcgis/rest/services/Planning/Build_Out_Analysis/MapServer/9/678?f=html</t>
        </is>
      </c>
      <c r="O90" t="n">
        <v>38.79195</v>
      </c>
      <c r="P90" t="n">
        <v>-77.54556100000001</v>
      </c>
    </row>
    <row r="91">
      <c r="A91" t="n">
        <v>90</v>
      </c>
      <c r="B91" t="inlineStr">
        <is>
          <t>Prince William</t>
        </is>
      </c>
      <c r="C91" t="inlineStr">
        <is>
          <t>Devlin Technology Park A</t>
        </is>
      </c>
      <c r="D91" t="inlineStr">
        <is>
          <t>Approved/Planned</t>
        </is>
      </c>
      <c r="E91" t="inlineStr">
        <is>
          <t>Planned</t>
        </is>
      </c>
      <c r="F91" t="inlineStr">
        <is>
          <t>stated</t>
        </is>
      </c>
      <c r="G91" t="inlineStr">
        <is>
          <t>Devlin Technology Park</t>
        </is>
      </c>
      <c r="H91" t="inlineStr">
        <is>
          <t>REZ2022-00022</t>
        </is>
      </c>
      <c r="I91" t="inlineStr">
        <is>
          <t>7496-63-4453</t>
        </is>
      </c>
      <c r="J91" t="n">
        <v>222950</v>
      </c>
      <c r="L91" t="inlineStr"/>
      <c r="M91" t="inlineStr">
        <is>
          <t>Stated: building status 'Planned' is the county's own label (PWC Build_Out_Analysis layer 9).</t>
        </is>
      </c>
      <c r="N91" t="inlineStr">
        <is>
          <t>https://gisweb.pwcva.gov/arcgis/rest/services/Planning/Build_Out_Analysis/MapServer/9/127?f=html</t>
        </is>
      </c>
      <c r="O91" t="n">
        <v>38.760722</v>
      </c>
      <c r="P91" t="n">
        <v>-77.578641</v>
      </c>
    </row>
    <row r="92">
      <c r="A92" t="n">
        <v>91</v>
      </c>
      <c r="B92" t="inlineStr">
        <is>
          <t>Prince William</t>
        </is>
      </c>
      <c r="C92" t="inlineStr">
        <is>
          <t>Devlin Technology Park B</t>
        </is>
      </c>
      <c r="D92" t="inlineStr">
        <is>
          <t>Approved/Planned</t>
        </is>
      </c>
      <c r="E92" t="inlineStr">
        <is>
          <t>Planned</t>
        </is>
      </c>
      <c r="F92" t="inlineStr">
        <is>
          <t>stated</t>
        </is>
      </c>
      <c r="G92" t="inlineStr">
        <is>
          <t>Devlin Technology Park</t>
        </is>
      </c>
      <c r="H92" t="inlineStr">
        <is>
          <t>REZ2022-00022</t>
        </is>
      </c>
      <c r="I92" t="inlineStr">
        <is>
          <t>7496-63-4453</t>
        </is>
      </c>
      <c r="J92" t="n">
        <v>222950</v>
      </c>
      <c r="L92" t="inlineStr"/>
      <c r="M92" t="inlineStr">
        <is>
          <t>Stated: building status 'Planned' is the county's own label (PWC Build_Out_Analysis layer 9).</t>
        </is>
      </c>
      <c r="N92" t="inlineStr">
        <is>
          <t>https://gisweb.pwcva.gov/arcgis/rest/services/Planning/Build_Out_Analysis/MapServer/9/126?f=html</t>
        </is>
      </c>
      <c r="O92" t="n">
        <v>38.762474</v>
      </c>
      <c r="P92" t="n">
        <v>-77.579016</v>
      </c>
    </row>
    <row r="93">
      <c r="A93" t="n">
        <v>92</v>
      </c>
      <c r="B93" t="inlineStr">
        <is>
          <t>Prince William</t>
        </is>
      </c>
      <c r="C93" t="inlineStr">
        <is>
          <t>Devlin Technology Park C</t>
        </is>
      </c>
      <c r="D93" t="inlineStr">
        <is>
          <t>Approved/Planned</t>
        </is>
      </c>
      <c r="E93" t="inlineStr">
        <is>
          <t>Planned</t>
        </is>
      </c>
      <c r="F93" t="inlineStr">
        <is>
          <t>stated</t>
        </is>
      </c>
      <c r="G93" t="inlineStr">
        <is>
          <t>Devlin Technology Park</t>
        </is>
      </c>
      <c r="H93" t="inlineStr">
        <is>
          <t>REZ2022-00022</t>
        </is>
      </c>
      <c r="I93" t="inlineStr">
        <is>
          <t>7496-63-4453</t>
        </is>
      </c>
      <c r="J93" t="n">
        <v>222950</v>
      </c>
      <c r="L93" t="inlineStr"/>
      <c r="M93" t="inlineStr">
        <is>
          <t>Stated: building status 'Planned' is the county's own label (PWC Build_Out_Analysis layer 9).</t>
        </is>
      </c>
      <c r="N93" t="inlineStr">
        <is>
          <t>https://gisweb.pwcva.gov/arcgis/rest/services/Planning/Build_Out_Analysis/MapServer/9/124?f=html</t>
        </is>
      </c>
      <c r="O93" t="n">
        <v>38.764732</v>
      </c>
      <c r="P93" t="n">
        <v>-77.57795</v>
      </c>
    </row>
    <row r="94">
      <c r="A94" t="n">
        <v>93</v>
      </c>
      <c r="B94" t="inlineStr">
        <is>
          <t>Prince William</t>
        </is>
      </c>
      <c r="C94" t="inlineStr">
        <is>
          <t>Devlin Technology Park D</t>
        </is>
      </c>
      <c r="D94" t="inlineStr">
        <is>
          <t>Approved/Planned</t>
        </is>
      </c>
      <c r="E94" t="inlineStr">
        <is>
          <t>Planned</t>
        </is>
      </c>
      <c r="F94" t="inlineStr">
        <is>
          <t>stated</t>
        </is>
      </c>
      <c r="G94" t="inlineStr">
        <is>
          <t>Devlin Technology Park</t>
        </is>
      </c>
      <c r="H94" t="inlineStr">
        <is>
          <t>REZ2022-00022</t>
        </is>
      </c>
      <c r="I94" t="inlineStr">
        <is>
          <t>7496-63-4453</t>
        </is>
      </c>
      <c r="J94" t="n">
        <v>222950</v>
      </c>
      <c r="L94" t="inlineStr"/>
      <c r="M94" t="inlineStr">
        <is>
          <t>Stated: building status 'Planned' is the county's own label (PWC Build_Out_Analysis layer 9).</t>
        </is>
      </c>
      <c r="N94" t="inlineStr">
        <is>
          <t>https://gisweb.pwcva.gov/arcgis/rest/services/Planning/Build_Out_Analysis/MapServer/9/122?f=html</t>
        </is>
      </c>
      <c r="O94" t="n">
        <v>38.767259</v>
      </c>
      <c r="P94" t="n">
        <v>-77.576752</v>
      </c>
    </row>
    <row r="95">
      <c r="A95" t="n">
        <v>94</v>
      </c>
      <c r="B95" t="inlineStr">
        <is>
          <t>Prince William</t>
        </is>
      </c>
      <c r="C95" t="inlineStr">
        <is>
          <t>Devlin Technology Park E</t>
        </is>
      </c>
      <c r="D95" t="inlineStr">
        <is>
          <t>Approved/Planned</t>
        </is>
      </c>
      <c r="E95" t="inlineStr">
        <is>
          <t>Planned</t>
        </is>
      </c>
      <c r="F95" t="inlineStr">
        <is>
          <t>stated</t>
        </is>
      </c>
      <c r="G95" t="inlineStr">
        <is>
          <t>Devlin Technology Park</t>
        </is>
      </c>
      <c r="H95" t="inlineStr">
        <is>
          <t>REZ2022-00022</t>
        </is>
      </c>
      <c r="I95" t="inlineStr">
        <is>
          <t>7496-63-4453</t>
        </is>
      </c>
      <c r="J95" t="n">
        <v>222950</v>
      </c>
      <c r="L95" t="inlineStr"/>
      <c r="M95" t="inlineStr">
        <is>
          <t>Stated: building status 'Planned' is the county's own label (PWC Build_Out_Analysis layer 9).</t>
        </is>
      </c>
      <c r="N95" t="inlineStr">
        <is>
          <t>https://gisweb.pwcva.gov/arcgis/rest/services/Planning/Build_Out_Analysis/MapServer/9/125?f=html</t>
        </is>
      </c>
      <c r="O95" t="n">
        <v>38.761814</v>
      </c>
      <c r="P95" t="n">
        <v>-77.57682200000001</v>
      </c>
    </row>
    <row r="96">
      <c r="A96" t="n">
        <v>95</v>
      </c>
      <c r="B96" t="inlineStr">
        <is>
          <t>Prince William</t>
        </is>
      </c>
      <c r="C96" t="inlineStr">
        <is>
          <t>Devlin Technology Park F</t>
        </is>
      </c>
      <c r="D96" t="inlineStr">
        <is>
          <t>Approved/Planned</t>
        </is>
      </c>
      <c r="E96" t="inlineStr">
        <is>
          <t>Planned</t>
        </is>
      </c>
      <c r="F96" t="inlineStr">
        <is>
          <t>stated</t>
        </is>
      </c>
      <c r="G96" t="inlineStr">
        <is>
          <t>Devlin Technology Park</t>
        </is>
      </c>
      <c r="H96" t="inlineStr">
        <is>
          <t>REZ2022-00022</t>
        </is>
      </c>
      <c r="I96" t="inlineStr">
        <is>
          <t>7496-63-4453</t>
        </is>
      </c>
      <c r="J96" t="n">
        <v>222950</v>
      </c>
      <c r="L96" t="inlineStr"/>
      <c r="M96" t="inlineStr">
        <is>
          <t>Stated: building status 'Planned' is the county's own label (PWC Build_Out_Analysis layer 9).</t>
        </is>
      </c>
      <c r="N96" t="inlineStr">
        <is>
          <t>https://gisweb.pwcva.gov/arcgis/rest/services/Planning/Build_Out_Analysis/MapServer/9/123?f=html</t>
        </is>
      </c>
      <c r="O96" t="n">
        <v>38.764072</v>
      </c>
      <c r="P96" t="n">
        <v>-77.575756</v>
      </c>
    </row>
    <row r="97">
      <c r="A97" t="n">
        <v>96</v>
      </c>
      <c r="B97" t="inlineStr">
        <is>
          <t>Prince William</t>
        </is>
      </c>
      <c r="C97" t="inlineStr">
        <is>
          <t>Devlin Technology Park G</t>
        </is>
      </c>
      <c r="D97" t="inlineStr">
        <is>
          <t>Approved/Planned</t>
        </is>
      </c>
      <c r="E97" t="inlineStr">
        <is>
          <t>Planned</t>
        </is>
      </c>
      <c r="F97" t="inlineStr">
        <is>
          <t>stated</t>
        </is>
      </c>
      <c r="G97" t="inlineStr">
        <is>
          <t>Devlin Technology Park</t>
        </is>
      </c>
      <c r="H97" t="inlineStr">
        <is>
          <t>REZ2022-00022</t>
        </is>
      </c>
      <c r="I97" t="inlineStr">
        <is>
          <t>7496-63-4453</t>
        </is>
      </c>
      <c r="J97" t="n">
        <v>222950</v>
      </c>
      <c r="L97" t="inlineStr"/>
      <c r="M97" t="inlineStr">
        <is>
          <t>Stated: building status 'Planned' is the county's own label (PWC Build_Out_Analysis layer 9).</t>
        </is>
      </c>
      <c r="N97" t="inlineStr">
        <is>
          <t>https://gisweb.pwcva.gov/arcgis/rest/services/Planning/Build_Out_Analysis/MapServer/9/121?f=html</t>
        </is>
      </c>
      <c r="O97" t="n">
        <v>38.766599</v>
      </c>
      <c r="P97" t="n">
        <v>-77.574557</v>
      </c>
    </row>
    <row r="98">
      <c r="A98" t="n">
        <v>97</v>
      </c>
      <c r="B98" t="inlineStr">
        <is>
          <t>Prince William</t>
        </is>
      </c>
      <c r="C98" t="inlineStr">
        <is>
          <t>Devlin Technology Park H</t>
        </is>
      </c>
      <c r="D98" t="inlineStr">
        <is>
          <t>Approved/Planned</t>
        </is>
      </c>
      <c r="E98" t="inlineStr">
        <is>
          <t>Planned</t>
        </is>
      </c>
      <c r="F98" t="inlineStr">
        <is>
          <t>stated</t>
        </is>
      </c>
      <c r="G98" t="inlineStr">
        <is>
          <t>Devlin Technology Park</t>
        </is>
      </c>
      <c r="H98" t="inlineStr">
        <is>
          <t>REZ2022-00022</t>
        </is>
      </c>
      <c r="I98" t="inlineStr">
        <is>
          <t>7496-63-4453</t>
        </is>
      </c>
      <c r="J98" t="n">
        <v>222950</v>
      </c>
      <c r="L98" t="inlineStr"/>
      <c r="M98" t="inlineStr">
        <is>
          <t>Stated: building status 'Planned' is the county's own label (PWC Build_Out_Analysis layer 9).</t>
        </is>
      </c>
      <c r="N98" t="inlineStr">
        <is>
          <t>https://gisweb.pwcva.gov/arcgis/rest/services/Planning/Build_Out_Analysis/MapServer/9/128?f=html</t>
        </is>
      </c>
      <c r="O98" t="n">
        <v>38.76845</v>
      </c>
      <c r="P98" t="n">
        <v>-77.574879</v>
      </c>
    </row>
    <row r="99">
      <c r="A99" t="n">
        <v>98</v>
      </c>
      <c r="B99" t="inlineStr">
        <is>
          <t>Prince William</t>
        </is>
      </c>
      <c r="C99" t="inlineStr">
        <is>
          <t>Digital Gateway North</t>
        </is>
      </c>
      <c r="D99" t="inlineStr">
        <is>
          <t>Denied/Void</t>
        </is>
      </c>
      <c r="E99" t="inlineStr">
        <is>
          <t>Pending</t>
        </is>
      </c>
      <c r="F99" t="inlineStr">
        <is>
          <t>mixed (county label stated; displayed status ours)</t>
        </is>
      </c>
      <c r="G99" t="inlineStr">
        <is>
          <t>Digital Gateway North</t>
        </is>
      </c>
      <c r="H99" t="inlineStr">
        <is>
          <t>REZ2022-00032</t>
        </is>
      </c>
      <c r="I99" t="inlineStr"/>
      <c r="J99" t="n">
        <v>583333</v>
      </c>
      <c r="L99" t="inlineStr">
        <is>
          <t>County note: the county states these rezonings (Digital Gateway North/South, Compass) were voided by the Court of Appeals on 7/29/2026. Status label here is currently "Denied" and is under review.</t>
        </is>
      </c>
      <c r="M99" t="inlineStr">
        <is>
          <t>County GIS building label is 'Pending' (stated). The displayed status 'Denied/Void' is our project-level treatment (Digital Gateway denied; Compass buildings shown with them), not a county building label.</t>
        </is>
      </c>
      <c r="N99" t="inlineStr">
        <is>
          <t>https://gisweb.pwcva.gov/arcgis/rest/services/Planning/Build_Out_Analysis/MapServer/9/277?f=html</t>
        </is>
      </c>
      <c r="O99" t="n">
        <v>38.845966</v>
      </c>
      <c r="P99" t="n">
        <v>-77.571393</v>
      </c>
    </row>
    <row r="100">
      <c r="A100" t="n">
        <v>99</v>
      </c>
      <c r="B100" t="inlineStr">
        <is>
          <t>Prince William</t>
        </is>
      </c>
      <c r="C100" t="inlineStr">
        <is>
          <t>Digital Gateway North</t>
        </is>
      </c>
      <c r="D100" t="inlineStr">
        <is>
          <t>Denied/Void</t>
        </is>
      </c>
      <c r="E100" t="inlineStr">
        <is>
          <t>Pending</t>
        </is>
      </c>
      <c r="F100" t="inlineStr">
        <is>
          <t>mixed (county label stated; displayed status ours)</t>
        </is>
      </c>
      <c r="G100" t="inlineStr">
        <is>
          <t>Digital Gateway North</t>
        </is>
      </c>
      <c r="H100" t="inlineStr">
        <is>
          <t>REZ2022-00032</t>
        </is>
      </c>
      <c r="I100" t="inlineStr"/>
      <c r="J100" t="n">
        <v>583333</v>
      </c>
      <c r="L100" t="inlineStr">
        <is>
          <t>County note: the county states these rezonings (Digital Gateway North/South, Compass) were voided by the Court of Appeals on 7/29/2026. Status label here is currently "Denied" and is under review.</t>
        </is>
      </c>
      <c r="M100" t="inlineStr">
        <is>
          <t>County GIS building label is 'Pending' (stated). The displayed status 'Denied/Void' is our project-level treatment (Digital Gateway denied; Compass buildings shown with them), not a county building label.</t>
        </is>
      </c>
      <c r="N100" t="inlineStr">
        <is>
          <t>https://gisweb.pwcva.gov/arcgis/rest/services/Planning/Build_Out_Analysis/MapServer/9/278?f=html</t>
        </is>
      </c>
      <c r="O100" t="n">
        <v>38.841893</v>
      </c>
      <c r="P100" t="n">
        <v>-77.572496</v>
      </c>
    </row>
    <row r="101">
      <c r="A101" t="n">
        <v>100</v>
      </c>
      <c r="B101" t="inlineStr">
        <is>
          <t>Prince William</t>
        </is>
      </c>
      <c r="C101" t="inlineStr">
        <is>
          <t>Digital Gateway North</t>
        </is>
      </c>
      <c r="D101" t="inlineStr">
        <is>
          <t>Denied/Void</t>
        </is>
      </c>
      <c r="E101" t="inlineStr">
        <is>
          <t>Pending</t>
        </is>
      </c>
      <c r="F101" t="inlineStr">
        <is>
          <t>mixed (county label stated; displayed status ours)</t>
        </is>
      </c>
      <c r="G101" t="inlineStr">
        <is>
          <t>Digital Gateway North</t>
        </is>
      </c>
      <c r="H101" t="inlineStr">
        <is>
          <t>REZ2022-00032</t>
        </is>
      </c>
      <c r="I101" t="inlineStr"/>
      <c r="J101" t="n">
        <v>583333</v>
      </c>
      <c r="L101" t="inlineStr">
        <is>
          <t>County note: the county states these rezonings (Digital Gateway North/South, Compass) were voided by the Court of Appeals on 7/29/2026. Status label here is currently "Denied" and is under review.</t>
        </is>
      </c>
      <c r="M101" t="inlineStr">
        <is>
          <t>County GIS building label is 'Pending' (stated). The displayed status 'Denied/Void' is our project-level treatment (Digital Gateway denied; Compass buildings shown with them), not a county building label.</t>
        </is>
      </c>
      <c r="N101" t="inlineStr">
        <is>
          <t>https://gisweb.pwcva.gov/arcgis/rest/services/Planning/Build_Out_Analysis/MapServer/9/279?f=html</t>
        </is>
      </c>
      <c r="O101" t="n">
        <v>38.843895</v>
      </c>
      <c r="P101" t="n">
        <v>-77.571916</v>
      </c>
    </row>
    <row r="102">
      <c r="A102" t="n">
        <v>101</v>
      </c>
      <c r="B102" t="inlineStr">
        <is>
          <t>Prince William</t>
        </is>
      </c>
      <c r="C102" t="inlineStr">
        <is>
          <t>Digital Gateway North</t>
        </is>
      </c>
      <c r="D102" t="inlineStr">
        <is>
          <t>Denied/Void</t>
        </is>
      </c>
      <c r="E102" t="inlineStr">
        <is>
          <t>Pending</t>
        </is>
      </c>
      <c r="F102" t="inlineStr">
        <is>
          <t>mixed (county label stated; displayed status ours)</t>
        </is>
      </c>
      <c r="G102" t="inlineStr">
        <is>
          <t>Digital Gateway North</t>
        </is>
      </c>
      <c r="H102" t="inlineStr">
        <is>
          <t>REZ2022-00032</t>
        </is>
      </c>
      <c r="I102" t="inlineStr"/>
      <c r="J102" t="n">
        <v>583333</v>
      </c>
      <c r="L102" t="inlineStr">
        <is>
          <t>County note: the county states these rezonings (Digital Gateway North/South, Compass) were voided by the Court of Appeals on 7/29/2026. Status label here is currently "Denied" and is under review.</t>
        </is>
      </c>
      <c r="M102" t="inlineStr">
        <is>
          <t>County GIS building label is 'Pending' (stated). The displayed status 'Denied/Void' is our project-level treatment (Digital Gateway denied; Compass buildings shown with them), not a county building label.</t>
        </is>
      </c>
      <c r="N102" t="inlineStr">
        <is>
          <t>https://gisweb.pwcva.gov/arcgis/rest/services/Planning/Build_Out_Analysis/MapServer/9/280?f=html</t>
        </is>
      </c>
      <c r="O102" t="n">
        <v>38.852876</v>
      </c>
      <c r="P102" t="n">
        <v>-77.569546</v>
      </c>
    </row>
    <row r="103">
      <c r="A103" t="n">
        <v>102</v>
      </c>
      <c r="B103" t="inlineStr">
        <is>
          <t>Prince William</t>
        </is>
      </c>
      <c r="C103" t="inlineStr">
        <is>
          <t>Digital Gateway North</t>
        </is>
      </c>
      <c r="D103" t="inlineStr">
        <is>
          <t>Denied/Void</t>
        </is>
      </c>
      <c r="E103" t="inlineStr">
        <is>
          <t>Pending</t>
        </is>
      </c>
      <c r="F103" t="inlineStr">
        <is>
          <t>mixed (county label stated; displayed status ours)</t>
        </is>
      </c>
      <c r="G103" t="inlineStr">
        <is>
          <t>Digital Gateway North</t>
        </is>
      </c>
      <c r="H103" t="inlineStr">
        <is>
          <t>REZ2022-00032</t>
        </is>
      </c>
      <c r="I103" t="inlineStr"/>
      <c r="J103" t="n">
        <v>583333</v>
      </c>
      <c r="L103" t="inlineStr">
        <is>
          <t>County note: the county states these rezonings (Digital Gateway North/South, Compass) were voided by the Court of Appeals on 7/29/2026. Status label here is currently "Denied" and is under review.</t>
        </is>
      </c>
      <c r="M103" t="inlineStr">
        <is>
          <t>County GIS building label is 'Pending' (stated). The displayed status 'Denied/Void' is our project-level treatment (Digital Gateway denied; Compass buildings shown with them), not a county building label.</t>
        </is>
      </c>
      <c r="N103" t="inlineStr">
        <is>
          <t>https://gisweb.pwcva.gov/arcgis/rest/services/Planning/Build_Out_Analysis/MapServer/9/281?f=html</t>
        </is>
      </c>
      <c r="O103" t="n">
        <v>38.849307</v>
      </c>
      <c r="P103" t="n">
        <v>-77.570702</v>
      </c>
    </row>
    <row r="104">
      <c r="A104" t="n">
        <v>103</v>
      </c>
      <c r="B104" t="inlineStr">
        <is>
          <t>Prince William</t>
        </is>
      </c>
      <c r="C104" t="inlineStr">
        <is>
          <t>Digital Gateway North</t>
        </is>
      </c>
      <c r="D104" t="inlineStr">
        <is>
          <t>Denied/Void</t>
        </is>
      </c>
      <c r="E104" t="inlineStr">
        <is>
          <t>Pending</t>
        </is>
      </c>
      <c r="F104" t="inlineStr">
        <is>
          <t>mixed (county label stated; displayed status ours)</t>
        </is>
      </c>
      <c r="G104" t="inlineStr">
        <is>
          <t>Digital Gateway North</t>
        </is>
      </c>
      <c r="H104" t="inlineStr">
        <is>
          <t>REZ2022-00032</t>
        </is>
      </c>
      <c r="I104" t="inlineStr"/>
      <c r="J104" t="n">
        <v>583333</v>
      </c>
      <c r="L104" t="inlineStr">
        <is>
          <t>County note: the county states these rezonings (Digital Gateway North/South, Compass) were voided by the Court of Appeals on 7/29/2026. Status label here is currently "Denied" and is under review.</t>
        </is>
      </c>
      <c r="M104" t="inlineStr">
        <is>
          <t>County GIS building label is 'Pending' (stated). The displayed status 'Denied/Void' is our project-level treatment (Digital Gateway denied; Compass buildings shown with them), not a county building label.</t>
        </is>
      </c>
      <c r="N104" t="inlineStr">
        <is>
          <t>https://gisweb.pwcva.gov/arcgis/rest/services/Planning/Build_Out_Analysis/MapServer/9/290?f=html</t>
        </is>
      </c>
      <c r="O104" t="n">
        <v>38.84651</v>
      </c>
      <c r="P104" t="n">
        <v>-77.581118</v>
      </c>
    </row>
    <row r="105">
      <c r="A105" t="n">
        <v>104</v>
      </c>
      <c r="B105" t="inlineStr">
        <is>
          <t>Prince William</t>
        </is>
      </c>
      <c r="C105" t="inlineStr">
        <is>
          <t>Digital Gateway North</t>
        </is>
      </c>
      <c r="D105" t="inlineStr">
        <is>
          <t>Denied/Void</t>
        </is>
      </c>
      <c r="E105" t="inlineStr">
        <is>
          <t>Pending</t>
        </is>
      </c>
      <c r="F105" t="inlineStr">
        <is>
          <t>mixed (county label stated; displayed status ours)</t>
        </is>
      </c>
      <c r="G105" t="inlineStr">
        <is>
          <t>Digital Gateway North</t>
        </is>
      </c>
      <c r="H105" t="inlineStr">
        <is>
          <t>REZ2022-00032</t>
        </is>
      </c>
      <c r="I105" t="inlineStr"/>
      <c r="J105" t="n">
        <v>583333</v>
      </c>
      <c r="L105" t="inlineStr">
        <is>
          <t>County note: the county states these rezonings (Digital Gateway North/South, Compass) were voided by the Court of Appeals on 7/29/2026. Status label here is currently "Denied" and is under review.</t>
        </is>
      </c>
      <c r="M105" t="inlineStr">
        <is>
          <t>County GIS building label is 'Pending' (stated). The displayed status 'Denied/Void' is our project-level treatment (Digital Gateway denied; Compass buildings shown with them), not a county building label.</t>
        </is>
      </c>
      <c r="N105" t="inlineStr">
        <is>
          <t>https://gisweb.pwcva.gov/arcgis/rest/services/Planning/Build_Out_Analysis/MapServer/9/291?f=html</t>
        </is>
      </c>
      <c r="O105" t="n">
        <v>38.842359</v>
      </c>
      <c r="P105" t="n">
        <v>-77.581063</v>
      </c>
    </row>
    <row r="106">
      <c r="A106" t="n">
        <v>105</v>
      </c>
      <c r="B106" t="inlineStr">
        <is>
          <t>Prince William</t>
        </is>
      </c>
      <c r="C106" t="inlineStr">
        <is>
          <t>Digital Gateway North</t>
        </is>
      </c>
      <c r="D106" t="inlineStr">
        <is>
          <t>Denied/Void</t>
        </is>
      </c>
      <c r="E106" t="inlineStr">
        <is>
          <t>Pending</t>
        </is>
      </c>
      <c r="F106" t="inlineStr">
        <is>
          <t>mixed (county label stated; displayed status ours)</t>
        </is>
      </c>
      <c r="G106" t="inlineStr">
        <is>
          <t>Digital Gateway North</t>
        </is>
      </c>
      <c r="H106" t="inlineStr">
        <is>
          <t>REZ2022-00032</t>
        </is>
      </c>
      <c r="I106" t="inlineStr"/>
      <c r="J106" t="n">
        <v>583333</v>
      </c>
      <c r="L106" t="inlineStr">
        <is>
          <t>County note: the county states these rezonings (Digital Gateway North/South, Compass) were voided by the Court of Appeals on 7/29/2026. Status label here is currently "Denied" and is under review.</t>
        </is>
      </c>
      <c r="M106" t="inlineStr">
        <is>
          <t>County GIS building label is 'Pending' (stated). The displayed status 'Denied/Void' is our project-level treatment (Digital Gateway denied; Compass buildings shown with them), not a county building label.</t>
        </is>
      </c>
      <c r="N106" t="inlineStr">
        <is>
          <t>https://gisweb.pwcva.gov/arcgis/rest/services/Planning/Build_Out_Analysis/MapServer/9/292?f=html</t>
        </is>
      </c>
      <c r="O106" t="n">
        <v>38.842932</v>
      </c>
      <c r="P106" t="n">
        <v>-77.57850999999999</v>
      </c>
    </row>
    <row r="107">
      <c r="A107" t="n">
        <v>106</v>
      </c>
      <c r="B107" t="inlineStr">
        <is>
          <t>Prince William</t>
        </is>
      </c>
      <c r="C107" t="inlineStr">
        <is>
          <t>Digital Gateway North</t>
        </is>
      </c>
      <c r="D107" t="inlineStr">
        <is>
          <t>Denied/Void</t>
        </is>
      </c>
      <c r="E107" t="inlineStr">
        <is>
          <t>Pending</t>
        </is>
      </c>
      <c r="F107" t="inlineStr">
        <is>
          <t>mixed (county label stated; displayed status ours)</t>
        </is>
      </c>
      <c r="G107" t="inlineStr">
        <is>
          <t>Digital Gateway North</t>
        </is>
      </c>
      <c r="H107" t="inlineStr">
        <is>
          <t>REZ2022-00032</t>
        </is>
      </c>
      <c r="I107" t="inlineStr"/>
      <c r="J107" t="n">
        <v>583333</v>
      </c>
      <c r="L107" t="inlineStr">
        <is>
          <t>County note: the county states these rezonings (Digital Gateway North/South, Compass) were voided by the Court of Appeals on 7/29/2026. Status label here is currently "Denied" and is under review.</t>
        </is>
      </c>
      <c r="M107" t="inlineStr">
        <is>
          <t>County GIS building label is 'Pending' (stated). The displayed status 'Denied/Void' is our project-level treatment (Digital Gateway denied; Compass buildings shown with them), not a county building label.</t>
        </is>
      </c>
      <c r="N107" t="inlineStr">
        <is>
          <t>https://gisweb.pwcva.gov/arcgis/rest/services/Planning/Build_Out_Analysis/MapServer/9/293?f=html</t>
        </is>
      </c>
      <c r="O107" t="n">
        <v>38.849802</v>
      </c>
      <c r="P107" t="n">
        <v>-77.558042</v>
      </c>
    </row>
    <row r="108">
      <c r="A108" t="n">
        <v>107</v>
      </c>
      <c r="B108" t="inlineStr">
        <is>
          <t>Prince William</t>
        </is>
      </c>
      <c r="C108" t="inlineStr">
        <is>
          <t>Digital Gateway North</t>
        </is>
      </c>
      <c r="D108" t="inlineStr">
        <is>
          <t>Denied/Void</t>
        </is>
      </c>
      <c r="E108" t="inlineStr">
        <is>
          <t>Pending</t>
        </is>
      </c>
      <c r="F108" t="inlineStr">
        <is>
          <t>mixed (county label stated; displayed status ours)</t>
        </is>
      </c>
      <c r="G108" t="inlineStr">
        <is>
          <t>Digital Gateway North</t>
        </is>
      </c>
      <c r="H108" t="inlineStr">
        <is>
          <t>REZ2022-00032</t>
        </is>
      </c>
      <c r="I108" t="inlineStr"/>
      <c r="J108" t="n">
        <v>583333</v>
      </c>
      <c r="L108" t="inlineStr">
        <is>
          <t>County note: the county states these rezonings (Digital Gateway North/South, Compass) were voided by the Court of Appeals on 7/29/2026. Status label here is currently "Denied" and is under review.</t>
        </is>
      </c>
      <c r="M108" t="inlineStr">
        <is>
          <t>County GIS building label is 'Pending' (stated). The displayed status 'Denied/Void' is our project-level treatment (Digital Gateway denied; Compass buildings shown with them), not a county building label.</t>
        </is>
      </c>
      <c r="N108" t="inlineStr">
        <is>
          <t>https://gisweb.pwcva.gov/arcgis/rest/services/Planning/Build_Out_Analysis/MapServer/9/294?f=html</t>
        </is>
      </c>
      <c r="O108" t="n">
        <v>38.851672</v>
      </c>
      <c r="P108" t="n">
        <v>-77.56470899999999</v>
      </c>
    </row>
    <row r="109">
      <c r="A109" t="n">
        <v>108</v>
      </c>
      <c r="B109" t="inlineStr">
        <is>
          <t>Prince William</t>
        </is>
      </c>
      <c r="C109" t="inlineStr">
        <is>
          <t>Digital Gateway North</t>
        </is>
      </c>
      <c r="D109" t="inlineStr">
        <is>
          <t>Denied/Void</t>
        </is>
      </c>
      <c r="E109" t="inlineStr">
        <is>
          <t>Pending</t>
        </is>
      </c>
      <c r="F109" t="inlineStr">
        <is>
          <t>mixed (county label stated; displayed status ours)</t>
        </is>
      </c>
      <c r="G109" t="inlineStr">
        <is>
          <t>Digital Gateway North</t>
        </is>
      </c>
      <c r="H109" t="inlineStr">
        <is>
          <t>REZ2022-00032</t>
        </is>
      </c>
      <c r="I109" t="inlineStr"/>
      <c r="J109" t="n">
        <v>583333</v>
      </c>
      <c r="L109" t="inlineStr">
        <is>
          <t>County note: the county states these rezonings (Digital Gateway North/South, Compass) were voided by the Court of Appeals on 7/29/2026. Status label here is currently "Denied" and is under review.</t>
        </is>
      </c>
      <c r="M109" t="inlineStr">
        <is>
          <t>County GIS building label is 'Pending' (stated). The displayed status 'Denied/Void' is our project-level treatment (Digital Gateway denied; Compass buildings shown with them), not a county building label.</t>
        </is>
      </c>
      <c r="N109" t="inlineStr">
        <is>
          <t>https://gisweb.pwcva.gov/arcgis/rest/services/Planning/Build_Out_Analysis/MapServer/9/295?f=html</t>
        </is>
      </c>
      <c r="O109" t="n">
        <v>38.850536</v>
      </c>
      <c r="P109" t="n">
        <v>-77.56160300000001</v>
      </c>
    </row>
    <row r="110">
      <c r="A110" t="n">
        <v>109</v>
      </c>
      <c r="B110" t="inlineStr">
        <is>
          <t>Prince William</t>
        </is>
      </c>
      <c r="C110" t="inlineStr">
        <is>
          <t>Digital Gateway North</t>
        </is>
      </c>
      <c r="D110" t="inlineStr">
        <is>
          <t>Denied/Void</t>
        </is>
      </c>
      <c r="E110" t="inlineStr">
        <is>
          <t>Pending</t>
        </is>
      </c>
      <c r="F110" t="inlineStr">
        <is>
          <t>mixed (county label stated; displayed status ours)</t>
        </is>
      </c>
      <c r="G110" t="inlineStr">
        <is>
          <t>Digital Gateway North</t>
        </is>
      </c>
      <c r="H110" t="inlineStr">
        <is>
          <t>REZ2022-00032</t>
        </is>
      </c>
      <c r="I110" t="inlineStr"/>
      <c r="J110" t="n">
        <v>583333</v>
      </c>
      <c r="L110" t="inlineStr">
        <is>
          <t>County note: the county states these rezonings (Digital Gateway North/South, Compass) were voided by the Court of Appeals on 7/29/2026. Status label here is currently "Denied" and is under review.</t>
        </is>
      </c>
      <c r="M110" t="inlineStr">
        <is>
          <t>County GIS building label is 'Pending' (stated). The displayed status 'Denied/Void' is our project-level treatment (Digital Gateway denied; Compass buildings shown with them), not a county building label.</t>
        </is>
      </c>
      <c r="N110" t="inlineStr">
        <is>
          <t>https://gisweb.pwcva.gov/arcgis/rest/services/Planning/Build_Out_Analysis/MapServer/9/296?f=html</t>
        </is>
      </c>
      <c r="O110" t="n">
        <v>38.847317</v>
      </c>
      <c r="P110" t="n">
        <v>-77.562512</v>
      </c>
    </row>
    <row r="111">
      <c r="A111" t="n">
        <v>110</v>
      </c>
      <c r="B111" t="inlineStr">
        <is>
          <t>Prince William</t>
        </is>
      </c>
      <c r="C111" t="inlineStr">
        <is>
          <t>Digital Gateway South</t>
        </is>
      </c>
      <c r="D111" t="inlineStr">
        <is>
          <t>Denied/Void</t>
        </is>
      </c>
      <c r="E111" t="inlineStr">
        <is>
          <t>Pending</t>
        </is>
      </c>
      <c r="F111" t="inlineStr">
        <is>
          <t>mixed (county label stated; displayed status ours)</t>
        </is>
      </c>
      <c r="G111" t="inlineStr">
        <is>
          <t>Digital Gateway South</t>
        </is>
      </c>
      <c r="H111" t="inlineStr">
        <is>
          <t>REZ2022-00033</t>
        </is>
      </c>
      <c r="I111" t="inlineStr"/>
      <c r="J111" t="n">
        <v>462500</v>
      </c>
      <c r="L111" t="inlineStr">
        <is>
          <t>County note: the county states these rezonings (Digital Gateway North/South, Compass) were voided by the Court of Appeals on 7/29/2026. Status label here is currently "Denied" and is under review.</t>
        </is>
      </c>
      <c r="M111" t="inlineStr">
        <is>
          <t>County GIS building label is 'Pending' (stated). The displayed status 'Denied/Void' is our project-level treatment (Digital Gateway denied; Compass buildings shown with them), not a county building label.</t>
        </is>
      </c>
      <c r="N111" t="inlineStr">
        <is>
          <t>https://gisweb.pwcva.gov/arcgis/rest/services/Planning/Build_Out_Analysis/MapServer/9/282?f=html</t>
        </is>
      </c>
      <c r="O111" t="n">
        <v>38.815537</v>
      </c>
      <c r="P111" t="n">
        <v>-77.57508900000001</v>
      </c>
    </row>
    <row r="112">
      <c r="A112" t="n">
        <v>111</v>
      </c>
      <c r="B112" t="inlineStr">
        <is>
          <t>Prince William</t>
        </is>
      </c>
      <c r="C112" t="inlineStr">
        <is>
          <t>Digital Gateway South</t>
        </is>
      </c>
      <c r="D112" t="inlineStr">
        <is>
          <t>Denied/Void</t>
        </is>
      </c>
      <c r="E112" t="inlineStr">
        <is>
          <t>Pending</t>
        </is>
      </c>
      <c r="F112" t="inlineStr">
        <is>
          <t>mixed (county label stated; displayed status ours)</t>
        </is>
      </c>
      <c r="G112" t="inlineStr">
        <is>
          <t>Digital Gateway South</t>
        </is>
      </c>
      <c r="H112" t="inlineStr">
        <is>
          <t>REZ2022-00033</t>
        </is>
      </c>
      <c r="I112" t="inlineStr"/>
      <c r="J112" t="n">
        <v>462500</v>
      </c>
      <c r="L112" t="inlineStr">
        <is>
          <t>County note: the county states these rezonings (Digital Gateway North/South, Compass) were voided by the Court of Appeals on 7/29/2026. Status label here is currently "Denied" and is under review.</t>
        </is>
      </c>
      <c r="M112" t="inlineStr">
        <is>
          <t>County GIS building label is 'Pending' (stated). The displayed status 'Denied/Void' is our project-level treatment (Digital Gateway denied; Compass buildings shown with them), not a county building label.</t>
        </is>
      </c>
      <c r="N112" t="inlineStr">
        <is>
          <t>https://gisweb.pwcva.gov/arcgis/rest/services/Planning/Build_Out_Analysis/MapServer/9/283?f=html</t>
        </is>
      </c>
      <c r="O112" t="n">
        <v>38.816823</v>
      </c>
      <c r="P112" t="n">
        <v>-77.583493</v>
      </c>
    </row>
    <row r="113">
      <c r="A113" t="n">
        <v>112</v>
      </c>
      <c r="B113" t="inlineStr">
        <is>
          <t>Prince William</t>
        </is>
      </c>
      <c r="C113" t="inlineStr">
        <is>
          <t>Digital Gateway South</t>
        </is>
      </c>
      <c r="D113" t="inlineStr">
        <is>
          <t>Denied/Void</t>
        </is>
      </c>
      <c r="E113" t="inlineStr">
        <is>
          <t>Pending</t>
        </is>
      </c>
      <c r="F113" t="inlineStr">
        <is>
          <t>mixed (county label stated; displayed status ours)</t>
        </is>
      </c>
      <c r="G113" t="inlineStr">
        <is>
          <t>Digital Gateway South</t>
        </is>
      </c>
      <c r="H113" t="inlineStr">
        <is>
          <t>REZ2022-00033</t>
        </is>
      </c>
      <c r="I113" t="inlineStr"/>
      <c r="J113" t="n">
        <v>462500</v>
      </c>
      <c r="L113" t="inlineStr">
        <is>
          <t>County note: the county states these rezonings (Digital Gateway North/South, Compass) were voided by the Court of Appeals on 7/29/2026. Status label here is currently "Denied" and is under review.</t>
        </is>
      </c>
      <c r="M113" t="inlineStr">
        <is>
          <t>County GIS building label is 'Pending' (stated). The displayed status 'Denied/Void' is our project-level treatment (Digital Gateway denied; Compass buildings shown with them), not a county building label.</t>
        </is>
      </c>
      <c r="N113" t="inlineStr">
        <is>
          <t>https://gisweb.pwcva.gov/arcgis/rest/services/Planning/Build_Out_Analysis/MapServer/9/284?f=html</t>
        </is>
      </c>
      <c r="O113" t="n">
        <v>38.815459</v>
      </c>
      <c r="P113" t="n">
        <v>-77.582401</v>
      </c>
    </row>
    <row r="114">
      <c r="A114" t="n">
        <v>113</v>
      </c>
      <c r="B114" t="inlineStr">
        <is>
          <t>Prince William</t>
        </is>
      </c>
      <c r="C114" t="inlineStr">
        <is>
          <t>Digital Gateway South</t>
        </is>
      </c>
      <c r="D114" t="inlineStr">
        <is>
          <t>Denied/Void</t>
        </is>
      </c>
      <c r="E114" t="inlineStr">
        <is>
          <t>Pending</t>
        </is>
      </c>
      <c r="F114" t="inlineStr">
        <is>
          <t>mixed (county label stated; displayed status ours)</t>
        </is>
      </c>
      <c r="G114" t="inlineStr">
        <is>
          <t>Digital Gateway South</t>
        </is>
      </c>
      <c r="H114" t="inlineStr">
        <is>
          <t>REZ2022-00033</t>
        </is>
      </c>
      <c r="I114" t="inlineStr"/>
      <c r="J114" t="n">
        <v>462500</v>
      </c>
      <c r="L114" t="inlineStr">
        <is>
          <t>County note: the county states these rezonings (Digital Gateway North/South, Compass) were voided by the Court of Appeals on 7/29/2026. Status label here is currently "Denied" and is under review.</t>
        </is>
      </c>
      <c r="M114" t="inlineStr">
        <is>
          <t>County GIS building label is 'Pending' (stated). The displayed status 'Denied/Void' is our project-level treatment (Digital Gateway denied; Compass buildings shown with them), not a county building label.</t>
        </is>
      </c>
      <c r="N114" t="inlineStr">
        <is>
          <t>https://gisweb.pwcva.gov/arcgis/rest/services/Planning/Build_Out_Analysis/MapServer/9/285?f=html</t>
        </is>
      </c>
      <c r="O114" t="n">
        <v>38.814579</v>
      </c>
      <c r="P114" t="n">
        <v>-77.58078399999999</v>
      </c>
    </row>
    <row r="115">
      <c r="A115" t="n">
        <v>114</v>
      </c>
      <c r="B115" t="inlineStr">
        <is>
          <t>Prince William</t>
        </is>
      </c>
      <c r="C115" t="inlineStr">
        <is>
          <t>Digital Gateway South</t>
        </is>
      </c>
      <c r="D115" t="inlineStr">
        <is>
          <t>Denied/Void</t>
        </is>
      </c>
      <c r="E115" t="inlineStr">
        <is>
          <t>Pending</t>
        </is>
      </c>
      <c r="F115" t="inlineStr">
        <is>
          <t>mixed (county label stated; displayed status ours)</t>
        </is>
      </c>
      <c r="G115" t="inlineStr">
        <is>
          <t>Digital Gateway South</t>
        </is>
      </c>
      <c r="H115" t="inlineStr">
        <is>
          <t>REZ2022-00033</t>
        </is>
      </c>
      <c r="I115" t="inlineStr"/>
      <c r="J115" t="n">
        <v>462500</v>
      </c>
      <c r="L115" t="inlineStr">
        <is>
          <t>County note: the county states these rezonings (Digital Gateway North/South, Compass) were voided by the Court of Appeals on 7/29/2026. Status label here is currently "Denied" and is under review.</t>
        </is>
      </c>
      <c r="M115" t="inlineStr">
        <is>
          <t>County GIS building label is 'Pending' (stated). The displayed status 'Denied/Void' is our project-level treatment (Digital Gateway denied; Compass buildings shown with them), not a county building label.</t>
        </is>
      </c>
      <c r="N115" t="inlineStr">
        <is>
          <t>https://gisweb.pwcva.gov/arcgis/rest/services/Planning/Build_Out_Analysis/MapServer/9/286?f=html</t>
        </is>
      </c>
      <c r="O115" t="n">
        <v>38.825542</v>
      </c>
      <c r="P115" t="n">
        <v>-77.56869</v>
      </c>
    </row>
    <row r="116">
      <c r="A116" t="n">
        <v>115</v>
      </c>
      <c r="B116" t="inlineStr">
        <is>
          <t>Prince William</t>
        </is>
      </c>
      <c r="C116" t="inlineStr">
        <is>
          <t>Digital Gateway South</t>
        </is>
      </c>
      <c r="D116" t="inlineStr">
        <is>
          <t>Denied/Void</t>
        </is>
      </c>
      <c r="E116" t="inlineStr">
        <is>
          <t>Pending</t>
        </is>
      </c>
      <c r="F116" t="inlineStr">
        <is>
          <t>mixed (county label stated; displayed status ours)</t>
        </is>
      </c>
      <c r="G116" t="inlineStr">
        <is>
          <t>Digital Gateway South</t>
        </is>
      </c>
      <c r="H116" t="inlineStr">
        <is>
          <t>REZ2022-00033</t>
        </is>
      </c>
      <c r="I116" t="inlineStr"/>
      <c r="J116" t="n">
        <v>462500</v>
      </c>
      <c r="L116" t="inlineStr">
        <is>
          <t>County note: the county states these rezonings (Digital Gateway North/South, Compass) were voided by the Court of Appeals on 7/29/2026. Status label here is currently "Denied" and is under review.</t>
        </is>
      </c>
      <c r="M116" t="inlineStr">
        <is>
          <t>County GIS building label is 'Pending' (stated). The displayed status 'Denied/Void' is our project-level treatment (Digital Gateway denied; Compass buildings shown with them), not a county building label.</t>
        </is>
      </c>
      <c r="N116" t="inlineStr">
        <is>
          <t>https://gisweb.pwcva.gov/arcgis/rest/services/Planning/Build_Out_Analysis/MapServer/9/287?f=html</t>
        </is>
      </c>
      <c r="O116" t="n">
        <v>38.821575</v>
      </c>
      <c r="P116" t="n">
        <v>-77.569474</v>
      </c>
    </row>
    <row r="117">
      <c r="A117" t="n">
        <v>116</v>
      </c>
      <c r="B117" t="inlineStr">
        <is>
          <t>Prince William</t>
        </is>
      </c>
      <c r="C117" t="inlineStr">
        <is>
          <t>Digital Gateway South</t>
        </is>
      </c>
      <c r="D117" t="inlineStr">
        <is>
          <t>Denied/Void</t>
        </is>
      </c>
      <c r="E117" t="inlineStr">
        <is>
          <t>Pending</t>
        </is>
      </c>
      <c r="F117" t="inlineStr">
        <is>
          <t>mixed (county label stated; displayed status ours)</t>
        </is>
      </c>
      <c r="G117" t="inlineStr">
        <is>
          <t>Digital Gateway South</t>
        </is>
      </c>
      <c r="H117" t="inlineStr">
        <is>
          <t>REZ2022-00033</t>
        </is>
      </c>
      <c r="I117" t="inlineStr"/>
      <c r="J117" t="n">
        <v>462500</v>
      </c>
      <c r="L117" t="inlineStr">
        <is>
          <t>County note: the county states these rezonings (Digital Gateway North/South, Compass) were voided by the Court of Appeals on 7/29/2026. Status label here is currently "Denied" and is under review.</t>
        </is>
      </c>
      <c r="M117" t="inlineStr">
        <is>
          <t>County GIS building label is 'Pending' (stated). The displayed status 'Denied/Void' is our project-level treatment (Digital Gateway denied; Compass buildings shown with them), not a county building label.</t>
        </is>
      </c>
      <c r="N117" t="inlineStr">
        <is>
          <t>https://gisweb.pwcva.gov/arcgis/rest/services/Planning/Build_Out_Analysis/MapServer/9/288?f=html</t>
        </is>
      </c>
      <c r="O117" t="n">
        <v>38.823012</v>
      </c>
      <c r="P117" t="n">
        <v>-77.56912199999999</v>
      </c>
    </row>
    <row r="118">
      <c r="A118" t="n">
        <v>117</v>
      </c>
      <c r="B118" t="inlineStr">
        <is>
          <t>Prince William</t>
        </is>
      </c>
      <c r="C118" t="inlineStr">
        <is>
          <t>Digital Gateway South</t>
        </is>
      </c>
      <c r="D118" t="inlineStr">
        <is>
          <t>Denied/Void</t>
        </is>
      </c>
      <c r="E118" t="inlineStr">
        <is>
          <t>Pending</t>
        </is>
      </c>
      <c r="F118" t="inlineStr">
        <is>
          <t>mixed (county label stated; displayed status ours)</t>
        </is>
      </c>
      <c r="G118" t="inlineStr">
        <is>
          <t>Digital Gateway South</t>
        </is>
      </c>
      <c r="H118" t="inlineStr">
        <is>
          <t>REZ2022-00033</t>
        </is>
      </c>
      <c r="I118" t="inlineStr"/>
      <c r="J118" t="n">
        <v>462500</v>
      </c>
      <c r="L118" t="inlineStr">
        <is>
          <t>County note: the county states these rezonings (Digital Gateway North/South, Compass) were voided by the Court of Appeals on 7/29/2026. Status label here is currently "Denied" and is under review.</t>
        </is>
      </c>
      <c r="M118" t="inlineStr">
        <is>
          <t>County GIS building label is 'Pending' (stated). The displayed status 'Denied/Void' is our project-level treatment (Digital Gateway denied; Compass buildings shown with them), not a county building label.</t>
        </is>
      </c>
      <c r="N118" t="inlineStr">
        <is>
          <t>https://gisweb.pwcva.gov/arcgis/rest/services/Planning/Build_Out_Analysis/MapServer/9/289?f=html</t>
        </is>
      </c>
      <c r="O118" t="n">
        <v>38.824242</v>
      </c>
      <c r="P118" t="n">
        <v>-77.56888499999999</v>
      </c>
    </row>
    <row r="119">
      <c r="A119" t="n">
        <v>118</v>
      </c>
      <c r="B119" t="inlineStr">
        <is>
          <t>Prince William</t>
        </is>
      </c>
      <c r="C119" t="inlineStr">
        <is>
          <t>DLR IAD-50</t>
        </is>
      </c>
      <c r="D119" t="inlineStr">
        <is>
          <t>Under construction</t>
        </is>
      </c>
      <c r="E119" t="inlineStr">
        <is>
          <t>Under Construction</t>
        </is>
      </c>
      <c r="F119" t="inlineStr">
        <is>
          <t>stated</t>
        </is>
      </c>
      <c r="G119" t="inlineStr">
        <is>
          <t>Digital Realty</t>
        </is>
      </c>
      <c r="H119" t="inlineStr">
        <is>
          <t>REZ2018-00002</t>
        </is>
      </c>
      <c r="I119" t="inlineStr">
        <is>
          <t>7695-53-6537.00</t>
        </is>
      </c>
      <c r="J119" t="n">
        <v>816374</v>
      </c>
      <c r="L119" t="inlineStr"/>
      <c r="M119" t="inlineStr">
        <is>
          <t>Stated: building status 'Under Construction' is the county's own label (PWC Build_Out_Analysis layer 9).</t>
        </is>
      </c>
      <c r="N119" t="inlineStr">
        <is>
          <t>https://gisweb.pwcva.gov/arcgis/rest/services/Planning/Build_Out_Analysis/MapServer/9/59?f=html</t>
        </is>
      </c>
      <c r="O119" t="n">
        <v>38.738298</v>
      </c>
      <c r="P119" t="n">
        <v>-77.50903</v>
      </c>
    </row>
    <row r="120">
      <c r="A120" t="n">
        <v>119</v>
      </c>
      <c r="B120" t="inlineStr">
        <is>
          <t>Prince William</t>
        </is>
      </c>
      <c r="C120" t="inlineStr">
        <is>
          <t>DLR IAD-51</t>
        </is>
      </c>
      <c r="D120" t="inlineStr">
        <is>
          <t>Existing/Completed</t>
        </is>
      </c>
      <c r="E120" t="inlineStr">
        <is>
          <t>Completed</t>
        </is>
      </c>
      <c r="F120" t="inlineStr">
        <is>
          <t>stated</t>
        </is>
      </c>
      <c r="G120" t="inlineStr">
        <is>
          <t>Digital Realty</t>
        </is>
      </c>
      <c r="H120" t="inlineStr">
        <is>
          <t>REZ2018-00002</t>
        </is>
      </c>
      <c r="I120" t="inlineStr">
        <is>
          <t>7695-53-9602.00</t>
        </is>
      </c>
      <c r="J120" t="n">
        <v>801246</v>
      </c>
      <c r="K120" t="n">
        <v>2026</v>
      </c>
      <c r="L120" t="inlineStr"/>
      <c r="M120" t="inlineStr">
        <is>
          <t>Stated: building status 'Completed' is the county's own label (PWC Build_Out_Analysis layer 9).</t>
        </is>
      </c>
      <c r="N120" t="inlineStr">
        <is>
          <t>https://gisweb.pwcva.gov/arcgis/rest/services/Planning/Build_Out_Analysis/MapServer/9/58?f=html</t>
        </is>
      </c>
      <c r="O120" t="n">
        <v>38.736926</v>
      </c>
      <c r="P120" t="n">
        <v>-77.50783</v>
      </c>
    </row>
    <row r="121">
      <c r="A121" t="n">
        <v>120</v>
      </c>
      <c r="B121" t="inlineStr">
        <is>
          <t>Prince William</t>
        </is>
      </c>
      <c r="C121" t="inlineStr">
        <is>
          <t>Digital Realty VA4</t>
        </is>
      </c>
      <c r="D121" t="inlineStr">
        <is>
          <t>Existing/Completed</t>
        </is>
      </c>
      <c r="E121" t="inlineStr">
        <is>
          <t>Completed</t>
        </is>
      </c>
      <c r="F121" t="inlineStr">
        <is>
          <t>stated</t>
        </is>
      </c>
      <c r="G121" t="inlineStr">
        <is>
          <t>Digital Realty</t>
        </is>
      </c>
      <c r="H121" t="inlineStr">
        <is>
          <t>REZ1958-0021</t>
        </is>
      </c>
      <c r="I121" t="inlineStr">
        <is>
          <t>7496-07-8757</t>
        </is>
      </c>
      <c r="J121" t="n">
        <v>227465</v>
      </c>
      <c r="K121" t="n">
        <v>2002</v>
      </c>
      <c r="L121" t="inlineStr"/>
      <c r="M121" t="inlineStr">
        <is>
          <t>Stated: building status 'Completed' is the county's own label (PWC Build_Out_Analysis layer 9).</t>
        </is>
      </c>
      <c r="N121" t="inlineStr">
        <is>
          <t>https://gisweb.pwcva.gov/arcgis/rest/services/Planning/Build_Out_Analysis/MapServer/9/96?f=html</t>
        </is>
      </c>
      <c r="O121" t="n">
        <v>38.777925</v>
      </c>
      <c r="P121" t="n">
        <v>-77.595118</v>
      </c>
    </row>
    <row r="122">
      <c r="A122" t="n">
        <v>121</v>
      </c>
      <c r="B122" t="inlineStr">
        <is>
          <t>Prince William</t>
        </is>
      </c>
      <c r="C122" t="inlineStr">
        <is>
          <t>Digital Realty VA5</t>
        </is>
      </c>
      <c r="D122" t="inlineStr">
        <is>
          <t>Approved/Planned</t>
        </is>
      </c>
      <c r="E122" t="inlineStr">
        <is>
          <t>Planned</t>
        </is>
      </c>
      <c r="F122" t="inlineStr">
        <is>
          <t>stated</t>
        </is>
      </c>
      <c r="G122" t="inlineStr">
        <is>
          <t>Digital Realty</t>
        </is>
      </c>
      <c r="H122" t="inlineStr">
        <is>
          <t>REZ1958-0021</t>
        </is>
      </c>
      <c r="I122" t="inlineStr">
        <is>
          <t>7496-07-8757</t>
        </is>
      </c>
      <c r="J122" t="n">
        <v>155427</v>
      </c>
      <c r="L122" t="inlineStr"/>
      <c r="M122" t="inlineStr">
        <is>
          <t>Stated: building status 'Planned' is the county's own label (PWC Build_Out_Analysis layer 9).</t>
        </is>
      </c>
      <c r="N122" t="inlineStr">
        <is>
          <t>https://gisweb.pwcva.gov/arcgis/rest/services/Planning/Build_Out_Analysis/MapServer/9/243?f=html</t>
        </is>
      </c>
      <c r="O122" t="n">
        <v>38.777322</v>
      </c>
      <c r="P122" t="n">
        <v>-77.59589800000001</v>
      </c>
    </row>
    <row r="123">
      <c r="A123" t="n">
        <v>122</v>
      </c>
      <c r="B123" t="inlineStr">
        <is>
          <t>Prince William</t>
        </is>
      </c>
      <c r="C123" t="inlineStr">
        <is>
          <t>Equinix Manassas DC14</t>
        </is>
      </c>
      <c r="D123" t="inlineStr">
        <is>
          <t>Existing/Completed</t>
        </is>
      </c>
      <c r="E123" t="inlineStr">
        <is>
          <t>Completed</t>
        </is>
      </c>
      <c r="F123" t="inlineStr">
        <is>
          <t>stated</t>
        </is>
      </c>
      <c r="G123" t="inlineStr">
        <is>
          <t>Equinix Manassas</t>
        </is>
      </c>
      <c r="H123" t="inlineStr">
        <is>
          <t>REZ1999-0038</t>
        </is>
      </c>
      <c r="I123" t="inlineStr">
        <is>
          <t>7697-47-7005</t>
        </is>
      </c>
      <c r="J123" t="n">
        <v>109800</v>
      </c>
      <c r="K123" t="n">
        <v>2009</v>
      </c>
      <c r="L123" t="inlineStr"/>
      <c r="M123" t="inlineStr">
        <is>
          <t>Stated: building status 'Completed' is the county's own label (PWC Build_Out_Analysis layer 9).</t>
        </is>
      </c>
      <c r="N123" t="inlineStr">
        <is>
          <t>https://gisweb.pwcva.gov/arcgis/rest/services/Planning/Build_Out_Analysis/MapServer/9/154?f=html</t>
        </is>
      </c>
      <c r="O123" t="n">
        <v>38.803329</v>
      </c>
      <c r="P123" t="n">
        <v>-77.51088</v>
      </c>
    </row>
    <row r="124">
      <c r="A124" t="n">
        <v>123</v>
      </c>
      <c r="B124" t="inlineStr">
        <is>
          <t>Prince William</t>
        </is>
      </c>
      <c r="C124" t="inlineStr">
        <is>
          <t>Equinix Manassas DC19</t>
        </is>
      </c>
      <c r="D124" t="inlineStr">
        <is>
          <t>Approved/Planned</t>
        </is>
      </c>
      <c r="E124" t="inlineStr">
        <is>
          <t>Planned</t>
        </is>
      </c>
      <c r="F124" t="inlineStr">
        <is>
          <t>stated</t>
        </is>
      </c>
      <c r="G124" t="inlineStr">
        <is>
          <t>Equinix Manassas</t>
        </is>
      </c>
      <c r="H124" t="inlineStr">
        <is>
          <t>REZ1999-0038</t>
        </is>
      </c>
      <c r="I124" t="inlineStr">
        <is>
          <t>7697-47-2201</t>
        </is>
      </c>
      <c r="J124" t="n">
        <v>174672</v>
      </c>
      <c r="L124" t="inlineStr"/>
      <c r="M124" t="inlineStr">
        <is>
          <t>Stated: building status 'Planned' is the county's own label (PWC Build_Out_Analysis layer 9).</t>
        </is>
      </c>
      <c r="N124" t="inlineStr">
        <is>
          <t>https://gisweb.pwcva.gov/arcgis/rest/services/Planning/Build_Out_Analysis/MapServer/9/272?f=html</t>
        </is>
      </c>
      <c r="O124" t="n">
        <v>38.802996</v>
      </c>
      <c r="P124" t="n">
        <v>-77.513108</v>
      </c>
    </row>
    <row r="125">
      <c r="A125" t="n">
        <v>124</v>
      </c>
      <c r="B125" t="inlineStr">
        <is>
          <t>Prince William</t>
        </is>
      </c>
      <c r="C125" t="inlineStr">
        <is>
          <t>Gainesville RLC</t>
        </is>
      </c>
      <c r="D125" t="inlineStr">
        <is>
          <t>Approved/Planned</t>
        </is>
      </c>
      <c r="E125" t="inlineStr">
        <is>
          <t>Planned</t>
        </is>
      </c>
      <c r="F125" t="inlineStr">
        <is>
          <t>stated</t>
        </is>
      </c>
      <c r="G125" t="inlineStr">
        <is>
          <t>Gainesville RLC Data Center</t>
        </is>
      </c>
      <c r="H125" t="inlineStr">
        <is>
          <t>REZ1958-0021</t>
        </is>
      </c>
      <c r="I125" t="inlineStr">
        <is>
          <t>7497-14-5061</t>
        </is>
      </c>
      <c r="J125" t="n">
        <v>989867</v>
      </c>
      <c r="K125" t="n">
        <v>0</v>
      </c>
      <c r="L125" t="inlineStr"/>
      <c r="M125" t="inlineStr">
        <is>
          <t>Stated: building status 'Planned' is the county's own label (PWC Build_Out_Analysis layer 9).</t>
        </is>
      </c>
      <c r="N125" t="inlineStr">
        <is>
          <t>https://gisweb.pwcva.gov/arcgis/rest/services/Planning/Build_Out_Analysis/MapServer/9/215?f=html</t>
        </is>
      </c>
      <c r="O125" t="n">
        <v>38.796813</v>
      </c>
      <c r="P125" t="n">
        <v>-77.593103</v>
      </c>
    </row>
    <row r="126">
      <c r="A126" t="n">
        <v>125</v>
      </c>
      <c r="B126" t="inlineStr">
        <is>
          <t>Prince William</t>
        </is>
      </c>
      <c r="C126" t="inlineStr">
        <is>
          <t>Piney Branch 1</t>
        </is>
      </c>
      <c r="D126" t="inlineStr">
        <is>
          <t>Approved/Planned</t>
        </is>
      </c>
      <c r="E126" t="inlineStr">
        <is>
          <t>Planned</t>
        </is>
      </c>
      <c r="F126" t="inlineStr">
        <is>
          <t>stated</t>
        </is>
      </c>
      <c r="G126" t="inlineStr">
        <is>
          <t>Gainesville Tech Park Piney Branch</t>
        </is>
      </c>
      <c r="H126" t="inlineStr">
        <is>
          <t>REZ2020-00011</t>
        </is>
      </c>
      <c r="I126" t="inlineStr">
        <is>
          <t>7496-68-8838</t>
        </is>
      </c>
      <c r="J126" t="n">
        <v>495709</v>
      </c>
      <c r="L126" t="inlineStr"/>
      <c r="M126" t="inlineStr">
        <is>
          <t>Stated: building status 'Planned' is the county's own label (PWC Build_Out_Analysis layer 9).</t>
        </is>
      </c>
      <c r="N126" t="inlineStr">
        <is>
          <t>https://gisweb.pwcva.gov/arcgis/rest/services/Planning/Build_Out_Analysis/MapServer/9/143?f=html</t>
        </is>
      </c>
      <c r="O126" t="n">
        <v>38.781631</v>
      </c>
      <c r="P126" t="n">
        <v>-77.573849</v>
      </c>
    </row>
    <row r="127">
      <c r="A127" t="n">
        <v>126</v>
      </c>
      <c r="B127" t="inlineStr">
        <is>
          <t>Prince William</t>
        </is>
      </c>
      <c r="C127" t="inlineStr">
        <is>
          <t>Piney Branch 2</t>
        </is>
      </c>
      <c r="D127" t="inlineStr">
        <is>
          <t>Approved/Planned</t>
        </is>
      </c>
      <c r="E127" t="inlineStr">
        <is>
          <t>Planned</t>
        </is>
      </c>
      <c r="F127" t="inlineStr">
        <is>
          <t>stated</t>
        </is>
      </c>
      <c r="G127" t="inlineStr">
        <is>
          <t>Gainesville Tech Park Piney Branch</t>
        </is>
      </c>
      <c r="H127" t="inlineStr">
        <is>
          <t>REZ2020-00011</t>
        </is>
      </c>
      <c r="I127" t="inlineStr">
        <is>
          <t>7496-68-8838</t>
        </is>
      </c>
      <c r="J127" t="n">
        <v>495709</v>
      </c>
      <c r="L127" t="inlineStr"/>
      <c r="M127" t="inlineStr">
        <is>
          <t>Stated: building status 'Planned' is the county's own label (PWC Build_Out_Analysis layer 9).</t>
        </is>
      </c>
      <c r="N127" t="inlineStr">
        <is>
          <t>https://gisweb.pwcva.gov/arcgis/rest/services/Planning/Build_Out_Analysis/MapServer/9/144?f=html</t>
        </is>
      </c>
      <c r="O127" t="n">
        <v>38.779927</v>
      </c>
      <c r="P127" t="n">
        <v>-77.575059</v>
      </c>
    </row>
    <row r="128">
      <c r="A128" t="n">
        <v>127</v>
      </c>
      <c r="B128" t="inlineStr">
        <is>
          <t>Prince William</t>
        </is>
      </c>
      <c r="C128" t="inlineStr">
        <is>
          <t>Amazon AWS IAD A</t>
        </is>
      </c>
      <c r="D128" t="inlineStr">
        <is>
          <t>Approved/Planned</t>
        </is>
      </c>
      <c r="E128" t="inlineStr">
        <is>
          <t>Planned</t>
        </is>
      </c>
      <c r="F128" t="inlineStr">
        <is>
          <t>stated</t>
        </is>
      </c>
      <c r="G128" t="inlineStr">
        <is>
          <t>Gainesville West</t>
        </is>
      </c>
      <c r="H128" t="inlineStr">
        <is>
          <t>REZ1958-0021</t>
        </is>
      </c>
      <c r="I128" t="inlineStr">
        <is>
          <t>7497-32-5305</t>
        </is>
      </c>
      <c r="J128" t="n">
        <v>244166</v>
      </c>
      <c r="L128" t="inlineStr"/>
      <c r="M128" t="inlineStr">
        <is>
          <t>Stated: building status 'Planned' is the county's own label (PWC Build_Out_Analysis layer 9).</t>
        </is>
      </c>
      <c r="N128" t="inlineStr">
        <is>
          <t>https://gisweb.pwcva.gov/arcgis/rest/services/Planning/Build_Out_Analysis/MapServer/9/114?f=html</t>
        </is>
      </c>
      <c r="O128" t="n">
        <v>38.791894</v>
      </c>
      <c r="P128" t="n">
        <v>-77.587952</v>
      </c>
    </row>
    <row r="129">
      <c r="A129" t="n">
        <v>128</v>
      </c>
      <c r="B129" t="inlineStr">
        <is>
          <t>Prince William</t>
        </is>
      </c>
      <c r="C129" t="inlineStr">
        <is>
          <t>Amazon AWS IAD B</t>
        </is>
      </c>
      <c r="D129" t="inlineStr">
        <is>
          <t>Approved/Planned</t>
        </is>
      </c>
      <c r="E129" t="inlineStr">
        <is>
          <t>Planned</t>
        </is>
      </c>
      <c r="F129" t="inlineStr">
        <is>
          <t>stated</t>
        </is>
      </c>
      <c r="G129" t="inlineStr">
        <is>
          <t>Gainesville West</t>
        </is>
      </c>
      <c r="H129" t="inlineStr">
        <is>
          <t>REZ1958-0021</t>
        </is>
      </c>
      <c r="I129" t="inlineStr">
        <is>
          <t>7497-32-5305</t>
        </is>
      </c>
      <c r="J129" t="n">
        <v>194729</v>
      </c>
      <c r="L129" t="inlineStr"/>
      <c r="M129" t="inlineStr">
        <is>
          <t>Stated: building status 'Planned' is the county's own label (PWC Build_Out_Analysis layer 9).</t>
        </is>
      </c>
      <c r="N129" t="inlineStr">
        <is>
          <t>https://gisweb.pwcva.gov/arcgis/rest/services/Planning/Build_Out_Analysis/MapServer/9/78?f=html</t>
        </is>
      </c>
      <c r="O129" t="n">
        <v>38.790742</v>
      </c>
      <c r="P129" t="n">
        <v>-77.586175</v>
      </c>
    </row>
    <row r="130">
      <c r="A130" t="n">
        <v>129</v>
      </c>
      <c r="B130" t="inlineStr">
        <is>
          <t>Prince William</t>
        </is>
      </c>
      <c r="C130" t="inlineStr">
        <is>
          <t>Gardner Property A</t>
        </is>
      </c>
      <c r="D130" t="inlineStr">
        <is>
          <t>Pending</t>
        </is>
      </c>
      <c r="E130" t="inlineStr">
        <is>
          <t>Pending</t>
        </is>
      </c>
      <c r="F130" t="inlineStr">
        <is>
          <t>stated</t>
        </is>
      </c>
      <c r="G130" t="inlineStr">
        <is>
          <t>Gardner Property</t>
        </is>
      </c>
      <c r="H130" t="inlineStr">
        <is>
          <t>REZ2023-00018</t>
        </is>
      </c>
      <c r="I130" t="inlineStr">
        <is>
          <t>7397-34-3968</t>
        </is>
      </c>
      <c r="J130" t="n">
        <v>616620</v>
      </c>
      <c r="L130" t="inlineStr"/>
      <c r="M130" t="inlineStr">
        <is>
          <t>Stated: building status 'Pending' is the county's own label (PWC Build_Out_Analysis layer 9).</t>
        </is>
      </c>
      <c r="N130" t="inlineStr">
        <is>
          <t>https://gisweb.pwcva.gov/arcgis/rest/services/Planning/Build_Out_Analysis/MapServer/9/140?f=html</t>
        </is>
      </c>
      <c r="O130" t="n">
        <v>38.796741</v>
      </c>
      <c r="P130" t="n">
        <v>-77.622381</v>
      </c>
    </row>
    <row r="131">
      <c r="A131" t="n">
        <v>130</v>
      </c>
      <c r="B131" t="inlineStr">
        <is>
          <t>Prince William</t>
        </is>
      </c>
      <c r="C131" t="inlineStr">
        <is>
          <t>Gardner Property B</t>
        </is>
      </c>
      <c r="D131" t="inlineStr">
        <is>
          <t>Pending</t>
        </is>
      </c>
      <c r="E131" t="inlineStr">
        <is>
          <t>Pending</t>
        </is>
      </c>
      <c r="F131" t="inlineStr">
        <is>
          <t>stated</t>
        </is>
      </c>
      <c r="G131" t="inlineStr">
        <is>
          <t>Gardner Property</t>
        </is>
      </c>
      <c r="H131" t="inlineStr">
        <is>
          <t>REZ2023-00018</t>
        </is>
      </c>
      <c r="I131" t="inlineStr">
        <is>
          <t>7397-34-3968</t>
        </is>
      </c>
      <c r="J131" t="n">
        <v>350000</v>
      </c>
      <c r="L131" t="inlineStr"/>
      <c r="M131" t="inlineStr">
        <is>
          <t>Stated: building status 'Pending' is the county's own label (PWC Build_Out_Analysis layer 9).</t>
        </is>
      </c>
      <c r="N131" t="inlineStr">
        <is>
          <t>https://gisweb.pwcva.gov/arcgis/rest/services/Planning/Build_Out_Analysis/MapServer/9/155?f=html</t>
        </is>
      </c>
      <c r="O131" t="n">
        <v>38.796354</v>
      </c>
      <c r="P131" t="n">
        <v>-77.619276</v>
      </c>
    </row>
    <row r="132">
      <c r="A132" t="n">
        <v>131</v>
      </c>
      <c r="B132" t="inlineStr">
        <is>
          <t>Prince William</t>
        </is>
      </c>
      <c r="C132" t="inlineStr">
        <is>
          <t>Gardner Property C</t>
        </is>
      </c>
      <c r="D132" t="inlineStr">
        <is>
          <t>Pending</t>
        </is>
      </c>
      <c r="E132" t="inlineStr">
        <is>
          <t>Pending</t>
        </is>
      </c>
      <c r="F132" t="inlineStr">
        <is>
          <t>stated</t>
        </is>
      </c>
      <c r="G132" t="inlineStr">
        <is>
          <t>Gardner Property</t>
        </is>
      </c>
      <c r="H132" t="inlineStr">
        <is>
          <t>REZ2023-00018</t>
        </is>
      </c>
      <c r="I132" t="inlineStr">
        <is>
          <t>7397-34-3968</t>
        </is>
      </c>
      <c r="J132" t="n">
        <v>500000</v>
      </c>
      <c r="L132" t="inlineStr"/>
      <c r="M132" t="inlineStr">
        <is>
          <t>Stated: building status 'Pending' is the county's own label (PWC Build_Out_Analysis layer 9).</t>
        </is>
      </c>
      <c r="N132" t="inlineStr">
        <is>
          <t>https://gisweb.pwcva.gov/arcgis/rest/services/Planning/Build_Out_Analysis/MapServer/9/156?f=html</t>
        </is>
      </c>
      <c r="O132" t="n">
        <v>38.797876</v>
      </c>
      <c r="P132" t="n">
        <v>-77.622793</v>
      </c>
    </row>
    <row r="133">
      <c r="A133" t="n">
        <v>132</v>
      </c>
      <c r="B133" t="inlineStr">
        <is>
          <t>Prince William</t>
        </is>
      </c>
      <c r="C133" t="inlineStr">
        <is>
          <t>Gardner Property D</t>
        </is>
      </c>
      <c r="D133" t="inlineStr">
        <is>
          <t>Pending</t>
        </is>
      </c>
      <c r="E133" t="inlineStr">
        <is>
          <t>Pending</t>
        </is>
      </c>
      <c r="F133" t="inlineStr">
        <is>
          <t>stated</t>
        </is>
      </c>
      <c r="G133" t="inlineStr">
        <is>
          <t>Gardner Property</t>
        </is>
      </c>
      <c r="H133" t="inlineStr">
        <is>
          <t>REZ2023-00018</t>
        </is>
      </c>
      <c r="I133" t="inlineStr">
        <is>
          <t>7397-34-3968</t>
        </is>
      </c>
      <c r="J133" t="n">
        <v>350000</v>
      </c>
      <c r="L133" t="inlineStr"/>
      <c r="M133" t="inlineStr">
        <is>
          <t>Stated: building status 'Pending' is the county's own label (PWC Build_Out_Analysis layer 9).</t>
        </is>
      </c>
      <c r="N133" t="inlineStr">
        <is>
          <t>https://gisweb.pwcva.gov/arcgis/rest/services/Planning/Build_Out_Analysis/MapServer/9/157?f=html</t>
        </is>
      </c>
      <c r="O133" t="n">
        <v>38.798839</v>
      </c>
      <c r="P133" t="n">
        <v>-77.623172</v>
      </c>
    </row>
    <row r="134">
      <c r="A134" t="n">
        <v>133</v>
      </c>
      <c r="B134" t="inlineStr">
        <is>
          <t>Prince William</t>
        </is>
      </c>
      <c r="C134" t="inlineStr">
        <is>
          <t>Gardner Property E</t>
        </is>
      </c>
      <c r="D134" t="inlineStr">
        <is>
          <t>Pending</t>
        </is>
      </c>
      <c r="E134" t="inlineStr">
        <is>
          <t>Pending</t>
        </is>
      </c>
      <c r="F134" t="inlineStr">
        <is>
          <t>stated</t>
        </is>
      </c>
      <c r="G134" t="inlineStr">
        <is>
          <t>Gardner Property</t>
        </is>
      </c>
      <c r="H134" t="inlineStr">
        <is>
          <t>REZ2023-00018</t>
        </is>
      </c>
      <c r="I134" t="inlineStr">
        <is>
          <t>7397-34-3968</t>
        </is>
      </c>
      <c r="J134" t="n">
        <v>200480</v>
      </c>
      <c r="L134" t="inlineStr"/>
      <c r="M134" t="inlineStr">
        <is>
          <t>Stated: building status 'Pending' is the county's own label (PWC Build_Out_Analysis layer 9).</t>
        </is>
      </c>
      <c r="N134" t="inlineStr">
        <is>
          <t>https://gisweb.pwcva.gov/arcgis/rest/services/Planning/Build_Out_Analysis/MapServer/9/158?f=html</t>
        </is>
      </c>
      <c r="O134" t="n">
        <v>38.799846</v>
      </c>
      <c r="P134" t="n">
        <v>-77.623531</v>
      </c>
    </row>
    <row r="135">
      <c r="A135" t="n">
        <v>134</v>
      </c>
      <c r="B135" t="inlineStr">
        <is>
          <t>Prince William</t>
        </is>
      </c>
      <c r="C135" t="inlineStr">
        <is>
          <t>Stack Northern Virginia NVA05A</t>
        </is>
      </c>
      <c r="D135" t="inlineStr">
        <is>
          <t>Existing/Completed</t>
        </is>
      </c>
      <c r="E135" t="inlineStr">
        <is>
          <t>Completed</t>
        </is>
      </c>
      <c r="F135" t="inlineStr">
        <is>
          <t>stated</t>
        </is>
      </c>
      <c r="G135" t="inlineStr">
        <is>
          <t>George Mason Research Park</t>
        </is>
      </c>
      <c r="H135" t="inlineStr">
        <is>
          <t>REZ2024-00009</t>
        </is>
      </c>
      <c r="I135" t="inlineStr">
        <is>
          <t>7696-30-4783</t>
        </is>
      </c>
      <c r="J135" t="n">
        <v>270540</v>
      </c>
      <c r="K135" t="n">
        <v>2025</v>
      </c>
      <c r="L135" t="inlineStr"/>
      <c r="M135" t="inlineStr">
        <is>
          <t>Stated: building status 'Completed' is the county's own label (PWC Build_Out_Analysis layer 9).</t>
        </is>
      </c>
      <c r="N135" t="inlineStr">
        <is>
          <t>https://gisweb.pwcva.gov/arcgis/rest/services/Planning/Build_Out_Analysis/MapServer/9/32?f=html</t>
        </is>
      </c>
      <c r="O135" t="n">
        <v>38.758568</v>
      </c>
      <c r="P135" t="n">
        <v>-77.51669099999999</v>
      </c>
    </row>
    <row r="136">
      <c r="A136" t="n">
        <v>135</v>
      </c>
      <c r="B136" t="inlineStr">
        <is>
          <t>Prince William</t>
        </is>
      </c>
      <c r="C136" t="inlineStr">
        <is>
          <t>Stack Northern Virginia NVA05B</t>
        </is>
      </c>
      <c r="D136" t="inlineStr">
        <is>
          <t>Under construction</t>
        </is>
      </c>
      <c r="E136" t="inlineStr">
        <is>
          <t>Under Construction</t>
        </is>
      </c>
      <c r="F136" t="inlineStr">
        <is>
          <t>stated</t>
        </is>
      </c>
      <c r="G136" t="inlineStr">
        <is>
          <t>George Mason Research Park</t>
        </is>
      </c>
      <c r="H136" t="inlineStr">
        <is>
          <t>REZ2024-00009</t>
        </is>
      </c>
      <c r="I136" t="inlineStr">
        <is>
          <t>7696-31-9262</t>
        </is>
      </c>
      <c r="J136" t="n">
        <v>261558</v>
      </c>
      <c r="L136" t="inlineStr"/>
      <c r="M136" t="inlineStr">
        <is>
          <t>Stated: building status 'Under Construction' is the county's own label (PWC Build_Out_Analysis layer 9).</t>
        </is>
      </c>
      <c r="N136" t="inlineStr">
        <is>
          <t>https://gisweb.pwcva.gov/arcgis/rest/services/Planning/Build_Out_Analysis/MapServer/9/30?f=html</t>
        </is>
      </c>
      <c r="O136" t="n">
        <v>38.76104</v>
      </c>
      <c r="P136" t="n">
        <v>-77.51451299999999</v>
      </c>
    </row>
    <row r="137">
      <c r="A137" t="n">
        <v>136</v>
      </c>
      <c r="B137" t="inlineStr">
        <is>
          <t>Prince William</t>
        </is>
      </c>
      <c r="C137" t="inlineStr">
        <is>
          <t>Stack Northern Virginia NVA05C</t>
        </is>
      </c>
      <c r="D137" t="inlineStr">
        <is>
          <t>Under construction</t>
        </is>
      </c>
      <c r="E137" t="inlineStr">
        <is>
          <t>Under Construction</t>
        </is>
      </c>
      <c r="F137" t="inlineStr">
        <is>
          <t>stated</t>
        </is>
      </c>
      <c r="G137" t="inlineStr">
        <is>
          <t>George Mason Research Park</t>
        </is>
      </c>
      <c r="H137" t="inlineStr">
        <is>
          <t>REZ2024-00009</t>
        </is>
      </c>
      <c r="I137" t="inlineStr">
        <is>
          <t>7696-41-6854</t>
        </is>
      </c>
      <c r="J137" t="n">
        <v>179320</v>
      </c>
      <c r="L137" t="inlineStr"/>
      <c r="M137" t="inlineStr">
        <is>
          <t>Stated: building status 'Under Construction' is the county's own label (PWC Build_Out_Analysis layer 9).</t>
        </is>
      </c>
      <c r="N137" t="inlineStr">
        <is>
          <t>https://gisweb.pwcva.gov/arcgis/rest/services/Planning/Build_Out_Analysis/MapServer/9/31?f=html</t>
        </is>
      </c>
      <c r="O137" t="n">
        <v>38.760365</v>
      </c>
      <c r="P137" t="n">
        <v>-77.51185</v>
      </c>
    </row>
    <row r="138">
      <c r="A138" t="n">
        <v>137</v>
      </c>
      <c r="B138" t="inlineStr">
        <is>
          <t>Prince William</t>
        </is>
      </c>
      <c r="C138" t="inlineStr">
        <is>
          <t>Hansen Farm North</t>
        </is>
      </c>
      <c r="D138" t="inlineStr">
        <is>
          <t>Approved/Planned</t>
        </is>
      </c>
      <c r="E138" t="inlineStr">
        <is>
          <t>Planned</t>
        </is>
      </c>
      <c r="F138" t="inlineStr">
        <is>
          <t>stated</t>
        </is>
      </c>
      <c r="G138" t="inlineStr">
        <is>
          <t>Hansen Farm North</t>
        </is>
      </c>
      <c r="H138" t="inlineStr">
        <is>
          <t>REZ1958-0034</t>
        </is>
      </c>
      <c r="I138" t="inlineStr">
        <is>
          <t>7597-11-2534</t>
        </is>
      </c>
      <c r="J138" t="n">
        <v>224900</v>
      </c>
      <c r="L138" t="inlineStr"/>
      <c r="M138" t="inlineStr">
        <is>
          <t>Stated: building status 'Planned' is the county's own label (PWC Build_Out_Analysis layer 9).</t>
        </is>
      </c>
      <c r="N138" t="inlineStr">
        <is>
          <t>https://gisweb.pwcva.gov/arcgis/rest/services/Planning/Build_Out_Analysis/MapServer/9/216?f=html</t>
        </is>
      </c>
      <c r="O138" t="n">
        <v>38.788099</v>
      </c>
      <c r="P138" t="n">
        <v>-77.55861400000001</v>
      </c>
    </row>
    <row r="139">
      <c r="A139" t="n">
        <v>138</v>
      </c>
      <c r="B139" t="inlineStr">
        <is>
          <t>Prince William</t>
        </is>
      </c>
      <c r="C139" t="inlineStr">
        <is>
          <t>Hansen Farm South</t>
        </is>
      </c>
      <c r="D139" t="inlineStr">
        <is>
          <t>Approved/Planned</t>
        </is>
      </c>
      <c r="E139" t="inlineStr">
        <is>
          <t>Planned</t>
        </is>
      </c>
      <c r="F139" t="inlineStr">
        <is>
          <t>stated</t>
        </is>
      </c>
      <c r="G139" t="inlineStr">
        <is>
          <t>Hansen Farm South</t>
        </is>
      </c>
      <c r="H139" t="inlineStr">
        <is>
          <t>REZ1990-0076</t>
        </is>
      </c>
      <c r="I139" t="inlineStr">
        <is>
          <t>7497-80-5986</t>
        </is>
      </c>
      <c r="J139" t="n">
        <v>228140</v>
      </c>
      <c r="L139" t="inlineStr"/>
      <c r="M139" t="inlineStr">
        <is>
          <t>Stated: building status 'Planned' is the county's own label (PWC Build_Out_Analysis layer 9).</t>
        </is>
      </c>
      <c r="N139" t="inlineStr">
        <is>
          <t>https://gisweb.pwcva.gov/arcgis/rest/services/Planning/Build_Out_Analysis/MapServer/9/220?f=html</t>
        </is>
      </c>
      <c r="O139" t="n">
        <v>38.785155</v>
      </c>
      <c r="P139" t="n">
        <v>-77.566639</v>
      </c>
    </row>
    <row r="140">
      <c r="A140" t="n">
        <v>139</v>
      </c>
      <c r="B140" t="inlineStr">
        <is>
          <t>Prince William</t>
        </is>
      </c>
      <c r="C140" t="inlineStr">
        <is>
          <t>Hornbaker Road 2</t>
        </is>
      </c>
      <c r="D140" t="inlineStr">
        <is>
          <t>Approved/Planned</t>
        </is>
      </c>
      <c r="E140" t="inlineStr">
        <is>
          <t>Planned</t>
        </is>
      </c>
      <c r="F140" t="inlineStr">
        <is>
          <t>stated</t>
        </is>
      </c>
      <c r="G140" t="inlineStr">
        <is>
          <t>Hornbaker Road</t>
        </is>
      </c>
      <c r="H140" t="inlineStr">
        <is>
          <t>REZ2025-00014</t>
        </is>
      </c>
      <c r="I140" t="inlineStr">
        <is>
          <t>7596-81-5396</t>
        </is>
      </c>
      <c r="J140" t="n">
        <v>435760</v>
      </c>
      <c r="L140" t="inlineStr"/>
      <c r="M140" t="inlineStr">
        <is>
          <t>Stated: building status 'Planned' is the county's own label (PWC Build_Out_Analysis layer 9).</t>
        </is>
      </c>
      <c r="N140" t="inlineStr">
        <is>
          <t>https://gisweb.pwcva.gov/arcgis/rest/services/Planning/Build_Out_Analysis/MapServer/9/204?f=html</t>
        </is>
      </c>
      <c r="O140" t="n">
        <v>38.762603</v>
      </c>
      <c r="P140" t="n">
        <v>-77.53376900000001</v>
      </c>
    </row>
    <row r="141">
      <c r="A141" t="n">
        <v>140</v>
      </c>
      <c r="B141" t="inlineStr">
        <is>
          <t>Prince William</t>
        </is>
      </c>
      <c r="C141" t="inlineStr">
        <is>
          <t>Hunter Property 1</t>
        </is>
      </c>
      <c r="D141" t="inlineStr">
        <is>
          <t>Pending</t>
        </is>
      </c>
      <c r="E141" t="inlineStr">
        <is>
          <t>Pending</t>
        </is>
      </c>
      <c r="F141" t="inlineStr">
        <is>
          <t>stated</t>
        </is>
      </c>
      <c r="G141" t="inlineStr">
        <is>
          <t>Hunter Property</t>
        </is>
      </c>
      <c r="H141" t="inlineStr">
        <is>
          <t>REZ2022-00019</t>
        </is>
      </c>
      <c r="I141" t="inlineStr">
        <is>
          <t>7496-25-7319</t>
        </is>
      </c>
      <c r="J141" t="n">
        <v>401000</v>
      </c>
      <c r="L141" t="inlineStr"/>
      <c r="M141" t="inlineStr">
        <is>
          <t>Stated: building status 'Pending' is the county's own label (PWC Build_Out_Analysis layer 9).</t>
        </is>
      </c>
      <c r="N141" t="inlineStr">
        <is>
          <t>https://gisweb.pwcva.gov/arcgis/rest/services/Planning/Build_Out_Analysis/MapServer/9/163?f=html</t>
        </is>
      </c>
      <c r="O141" t="n">
        <v>38.770887</v>
      </c>
      <c r="P141" t="n">
        <v>-77.59038</v>
      </c>
    </row>
    <row r="142">
      <c r="A142" t="n">
        <v>141</v>
      </c>
      <c r="B142" t="inlineStr">
        <is>
          <t>Prince William</t>
        </is>
      </c>
      <c r="C142" t="inlineStr">
        <is>
          <t>Hunter Property 10</t>
        </is>
      </c>
      <c r="D142" t="inlineStr">
        <is>
          <t>Pending</t>
        </is>
      </c>
      <c r="E142" t="inlineStr">
        <is>
          <t>Pending</t>
        </is>
      </c>
      <c r="F142" t="inlineStr">
        <is>
          <t>stated</t>
        </is>
      </c>
      <c r="G142" t="inlineStr">
        <is>
          <t>Hunter Property</t>
        </is>
      </c>
      <c r="H142" t="inlineStr">
        <is>
          <t>REZ2022-00019</t>
        </is>
      </c>
      <c r="I142" t="inlineStr">
        <is>
          <t>7496-43-8199</t>
        </is>
      </c>
      <c r="J142" t="n">
        <v>401000</v>
      </c>
      <c r="L142" t="inlineStr"/>
      <c r="M142" t="inlineStr">
        <is>
          <t>Stated: building status 'Pending' is the county's own label (PWC Build_Out_Analysis layer 9).</t>
        </is>
      </c>
      <c r="N142" t="inlineStr">
        <is>
          <t>https://gisweb.pwcva.gov/arcgis/rest/services/Planning/Build_Out_Analysis/MapServer/9/172?f=html</t>
        </is>
      </c>
      <c r="O142" t="n">
        <v>38.765942</v>
      </c>
      <c r="P142" t="n">
        <v>-77.58206800000001</v>
      </c>
    </row>
    <row r="143">
      <c r="A143" t="n">
        <v>142</v>
      </c>
      <c r="B143" t="inlineStr">
        <is>
          <t>Prince William</t>
        </is>
      </c>
      <c r="C143" t="inlineStr">
        <is>
          <t>Hunter Property 2</t>
        </is>
      </c>
      <c r="D143" t="inlineStr">
        <is>
          <t>Pending</t>
        </is>
      </c>
      <c r="E143" t="inlineStr">
        <is>
          <t>Pending</t>
        </is>
      </c>
      <c r="F143" t="inlineStr">
        <is>
          <t>stated</t>
        </is>
      </c>
      <c r="G143" t="inlineStr">
        <is>
          <t>Hunter Property</t>
        </is>
      </c>
      <c r="H143" t="inlineStr">
        <is>
          <t>REZ2022-00019</t>
        </is>
      </c>
      <c r="I143" t="inlineStr">
        <is>
          <t>7496-25-7319</t>
        </is>
      </c>
      <c r="J143" t="n">
        <v>401000</v>
      </c>
      <c r="L143" t="inlineStr"/>
      <c r="M143" t="inlineStr">
        <is>
          <t>Stated: building status 'Pending' is the county's own label (PWC Build_Out_Analysis layer 9).</t>
        </is>
      </c>
      <c r="N143" t="inlineStr">
        <is>
          <t>https://gisweb.pwcva.gov/arcgis/rest/services/Planning/Build_Out_Analysis/MapServer/9/164?f=html</t>
        </is>
      </c>
      <c r="O143" t="n">
        <v>38.772955</v>
      </c>
      <c r="P143" t="n">
        <v>-77.58909300000001</v>
      </c>
    </row>
    <row r="144">
      <c r="A144" t="n">
        <v>143</v>
      </c>
      <c r="B144" t="inlineStr">
        <is>
          <t>Prince William</t>
        </is>
      </c>
      <c r="C144" t="inlineStr">
        <is>
          <t>Hunter Property 3</t>
        </is>
      </c>
      <c r="D144" t="inlineStr">
        <is>
          <t>Pending</t>
        </is>
      </c>
      <c r="E144" t="inlineStr">
        <is>
          <t>Pending</t>
        </is>
      </c>
      <c r="F144" t="inlineStr">
        <is>
          <t>stated</t>
        </is>
      </c>
      <c r="G144" t="inlineStr">
        <is>
          <t>Hunter Property</t>
        </is>
      </c>
      <c r="H144" t="inlineStr">
        <is>
          <t>REZ2022-00019</t>
        </is>
      </c>
      <c r="I144" t="inlineStr">
        <is>
          <t>7496-25-7319</t>
        </is>
      </c>
      <c r="J144" t="n">
        <v>401000</v>
      </c>
      <c r="L144" t="inlineStr"/>
      <c r="M144" t="inlineStr">
        <is>
          <t>Stated: building status 'Pending' is the county's own label (PWC Build_Out_Analysis layer 9).</t>
        </is>
      </c>
      <c r="N144" t="inlineStr">
        <is>
          <t>https://gisweb.pwcva.gov/arcgis/rest/services/Planning/Build_Out_Analysis/MapServer/9/169?f=html</t>
        </is>
      </c>
      <c r="O144" t="n">
        <v>38.768673</v>
      </c>
      <c r="P144" t="n">
        <v>-77.58982</v>
      </c>
    </row>
    <row r="145">
      <c r="A145" t="n">
        <v>144</v>
      </c>
      <c r="B145" t="inlineStr">
        <is>
          <t>Prince William</t>
        </is>
      </c>
      <c r="C145" t="inlineStr">
        <is>
          <t>Hunter Property 4</t>
        </is>
      </c>
      <c r="D145" t="inlineStr">
        <is>
          <t>Pending</t>
        </is>
      </c>
      <c r="E145" t="inlineStr">
        <is>
          <t>Pending</t>
        </is>
      </c>
      <c r="F145" t="inlineStr">
        <is>
          <t>stated</t>
        </is>
      </c>
      <c r="G145" t="inlineStr">
        <is>
          <t>Hunter Property</t>
        </is>
      </c>
      <c r="H145" t="inlineStr">
        <is>
          <t>REZ2022-00019</t>
        </is>
      </c>
      <c r="I145" t="inlineStr">
        <is>
          <t>7496-25-7319</t>
        </is>
      </c>
      <c r="J145" t="n">
        <v>401000</v>
      </c>
      <c r="L145" t="inlineStr"/>
      <c r="M145" t="inlineStr">
        <is>
          <t>Stated: building status 'Pending' is the county's own label (PWC Build_Out_Analysis layer 9).</t>
        </is>
      </c>
      <c r="N145" t="inlineStr">
        <is>
          <t>https://gisweb.pwcva.gov/arcgis/rest/services/Planning/Build_Out_Analysis/MapServer/9/168?f=html</t>
        </is>
      </c>
      <c r="O145" t="n">
        <v>38.769578</v>
      </c>
      <c r="P145" t="n">
        <v>-77.588824</v>
      </c>
    </row>
    <row r="146">
      <c r="A146" t="n">
        <v>145</v>
      </c>
      <c r="B146" t="inlineStr">
        <is>
          <t>Prince William</t>
        </is>
      </c>
      <c r="C146" t="inlineStr">
        <is>
          <t>Hunter Property 5</t>
        </is>
      </c>
      <c r="D146" t="inlineStr">
        <is>
          <t>Pending</t>
        </is>
      </c>
      <c r="E146" t="inlineStr">
        <is>
          <t>Pending</t>
        </is>
      </c>
      <c r="F146" t="inlineStr">
        <is>
          <t>stated</t>
        </is>
      </c>
      <c r="G146" t="inlineStr">
        <is>
          <t>Hunter Property</t>
        </is>
      </c>
      <c r="H146" t="inlineStr">
        <is>
          <t>REZ2022-00019</t>
        </is>
      </c>
      <c r="I146" t="inlineStr">
        <is>
          <t>7496-25-7319</t>
        </is>
      </c>
      <c r="J146" t="n">
        <v>401000</v>
      </c>
      <c r="L146" t="inlineStr"/>
      <c r="M146" t="inlineStr">
        <is>
          <t>Stated: building status 'Pending' is the county's own label (PWC Build_Out_Analysis layer 9).</t>
        </is>
      </c>
      <c r="N146" t="inlineStr">
        <is>
          <t>https://gisweb.pwcva.gov/arcgis/rest/services/Planning/Build_Out_Analysis/MapServer/9/167?f=html</t>
        </is>
      </c>
      <c r="O146" t="n">
        <v>38.770099</v>
      </c>
      <c r="P146" t="n">
        <v>-77.588157</v>
      </c>
    </row>
    <row r="147">
      <c r="A147" t="n">
        <v>146</v>
      </c>
      <c r="B147" t="inlineStr">
        <is>
          <t>Prince William</t>
        </is>
      </c>
      <c r="C147" t="inlineStr">
        <is>
          <t>Hunter Property 6</t>
        </is>
      </c>
      <c r="D147" t="inlineStr">
        <is>
          <t>Pending</t>
        </is>
      </c>
      <c r="E147" t="inlineStr">
        <is>
          <t>Pending</t>
        </is>
      </c>
      <c r="F147" t="inlineStr">
        <is>
          <t>stated</t>
        </is>
      </c>
      <c r="G147" t="inlineStr">
        <is>
          <t>Hunter Property</t>
        </is>
      </c>
      <c r="H147" t="inlineStr">
        <is>
          <t>REZ2022-00019</t>
        </is>
      </c>
      <c r="I147" t="inlineStr">
        <is>
          <t>7496-25-7319</t>
        </is>
      </c>
      <c r="J147" t="n">
        <v>401000</v>
      </c>
      <c r="L147" t="inlineStr"/>
      <c r="M147" t="inlineStr">
        <is>
          <t>Stated: building status 'Pending' is the county's own label (PWC Build_Out_Analysis layer 9).</t>
        </is>
      </c>
      <c r="N147" t="inlineStr">
        <is>
          <t>https://gisweb.pwcva.gov/arcgis/rest/services/Planning/Build_Out_Analysis/MapServer/9/166?f=html</t>
        </is>
      </c>
      <c r="O147" t="n">
        <v>38.771126</v>
      </c>
      <c r="P147" t="n">
        <v>-77.58729099999999</v>
      </c>
    </row>
    <row r="148">
      <c r="A148" t="n">
        <v>147</v>
      </c>
      <c r="B148" t="inlineStr">
        <is>
          <t>Prince William</t>
        </is>
      </c>
      <c r="C148" t="inlineStr">
        <is>
          <t>Hunter Property 7</t>
        </is>
      </c>
      <c r="D148" t="inlineStr">
        <is>
          <t>Pending</t>
        </is>
      </c>
      <c r="E148" t="inlineStr">
        <is>
          <t>Pending</t>
        </is>
      </c>
      <c r="F148" t="inlineStr">
        <is>
          <t>stated</t>
        </is>
      </c>
      <c r="G148" t="inlineStr">
        <is>
          <t>Hunter Property</t>
        </is>
      </c>
      <c r="H148" t="inlineStr">
        <is>
          <t>REZ2022-00019</t>
        </is>
      </c>
      <c r="I148" t="inlineStr">
        <is>
          <t>7496-25-7319</t>
        </is>
      </c>
      <c r="J148" t="n">
        <v>401000</v>
      </c>
      <c r="L148" t="inlineStr"/>
      <c r="M148" t="inlineStr">
        <is>
          <t>Stated: building status 'Pending' is the county's own label (PWC Build_Out_Analysis layer 9).</t>
        </is>
      </c>
      <c r="N148" t="inlineStr">
        <is>
          <t>https://gisweb.pwcva.gov/arcgis/rest/services/Planning/Build_Out_Analysis/MapServer/9/165?f=html</t>
        </is>
      </c>
      <c r="O148" t="n">
        <v>38.771788</v>
      </c>
      <c r="P148" t="n">
        <v>-77.58651399999999</v>
      </c>
    </row>
    <row r="149">
      <c r="A149" t="n">
        <v>148</v>
      </c>
      <c r="B149" t="inlineStr">
        <is>
          <t>Prince William</t>
        </is>
      </c>
      <c r="C149" t="inlineStr">
        <is>
          <t>Hunter Property 8</t>
        </is>
      </c>
      <c r="D149" t="inlineStr">
        <is>
          <t>Pending</t>
        </is>
      </c>
      <c r="E149" t="inlineStr">
        <is>
          <t>Pending</t>
        </is>
      </c>
      <c r="F149" t="inlineStr">
        <is>
          <t>stated</t>
        </is>
      </c>
      <c r="G149" t="inlineStr">
        <is>
          <t>Hunter Property</t>
        </is>
      </c>
      <c r="H149" t="inlineStr">
        <is>
          <t>REZ2022-00019</t>
        </is>
      </c>
      <c r="I149" t="inlineStr">
        <is>
          <t>7496-43-8199</t>
        </is>
      </c>
      <c r="J149" t="n">
        <v>401000</v>
      </c>
      <c r="L149" t="inlineStr"/>
      <c r="M149" t="inlineStr">
        <is>
          <t>Stated: building status 'Pending' is the county's own label (PWC Build_Out_Analysis layer 9).</t>
        </is>
      </c>
      <c r="N149" t="inlineStr">
        <is>
          <t>https://gisweb.pwcva.gov/arcgis/rest/services/Planning/Build_Out_Analysis/MapServer/9/170?f=html</t>
        </is>
      </c>
      <c r="O149" t="n">
        <v>38.768651</v>
      </c>
      <c r="P149" t="n">
        <v>-77.582194</v>
      </c>
    </row>
    <row r="150">
      <c r="A150" t="n">
        <v>149</v>
      </c>
      <c r="B150" t="inlineStr">
        <is>
          <t>Prince William</t>
        </is>
      </c>
      <c r="C150" t="inlineStr">
        <is>
          <t>Hunter Property 9</t>
        </is>
      </c>
      <c r="D150" t="inlineStr">
        <is>
          <t>Pending</t>
        </is>
      </c>
      <c r="E150" t="inlineStr">
        <is>
          <t>Pending</t>
        </is>
      </c>
      <c r="F150" t="inlineStr">
        <is>
          <t>stated</t>
        </is>
      </c>
      <c r="G150" t="inlineStr">
        <is>
          <t>Hunter Property</t>
        </is>
      </c>
      <c r="H150" t="inlineStr">
        <is>
          <t>REZ2022-00019</t>
        </is>
      </c>
      <c r="I150" t="inlineStr">
        <is>
          <t>7496-43-8199</t>
        </is>
      </c>
      <c r="J150" t="n">
        <v>401000</v>
      </c>
      <c r="L150" t="inlineStr"/>
      <c r="M150" t="inlineStr">
        <is>
          <t>Stated: building status 'Pending' is the county's own label (PWC Build_Out_Analysis layer 9).</t>
        </is>
      </c>
      <c r="N150" t="inlineStr">
        <is>
          <t>https://gisweb.pwcva.gov/arcgis/rest/services/Planning/Build_Out_Analysis/MapServer/9/171?f=html</t>
        </is>
      </c>
      <c r="O150" t="n">
        <v>38.766599</v>
      </c>
      <c r="P150" t="n">
        <v>-77.583392</v>
      </c>
    </row>
    <row r="151">
      <c r="A151" t="n">
        <v>150</v>
      </c>
      <c r="B151" t="inlineStr">
        <is>
          <t>Prince William</t>
        </is>
      </c>
      <c r="C151" t="inlineStr">
        <is>
          <t>Innovation on the Parkway</t>
        </is>
      </c>
      <c r="D151" t="inlineStr">
        <is>
          <t>Approved/Planned</t>
        </is>
      </c>
      <c r="E151" t="inlineStr">
        <is>
          <t>Planned</t>
        </is>
      </c>
      <c r="F151" t="inlineStr">
        <is>
          <t>stated</t>
        </is>
      </c>
      <c r="G151" t="inlineStr">
        <is>
          <t>Innovation on the Parkway</t>
        </is>
      </c>
      <c r="H151" t="inlineStr">
        <is>
          <t>REZ2023-00001</t>
        </is>
      </c>
      <c r="I151" t="inlineStr">
        <is>
          <t>7695-09-7902</t>
        </is>
      </c>
      <c r="J151" t="n">
        <v>576952</v>
      </c>
      <c r="L151" t="inlineStr"/>
      <c r="M151" t="inlineStr">
        <is>
          <t>Stated: building status 'Planned' is the county's own label (PWC Build_Out_Analysis layer 9).</t>
        </is>
      </c>
      <c r="N151" t="inlineStr">
        <is>
          <t>https://gisweb.pwcva.gov/arcgis/rest/services/Planning/Build_Out_Analysis/MapServer/9/129?f=html</t>
        </is>
      </c>
      <c r="O151" t="n">
        <v>38.753802</v>
      </c>
      <c r="P151" t="n">
        <v>-77.524963</v>
      </c>
    </row>
    <row r="152">
      <c r="A152" t="n">
        <v>151</v>
      </c>
      <c r="B152" t="inlineStr">
        <is>
          <t>Prince William</t>
        </is>
      </c>
      <c r="C152" t="inlineStr">
        <is>
          <t>Iron Mountain Data Center VA-1</t>
        </is>
      </c>
      <c r="D152" t="inlineStr">
        <is>
          <t>Existing/Completed</t>
        </is>
      </c>
      <c r="E152" t="inlineStr">
        <is>
          <t>Completed</t>
        </is>
      </c>
      <c r="F152" t="inlineStr">
        <is>
          <t>stated</t>
        </is>
      </c>
      <c r="G152" t="inlineStr">
        <is>
          <t>Iron Mountain</t>
        </is>
      </c>
      <c r="H152" t="inlineStr">
        <is>
          <t>REZ2021-00022</t>
        </is>
      </c>
      <c r="I152" t="inlineStr">
        <is>
          <t>7596-47-5780</t>
        </is>
      </c>
      <c r="J152" t="n">
        <v>165230</v>
      </c>
      <c r="K152" t="n">
        <v>2017</v>
      </c>
      <c r="L152" t="inlineStr"/>
      <c r="M152" t="inlineStr">
        <is>
          <t>Stated: building status 'Completed' is the county's own label (PWC Build_Out_Analysis layer 9).</t>
        </is>
      </c>
      <c r="N152" t="inlineStr">
        <is>
          <t>https://gisweb.pwcva.gov/arcgis/rest/services/Planning/Build_Out_Analysis/MapServer/9/1?f=html</t>
        </is>
      </c>
      <c r="O152" t="n">
        <v>38.777742</v>
      </c>
      <c r="P152" t="n">
        <v>-77.54738399999999</v>
      </c>
    </row>
    <row r="153">
      <c r="A153" t="n">
        <v>152</v>
      </c>
      <c r="B153" t="inlineStr">
        <is>
          <t>Prince William</t>
        </is>
      </c>
      <c r="C153" t="inlineStr">
        <is>
          <t>Iron Mountain Data Center VA-10</t>
        </is>
      </c>
      <c r="D153" t="inlineStr">
        <is>
          <t>Existing/Completed</t>
        </is>
      </c>
      <c r="E153" t="inlineStr">
        <is>
          <t>Completed</t>
        </is>
      </c>
      <c r="F153" t="inlineStr">
        <is>
          <t>stated</t>
        </is>
      </c>
      <c r="G153" t="inlineStr">
        <is>
          <t>Iron Mountain</t>
        </is>
      </c>
      <c r="H153" t="inlineStr">
        <is>
          <t>REZ2021-00022</t>
        </is>
      </c>
      <c r="I153" t="inlineStr">
        <is>
          <t>7596-64-6285</t>
        </is>
      </c>
      <c r="J153" t="n">
        <v>33574</v>
      </c>
      <c r="K153" t="n">
        <v>2025</v>
      </c>
      <c r="L153" t="inlineStr"/>
      <c r="M153" t="inlineStr">
        <is>
          <t>Stated: building status 'Completed' is the county's own label (PWC Build_Out_Analysis layer 9).</t>
        </is>
      </c>
      <c r="N153" t="inlineStr">
        <is>
          <t>https://gisweb.pwcva.gov/arcgis/rest/services/Planning/Build_Out_Analysis/MapServer/9/88?f=html</t>
        </is>
      </c>
      <c r="O153" t="n">
        <v>38.769746</v>
      </c>
      <c r="P153" t="n">
        <v>-77.539801</v>
      </c>
    </row>
    <row r="154">
      <c r="A154" t="n">
        <v>153</v>
      </c>
      <c r="B154" t="inlineStr">
        <is>
          <t>Prince William</t>
        </is>
      </c>
      <c r="C154" t="inlineStr">
        <is>
          <t>Iron Mountain Data Center VA-2</t>
        </is>
      </c>
      <c r="D154" t="inlineStr">
        <is>
          <t>Existing/Completed</t>
        </is>
      </c>
      <c r="E154" t="inlineStr">
        <is>
          <t>Completed</t>
        </is>
      </c>
      <c r="F154" t="inlineStr">
        <is>
          <t>stated</t>
        </is>
      </c>
      <c r="G154" t="inlineStr">
        <is>
          <t>Iron Mountain</t>
        </is>
      </c>
      <c r="H154" t="inlineStr">
        <is>
          <t>REZ2021-00022</t>
        </is>
      </c>
      <c r="I154" t="inlineStr">
        <is>
          <t>7596-57-4735</t>
        </is>
      </c>
      <c r="J154" t="n">
        <v>325918</v>
      </c>
      <c r="K154" t="n">
        <v>2019</v>
      </c>
      <c r="L154" t="inlineStr"/>
      <c r="M154" t="inlineStr">
        <is>
          <t>Stated: building status 'Completed' is the county's own label (PWC Build_Out_Analysis layer 9).</t>
        </is>
      </c>
      <c r="N154" t="inlineStr">
        <is>
          <t>https://gisweb.pwcva.gov/arcgis/rest/services/Planning/Build_Out_Analysis/MapServer/9/2?f=html</t>
        </is>
      </c>
      <c r="O154" t="n">
        <v>38.776994</v>
      </c>
      <c r="P154" t="n">
        <v>-77.546263</v>
      </c>
    </row>
    <row r="155">
      <c r="A155" t="n">
        <v>154</v>
      </c>
      <c r="B155" t="inlineStr">
        <is>
          <t>Prince William</t>
        </is>
      </c>
      <c r="C155" t="inlineStr">
        <is>
          <t>Iron Mountain Data Center VA-3</t>
        </is>
      </c>
      <c r="D155" t="inlineStr">
        <is>
          <t>Existing/Completed</t>
        </is>
      </c>
      <c r="E155" t="inlineStr">
        <is>
          <t>Completed</t>
        </is>
      </c>
      <c r="F155" t="inlineStr">
        <is>
          <t>stated</t>
        </is>
      </c>
      <c r="G155" t="inlineStr">
        <is>
          <t>Iron Mountain</t>
        </is>
      </c>
      <c r="H155" t="inlineStr">
        <is>
          <t>REZ2021-00022</t>
        </is>
      </c>
      <c r="I155" t="inlineStr">
        <is>
          <t>7596-56-1578</t>
        </is>
      </c>
      <c r="J155" t="n">
        <v>389649</v>
      </c>
      <c r="K155" t="n">
        <v>2024</v>
      </c>
      <c r="L155" t="inlineStr"/>
      <c r="M155" t="inlineStr">
        <is>
          <t>Stated: building status 'Completed' is the county's own label (PWC Build_Out_Analysis layer 9).</t>
        </is>
      </c>
      <c r="N155" t="inlineStr">
        <is>
          <t>https://gisweb.pwcva.gov/arcgis/rest/services/Planning/Build_Out_Analysis/MapServer/9/3?f=html</t>
        </is>
      </c>
      <c r="O155" t="n">
        <v>38.775229</v>
      </c>
      <c r="P155" t="n">
        <v>-77.544918</v>
      </c>
    </row>
    <row r="156">
      <c r="A156" t="n">
        <v>155</v>
      </c>
      <c r="B156" t="inlineStr">
        <is>
          <t>Prince William</t>
        </is>
      </c>
      <c r="C156" t="inlineStr">
        <is>
          <t>Iron Mountain Data Center VA-4</t>
        </is>
      </c>
      <c r="D156" t="inlineStr">
        <is>
          <t>Existing/Completed</t>
        </is>
      </c>
      <c r="E156" t="inlineStr">
        <is>
          <t>Completed</t>
        </is>
      </c>
      <c r="F156" t="inlineStr">
        <is>
          <t>stated</t>
        </is>
      </c>
      <c r="G156" t="inlineStr">
        <is>
          <t>Iron Mountain</t>
        </is>
      </c>
      <c r="H156" t="inlineStr">
        <is>
          <t>REZ2021-00022</t>
        </is>
      </c>
      <c r="I156" t="inlineStr">
        <is>
          <t>7596-66-0725</t>
        </is>
      </c>
      <c r="J156" t="n">
        <v>182032</v>
      </c>
      <c r="K156" t="n">
        <v>2024</v>
      </c>
      <c r="L156" t="inlineStr"/>
      <c r="M156" t="inlineStr">
        <is>
          <t>Stated: building status 'Completed' is the county's own label (PWC Build_Out_Analysis layer 9).</t>
        </is>
      </c>
      <c r="N156" t="inlineStr">
        <is>
          <t>https://gisweb.pwcva.gov/arcgis/rest/services/Planning/Build_Out_Analysis/MapServer/9/4?f=html</t>
        </is>
      </c>
      <c r="O156" t="n">
        <v>38.774453</v>
      </c>
      <c r="P156" t="n">
        <v>-77.542124</v>
      </c>
    </row>
    <row r="157">
      <c r="A157" t="n">
        <v>156</v>
      </c>
      <c r="B157" t="inlineStr">
        <is>
          <t>Prince William</t>
        </is>
      </c>
      <c r="C157" t="inlineStr">
        <is>
          <t>Iron Mountain Data Center VA-5</t>
        </is>
      </c>
      <c r="D157" t="inlineStr">
        <is>
          <t>Existing/Completed</t>
        </is>
      </c>
      <c r="E157" t="inlineStr">
        <is>
          <t>Completed</t>
        </is>
      </c>
      <c r="F157" t="inlineStr">
        <is>
          <t>stated</t>
        </is>
      </c>
      <c r="G157" t="inlineStr">
        <is>
          <t>Iron Mountain</t>
        </is>
      </c>
      <c r="H157" t="inlineStr">
        <is>
          <t>REZ2021-00022</t>
        </is>
      </c>
      <c r="I157" t="inlineStr">
        <is>
          <t>7596-66-0725</t>
        </is>
      </c>
      <c r="J157" t="n">
        <v>220134</v>
      </c>
      <c r="K157" t="n">
        <v>2025</v>
      </c>
      <c r="L157" t="inlineStr"/>
      <c r="M157" t="inlineStr">
        <is>
          <t>Stated: building status 'Completed' is the county's own label (PWC Build_Out_Analysis layer 9).</t>
        </is>
      </c>
      <c r="N157" t="inlineStr">
        <is>
          <t>https://gisweb.pwcva.gov/arcgis/rest/services/Planning/Build_Out_Analysis/MapServer/9/5?f=html</t>
        </is>
      </c>
      <c r="O157" t="n">
        <v>38.773118</v>
      </c>
      <c r="P157" t="n">
        <v>-77.541138</v>
      </c>
    </row>
    <row r="158">
      <c r="A158" t="n">
        <v>157</v>
      </c>
      <c r="B158" t="inlineStr">
        <is>
          <t>Prince William</t>
        </is>
      </c>
      <c r="C158" t="inlineStr">
        <is>
          <t>Iron Mountain Data Center VA-6</t>
        </is>
      </c>
      <c r="D158" t="inlineStr">
        <is>
          <t>Existing/Completed</t>
        </is>
      </c>
      <c r="E158" t="inlineStr">
        <is>
          <t>Completed</t>
        </is>
      </c>
      <c r="F158" t="inlineStr">
        <is>
          <t>stated</t>
        </is>
      </c>
      <c r="G158" t="inlineStr">
        <is>
          <t>Iron Mountain</t>
        </is>
      </c>
      <c r="H158" t="inlineStr">
        <is>
          <t>REZ2021-00022</t>
        </is>
      </c>
      <c r="I158" t="inlineStr">
        <is>
          <t>7596-64-9220</t>
        </is>
      </c>
      <c r="J158" t="n">
        <v>230706</v>
      </c>
      <c r="K158" t="n">
        <v>2025</v>
      </c>
      <c r="L158" t="inlineStr"/>
      <c r="M158" t="inlineStr">
        <is>
          <t>Stated: building status 'Completed' is the county's own label (PWC Build_Out_Analysis layer 9).</t>
        </is>
      </c>
      <c r="N158" t="inlineStr">
        <is>
          <t>https://gisweb.pwcva.gov/arcgis/rest/services/Planning/Build_Out_Analysis/MapServer/9/6?f=html</t>
        </is>
      </c>
      <c r="O158" t="n">
        <v>38.76812</v>
      </c>
      <c r="P158" t="n">
        <v>-77.53892999999999</v>
      </c>
    </row>
    <row r="159">
      <c r="A159" t="n">
        <v>158</v>
      </c>
      <c r="B159" t="inlineStr">
        <is>
          <t>Prince William</t>
        </is>
      </c>
      <c r="C159" t="inlineStr">
        <is>
          <t>Iron Mountain Data Center VA-7</t>
        </is>
      </c>
      <c r="D159" t="inlineStr">
        <is>
          <t>Existing/Completed</t>
        </is>
      </c>
      <c r="E159" t="inlineStr">
        <is>
          <t>Completed</t>
        </is>
      </c>
      <c r="F159" t="inlineStr">
        <is>
          <t>stated</t>
        </is>
      </c>
      <c r="G159" t="inlineStr">
        <is>
          <t>Iron Mountain</t>
        </is>
      </c>
      <c r="H159" t="inlineStr">
        <is>
          <t>REZ2021-00022</t>
        </is>
      </c>
      <c r="I159" t="inlineStr">
        <is>
          <t>7596-66-8266</t>
        </is>
      </c>
      <c r="J159" t="n">
        <v>290307</v>
      </c>
      <c r="K159" t="n">
        <v>2025</v>
      </c>
      <c r="L159" t="inlineStr"/>
      <c r="M159" t="inlineStr">
        <is>
          <t>Stated: building status 'Completed' is the county's own label (PWC Build_Out_Analysis layer 9).</t>
        </is>
      </c>
      <c r="N159" t="inlineStr">
        <is>
          <t>https://gisweb.pwcva.gov/arcgis/rest/services/Planning/Build_Out_Analysis/MapServer/9/7?f=html</t>
        </is>
      </c>
      <c r="O159" t="n">
        <v>38.775181</v>
      </c>
      <c r="P159" t="n">
        <v>-77.539951</v>
      </c>
    </row>
    <row r="160">
      <c r="A160" t="n">
        <v>159</v>
      </c>
      <c r="B160" t="inlineStr">
        <is>
          <t>Prince William</t>
        </is>
      </c>
      <c r="C160" t="inlineStr">
        <is>
          <t>Iron Mountain Data Center VA-8/9</t>
        </is>
      </c>
      <c r="D160" t="inlineStr">
        <is>
          <t>Approved/Planned</t>
        </is>
      </c>
      <c r="E160" t="inlineStr">
        <is>
          <t>Planned</t>
        </is>
      </c>
      <c r="F160" t="inlineStr">
        <is>
          <t>stated</t>
        </is>
      </c>
      <c r="G160" t="inlineStr">
        <is>
          <t>Iron Mountain</t>
        </is>
      </c>
      <c r="H160" t="inlineStr">
        <is>
          <t>REZ2021-00022</t>
        </is>
      </c>
      <c r="I160" t="inlineStr">
        <is>
          <t>7596-55-9338</t>
        </is>
      </c>
      <c r="J160" t="n">
        <v>342028</v>
      </c>
      <c r="K160" t="n">
        <v>0</v>
      </c>
      <c r="L160" t="inlineStr"/>
      <c r="M160" t="inlineStr">
        <is>
          <t>Stated: building status 'Planned' is the county's own label (PWC Build_Out_Analysis layer 9).</t>
        </is>
      </c>
      <c r="N160" t="inlineStr">
        <is>
          <t>https://gisweb.pwcva.gov/arcgis/rest/services/Planning/Build_Out_Analysis/MapServer/9/8?f=html</t>
        </is>
      </c>
      <c r="O160" t="n">
        <v>38.77171</v>
      </c>
      <c r="P160" t="n">
        <v>-77.54264999999999</v>
      </c>
    </row>
    <row r="161">
      <c r="A161" t="n">
        <v>160</v>
      </c>
      <c r="B161" t="inlineStr">
        <is>
          <t>Prince William</t>
        </is>
      </c>
      <c r="C161" t="inlineStr">
        <is>
          <t>Iron Mountain Manassas Point DC1</t>
        </is>
      </c>
      <c r="D161" t="inlineStr">
        <is>
          <t>Approved/Planned</t>
        </is>
      </c>
      <c r="E161" t="inlineStr">
        <is>
          <t>Planned</t>
        </is>
      </c>
      <c r="F161" t="inlineStr">
        <is>
          <t>stated</t>
        </is>
      </c>
      <c r="G161" t="inlineStr">
        <is>
          <t>Iron Mountain Manassas Point</t>
        </is>
      </c>
      <c r="H161" t="inlineStr">
        <is>
          <t>REZ2024-00001</t>
        </is>
      </c>
      <c r="I161" t="inlineStr">
        <is>
          <t>7596-79-3589</t>
        </is>
      </c>
      <c r="J161" t="n">
        <v>580035</v>
      </c>
      <c r="K161" t="n">
        <v>0</v>
      </c>
      <c r="L161" t="inlineStr"/>
      <c r="M161" t="inlineStr">
        <is>
          <t>Stated: building status 'Planned' is the county's own label (PWC Build_Out_Analysis layer 9).</t>
        </is>
      </c>
      <c r="N161" t="inlineStr">
        <is>
          <t>https://gisweb.pwcva.gov/arcgis/rest/services/Planning/Build_Out_Analysis/MapServer/9/64?f=html</t>
        </is>
      </c>
      <c r="O161" t="n">
        <v>38.783656</v>
      </c>
      <c r="P161" t="n">
        <v>-77.53748400000001</v>
      </c>
    </row>
    <row r="162">
      <c r="A162" t="n">
        <v>161</v>
      </c>
      <c r="B162" t="inlineStr">
        <is>
          <t>Prince William</t>
        </is>
      </c>
      <c r="C162" t="inlineStr">
        <is>
          <t>Iron Mountain Manassas Point DC2</t>
        </is>
      </c>
      <c r="D162" t="inlineStr">
        <is>
          <t>Approved/Planned</t>
        </is>
      </c>
      <c r="E162" t="inlineStr">
        <is>
          <t>Planned</t>
        </is>
      </c>
      <c r="F162" t="inlineStr">
        <is>
          <t>stated</t>
        </is>
      </c>
      <c r="G162" t="inlineStr">
        <is>
          <t>Iron Mountain Manassas Point</t>
        </is>
      </c>
      <c r="H162" t="inlineStr">
        <is>
          <t>REZ2024-00001</t>
        </is>
      </c>
      <c r="I162" t="inlineStr">
        <is>
          <t>7596-79-3589</t>
        </is>
      </c>
      <c r="J162" t="n">
        <v>580035</v>
      </c>
      <c r="K162" t="n">
        <v>0</v>
      </c>
      <c r="L162" t="inlineStr"/>
      <c r="M162" t="inlineStr">
        <is>
          <t>Stated: building status 'Planned' is the county's own label (PWC Build_Out_Analysis layer 9).</t>
        </is>
      </c>
      <c r="N162" t="inlineStr">
        <is>
          <t>https://gisweb.pwcva.gov/arcgis/rest/services/Planning/Build_Out_Analysis/MapServer/9/66?f=html</t>
        </is>
      </c>
      <c r="O162" t="n">
        <v>38.784583</v>
      </c>
      <c r="P162" t="n">
        <v>-77.535864</v>
      </c>
    </row>
    <row r="163">
      <c r="A163" t="n">
        <v>162</v>
      </c>
      <c r="B163" t="inlineStr">
        <is>
          <t>Prince William</t>
        </is>
      </c>
      <c r="C163" t="inlineStr">
        <is>
          <t>Iron Mountain Manassas Point DC3</t>
        </is>
      </c>
      <c r="D163" t="inlineStr">
        <is>
          <t>Approved/Planned</t>
        </is>
      </c>
      <c r="E163" t="inlineStr">
        <is>
          <t>Planned</t>
        </is>
      </c>
      <c r="F163" t="inlineStr">
        <is>
          <t>stated</t>
        </is>
      </c>
      <c r="G163" t="inlineStr">
        <is>
          <t>Iron Mountain Manassas Point</t>
        </is>
      </c>
      <c r="H163" t="inlineStr">
        <is>
          <t>REZ2024-00001</t>
        </is>
      </c>
      <c r="I163" t="inlineStr">
        <is>
          <t>7596-89-0058</t>
        </is>
      </c>
      <c r="J163" t="n">
        <v>580035</v>
      </c>
      <c r="K163" t="n">
        <v>0</v>
      </c>
      <c r="L163" t="inlineStr"/>
      <c r="M163" t="inlineStr">
        <is>
          <t>Stated: building status 'Planned' is the county's own label (PWC Build_Out_Analysis layer 9).</t>
        </is>
      </c>
      <c r="N163" t="inlineStr">
        <is>
          <t>https://gisweb.pwcva.gov/arcgis/rest/services/Planning/Build_Out_Analysis/MapServer/9/65?f=html</t>
        </is>
      </c>
      <c r="O163" t="n">
        <v>38.783019</v>
      </c>
      <c r="P163" t="n">
        <v>-77.535494</v>
      </c>
    </row>
    <row r="164">
      <c r="A164" t="n">
        <v>163</v>
      </c>
      <c r="B164" t="inlineStr">
        <is>
          <t>Prince William</t>
        </is>
      </c>
      <c r="C164" t="inlineStr">
        <is>
          <t>Manassas Data Center</t>
        </is>
      </c>
      <c r="D164" t="inlineStr">
        <is>
          <t>Approved/Planned</t>
        </is>
      </c>
      <c r="E164" t="inlineStr">
        <is>
          <t>Planned</t>
        </is>
      </c>
      <c r="F164" t="inlineStr">
        <is>
          <t>stated</t>
        </is>
      </c>
      <c r="G164" t="inlineStr">
        <is>
          <t>Manassas Data Center</t>
        </is>
      </c>
      <c r="H164" t="inlineStr">
        <is>
          <t>REZ1989-0038</t>
        </is>
      </c>
      <c r="I164" t="inlineStr">
        <is>
          <t>7497-03-2210</t>
        </is>
      </c>
      <c r="J164" t="n">
        <v>460740</v>
      </c>
      <c r="L164" t="inlineStr"/>
      <c r="M164" t="inlineStr">
        <is>
          <t>Stated: building status 'Planned' is the county's own label (PWC Build_Out_Analysis layer 9).</t>
        </is>
      </c>
      <c r="N164" t="inlineStr">
        <is>
          <t>https://gisweb.pwcva.gov/arcgis/rest/services/Planning/Build_Out_Analysis/MapServer/9/223?f=html</t>
        </is>
      </c>
      <c r="O164" t="n">
        <v>38.792327</v>
      </c>
      <c r="P164" t="n">
        <v>-77.5973</v>
      </c>
    </row>
    <row r="165">
      <c r="A165" t="n">
        <v>164</v>
      </c>
      <c r="B165" t="inlineStr">
        <is>
          <t>Prince William</t>
        </is>
      </c>
      <c r="C165" t="inlineStr">
        <is>
          <t>Manassas Tech Center Building A</t>
        </is>
      </c>
      <c r="D165" t="inlineStr">
        <is>
          <t>Under construction</t>
        </is>
      </c>
      <c r="E165" t="inlineStr">
        <is>
          <t>Under Construction</t>
        </is>
      </c>
      <c r="F165" t="inlineStr">
        <is>
          <t>stated</t>
        </is>
      </c>
      <c r="G165" t="inlineStr">
        <is>
          <t>Manassas Tech Center</t>
        </is>
      </c>
      <c r="H165" t="inlineStr">
        <is>
          <t>REZ2026-00022</t>
        </is>
      </c>
      <c r="I165" t="inlineStr">
        <is>
          <t>7596-61-8378.00</t>
        </is>
      </c>
      <c r="J165" t="n">
        <v>220132</v>
      </c>
      <c r="L165" t="inlineStr"/>
      <c r="M165" t="inlineStr">
        <is>
          <t>Stated: building status 'Under Construction' is the county's own label (PWC Build_Out_Analysis layer 9).</t>
        </is>
      </c>
      <c r="N165" t="inlineStr">
        <is>
          <t>https://gisweb.pwcva.gov/arcgis/rest/services/Planning/Build_Out_Analysis/MapServer/9/57?f=html</t>
        </is>
      </c>
      <c r="O165" t="n">
        <v>38.761305</v>
      </c>
      <c r="P165" t="n">
        <v>-77.539339</v>
      </c>
    </row>
    <row r="166">
      <c r="A166" t="n">
        <v>165</v>
      </c>
      <c r="B166" t="inlineStr">
        <is>
          <t>Prince William</t>
        </is>
      </c>
      <c r="C166" t="inlineStr">
        <is>
          <t>Manassas Tech Center Building B</t>
        </is>
      </c>
      <c r="D166" t="inlineStr">
        <is>
          <t>Approved/Planned</t>
        </is>
      </c>
      <c r="E166" t="inlineStr">
        <is>
          <t>Planned</t>
        </is>
      </c>
      <c r="F166" t="inlineStr">
        <is>
          <t>stated</t>
        </is>
      </c>
      <c r="G166" t="inlineStr">
        <is>
          <t>Manassas Tech Center</t>
        </is>
      </c>
      <c r="H166" t="inlineStr">
        <is>
          <t>REZ2026-00022</t>
        </is>
      </c>
      <c r="I166" t="inlineStr">
        <is>
          <t>7596-62-9148.00</t>
        </is>
      </c>
      <c r="J166" t="n">
        <v>210329</v>
      </c>
      <c r="L166" t="inlineStr"/>
      <c r="M166" t="inlineStr">
        <is>
          <t>Stated: building status 'Planned' is the county's own label (PWC Build_Out_Analysis layer 9).</t>
        </is>
      </c>
      <c r="N166" t="inlineStr">
        <is>
          <t>https://gisweb.pwcva.gov/arcgis/rest/services/Planning/Build_Out_Analysis/MapServer/9/240?f=html</t>
        </is>
      </c>
      <c r="O166" t="n">
        <v>38.762672</v>
      </c>
      <c r="P166" t="n">
        <v>-77.539852</v>
      </c>
    </row>
    <row r="167">
      <c r="A167" t="n">
        <v>166</v>
      </c>
      <c r="B167" t="inlineStr">
        <is>
          <t>Prince William</t>
        </is>
      </c>
      <c r="C167" t="inlineStr">
        <is>
          <t>Manassas Tech Center Building C</t>
        </is>
      </c>
      <c r="D167" t="inlineStr">
        <is>
          <t>Approved/Planned</t>
        </is>
      </c>
      <c r="E167" t="inlineStr">
        <is>
          <t>Planned</t>
        </is>
      </c>
      <c r="F167" t="inlineStr">
        <is>
          <t>stated</t>
        </is>
      </c>
      <c r="G167" t="inlineStr">
        <is>
          <t>Manassas Tech Center</t>
        </is>
      </c>
      <c r="H167" t="inlineStr">
        <is>
          <t>REZ2026-00022</t>
        </is>
      </c>
      <c r="I167" t="inlineStr"/>
      <c r="J167" t="n">
        <v>256260</v>
      </c>
      <c r="L167" t="inlineStr"/>
      <c r="M167" t="inlineStr">
        <is>
          <t>Stated: building status 'Planned' is the county's own label (PWC Build_Out_Analysis layer 9).</t>
        </is>
      </c>
      <c r="N167" t="inlineStr">
        <is>
          <t>https://gisweb.pwcva.gov/arcgis/rest/services/Planning/Build_Out_Analysis/MapServer/9/241?f=html</t>
        </is>
      </c>
      <c r="O167" t="n">
        <v>38.764036</v>
      </c>
      <c r="P167" t="n">
        <v>-77.53787</v>
      </c>
    </row>
    <row r="168">
      <c r="A168" t="n">
        <v>167</v>
      </c>
      <c r="B168" t="inlineStr">
        <is>
          <t>Prince William</t>
        </is>
      </c>
      <c r="C168" t="inlineStr">
        <is>
          <t>Manassas Tech Park II South</t>
        </is>
      </c>
      <c r="D168" t="inlineStr">
        <is>
          <t>Approved/Planned</t>
        </is>
      </c>
      <c r="E168" t="inlineStr">
        <is>
          <t>Planned</t>
        </is>
      </c>
      <c r="F168" t="inlineStr">
        <is>
          <t>stated</t>
        </is>
      </c>
      <c r="G168" t="inlineStr">
        <is>
          <t>Manassas Tech Park II South</t>
        </is>
      </c>
      <c r="H168" t="inlineStr">
        <is>
          <t>REZ1985-0048</t>
        </is>
      </c>
      <c r="I168" t="inlineStr">
        <is>
          <t>7595-59-2712</t>
        </is>
      </c>
      <c r="J168" t="n">
        <v>198500</v>
      </c>
      <c r="L168" t="inlineStr"/>
      <c r="M168" t="inlineStr">
        <is>
          <t>Stated: building status 'Planned' is the county's own label (PWC Build_Out_Analysis layer 9).</t>
        </is>
      </c>
      <c r="N168" t="inlineStr">
        <is>
          <t>https://gisweb.pwcva.gov/arcgis/rest/services/Planning/Build_Out_Analysis/MapServer/9/271?f=html</t>
        </is>
      </c>
      <c r="O168" t="n">
        <v>38.753627</v>
      </c>
      <c r="P168" t="n">
        <v>-77.54557699999999</v>
      </c>
    </row>
    <row r="169">
      <c r="A169" t="n">
        <v>168</v>
      </c>
      <c r="B169" t="inlineStr">
        <is>
          <t>Prince William</t>
        </is>
      </c>
      <c r="C169" t="inlineStr">
        <is>
          <t>Manassas Tech Park North 1</t>
        </is>
      </c>
      <c r="D169" t="inlineStr">
        <is>
          <t>Approved/Planned</t>
        </is>
      </c>
      <c r="E169" t="inlineStr">
        <is>
          <t>Planned</t>
        </is>
      </c>
      <c r="F169" t="inlineStr">
        <is>
          <t>stated</t>
        </is>
      </c>
      <c r="G169" t="inlineStr">
        <is>
          <t>Manassas Tech Park North</t>
        </is>
      </c>
      <c r="H169" t="inlineStr">
        <is>
          <t>REZ1985-0048</t>
        </is>
      </c>
      <c r="I169" t="inlineStr">
        <is>
          <t>7596-50-2719</t>
        </is>
      </c>
      <c r="J169" t="n">
        <v>170000</v>
      </c>
      <c r="L169" t="inlineStr"/>
      <c r="M169" t="inlineStr">
        <is>
          <t>Stated: building status 'Planned' is the county's own label (PWC Build_Out_Analysis layer 9).</t>
        </is>
      </c>
      <c r="N169" t="inlineStr">
        <is>
          <t>https://gisweb.pwcva.gov/arcgis/rest/services/Planning/Build_Out_Analysis/MapServer/9/221?f=html</t>
        </is>
      </c>
      <c r="O169" t="n">
        <v>38.757197</v>
      </c>
      <c r="P169" t="n">
        <v>-77.545376</v>
      </c>
    </row>
    <row r="170">
      <c r="A170" t="n">
        <v>169</v>
      </c>
      <c r="B170" t="inlineStr">
        <is>
          <t>Prince William</t>
        </is>
      </c>
      <c r="C170" t="inlineStr">
        <is>
          <t>Manassas Tech Park North 2</t>
        </is>
      </c>
      <c r="D170" t="inlineStr">
        <is>
          <t>Approved/Planned</t>
        </is>
      </c>
      <c r="E170" t="inlineStr">
        <is>
          <t>Planned</t>
        </is>
      </c>
      <c r="F170" t="inlineStr">
        <is>
          <t>stated</t>
        </is>
      </c>
      <c r="G170" t="inlineStr">
        <is>
          <t>Manassas Tech Park North</t>
        </is>
      </c>
      <c r="H170" t="inlineStr">
        <is>
          <t>REZ1985-0048</t>
        </is>
      </c>
      <c r="I170" t="inlineStr">
        <is>
          <t>7595-49-8655</t>
        </is>
      </c>
      <c r="J170" t="n">
        <v>170000</v>
      </c>
      <c r="L170" t="inlineStr"/>
      <c r="M170" t="inlineStr">
        <is>
          <t>Stated: building status 'Planned' is the county's own label (PWC Build_Out_Analysis layer 9).</t>
        </is>
      </c>
      <c r="N170" t="inlineStr">
        <is>
          <t>https://gisweb.pwcva.gov/arcgis/rest/services/Planning/Build_Out_Analysis/MapServer/9/222?f=html</t>
        </is>
      </c>
      <c r="O170" t="n">
        <v>38.75571</v>
      </c>
      <c r="P170" t="n">
        <v>-77.546235</v>
      </c>
    </row>
    <row r="171">
      <c r="A171" t="n">
        <v>170</v>
      </c>
      <c r="B171" t="inlineStr">
        <is>
          <t>Prince William</t>
        </is>
      </c>
      <c r="C171" t="inlineStr">
        <is>
          <t>Merritt I-66 Business Park A</t>
        </is>
      </c>
      <c r="D171" t="inlineStr">
        <is>
          <t>Approved/Planned</t>
        </is>
      </c>
      <c r="E171" t="inlineStr">
        <is>
          <t>Planned</t>
        </is>
      </c>
      <c r="F171" t="inlineStr">
        <is>
          <t>stated</t>
        </is>
      </c>
      <c r="G171" t="inlineStr">
        <is>
          <t>Merritt I-66 Business Park</t>
        </is>
      </c>
      <c r="H171" t="inlineStr">
        <is>
          <t>REZ1981-0015</t>
        </is>
      </c>
      <c r="I171" t="inlineStr">
        <is>
          <t>7597-25-1404</t>
        </is>
      </c>
      <c r="J171" t="n">
        <v>436000</v>
      </c>
      <c r="L171" t="inlineStr"/>
      <c r="M171" t="inlineStr">
        <is>
          <t>Stated: building status 'Planned' is the county's own label (PWC Build_Out_Analysis layer 9).</t>
        </is>
      </c>
      <c r="N171" t="inlineStr">
        <is>
          <t>https://gisweb.pwcva.gov/arcgis/rest/services/Planning/Build_Out_Analysis/MapServer/9/276?f=html</t>
        </is>
      </c>
      <c r="O171" t="n">
        <v>38.797997</v>
      </c>
      <c r="P171" t="n">
        <v>-77.555373</v>
      </c>
    </row>
    <row r="172">
      <c r="A172" t="n">
        <v>171</v>
      </c>
      <c r="B172" t="inlineStr">
        <is>
          <t>Prince William</t>
        </is>
      </c>
      <c r="C172" t="inlineStr">
        <is>
          <t>Merritt I-66 Business Park B</t>
        </is>
      </c>
      <c r="D172" t="inlineStr">
        <is>
          <t>Approved/Planned</t>
        </is>
      </c>
      <c r="E172" t="inlineStr">
        <is>
          <t>Planned</t>
        </is>
      </c>
      <c r="F172" t="inlineStr">
        <is>
          <t>stated</t>
        </is>
      </c>
      <c r="G172" t="inlineStr">
        <is>
          <t>Merritt I-66 Business Park</t>
        </is>
      </c>
      <c r="H172" t="inlineStr">
        <is>
          <t>REZ1981-0015</t>
        </is>
      </c>
      <c r="I172" t="inlineStr">
        <is>
          <t>7597-24-1765</t>
        </is>
      </c>
      <c r="J172" t="n">
        <v>436000</v>
      </c>
      <c r="L172" t="inlineStr"/>
      <c r="M172" t="inlineStr">
        <is>
          <t>Stated: building status 'Planned' is the county's own label (PWC Build_Out_Analysis layer 9).</t>
        </is>
      </c>
      <c r="N172" t="inlineStr">
        <is>
          <t>https://gisweb.pwcva.gov/arcgis/rest/services/Planning/Build_Out_Analysis/MapServer/9/275?f=html</t>
        </is>
      </c>
      <c r="O172" t="n">
        <v>38.796925</v>
      </c>
      <c r="P172" t="n">
        <v>-77.555221</v>
      </c>
    </row>
    <row r="173">
      <c r="A173" t="n">
        <v>172</v>
      </c>
      <c r="B173" t="inlineStr">
        <is>
          <t>Prince William</t>
        </is>
      </c>
      <c r="C173" t="inlineStr">
        <is>
          <t>Merritt I-66 Business Park C</t>
        </is>
      </c>
      <c r="D173" t="inlineStr">
        <is>
          <t>Approved/Planned</t>
        </is>
      </c>
      <c r="E173" t="inlineStr">
        <is>
          <t>Planned</t>
        </is>
      </c>
      <c r="F173" t="inlineStr">
        <is>
          <t>stated</t>
        </is>
      </c>
      <c r="G173" t="inlineStr">
        <is>
          <t>Merritt I-66 Business Park</t>
        </is>
      </c>
      <c r="H173" t="inlineStr">
        <is>
          <t>REZ1981-0015</t>
        </is>
      </c>
      <c r="I173" t="inlineStr">
        <is>
          <t>7597-24-7195</t>
        </is>
      </c>
      <c r="J173" t="n">
        <v>633749</v>
      </c>
      <c r="L173" t="inlineStr"/>
      <c r="M173" t="inlineStr">
        <is>
          <t>Stated: building status 'Planned' is the county's own label (PWC Build_Out_Analysis layer 9).</t>
        </is>
      </c>
      <c r="N173" t="inlineStr">
        <is>
          <t>https://gisweb.pwcva.gov/arcgis/rest/services/Planning/Build_Out_Analysis/MapServer/9/273?f=html</t>
        </is>
      </c>
      <c r="O173" t="n">
        <v>38.797718</v>
      </c>
      <c r="P173" t="n">
        <v>-77.553319</v>
      </c>
    </row>
    <row r="174">
      <c r="A174" t="n">
        <v>173</v>
      </c>
      <c r="B174" t="inlineStr">
        <is>
          <t>Prince William</t>
        </is>
      </c>
      <c r="C174" t="inlineStr">
        <is>
          <t>Merritt I-66 Business Park D</t>
        </is>
      </c>
      <c r="D174" t="inlineStr">
        <is>
          <t>Approved/Planned</t>
        </is>
      </c>
      <c r="E174" t="inlineStr">
        <is>
          <t>Planned</t>
        </is>
      </c>
      <c r="F174" t="inlineStr">
        <is>
          <t>stated</t>
        </is>
      </c>
      <c r="G174" t="inlineStr">
        <is>
          <t>Merritt I-66 Business Park</t>
        </is>
      </c>
      <c r="H174" t="inlineStr">
        <is>
          <t>REZ1981-0015</t>
        </is>
      </c>
      <c r="I174" t="inlineStr">
        <is>
          <t>7597-24-8417</t>
        </is>
      </c>
      <c r="J174" t="n">
        <v>638590</v>
      </c>
      <c r="L174" t="inlineStr"/>
      <c r="M174" t="inlineStr">
        <is>
          <t>Stated: building status 'Planned' is the county's own label (PWC Build_Out_Analysis layer 9).</t>
        </is>
      </c>
      <c r="N174" t="inlineStr">
        <is>
          <t>https://gisweb.pwcva.gov/arcgis/rest/services/Planning/Build_Out_Analysis/MapServer/9/274?f=html</t>
        </is>
      </c>
      <c r="O174" t="n">
        <v>38.79558</v>
      </c>
      <c r="P174" t="n">
        <v>-77.55291699999999</v>
      </c>
    </row>
    <row r="175">
      <c r="A175" t="n">
        <v>174</v>
      </c>
      <c r="B175" t="inlineStr">
        <is>
          <t>Prince William</t>
        </is>
      </c>
      <c r="C175" t="inlineStr">
        <is>
          <t>Microsoft Azure MNZ01</t>
        </is>
      </c>
      <c r="D175" t="inlineStr">
        <is>
          <t>Approved/Planned</t>
        </is>
      </c>
      <c r="E175" t="inlineStr">
        <is>
          <t>Planned</t>
        </is>
      </c>
      <c r="F175" t="inlineStr">
        <is>
          <t>stated</t>
        </is>
      </c>
      <c r="G175" t="inlineStr">
        <is>
          <t>Microsoft Azure Balls Ford Road</t>
        </is>
      </c>
      <c r="H175" t="inlineStr">
        <is>
          <t>REZ2019-00025</t>
        </is>
      </c>
      <c r="I175" t="inlineStr">
        <is>
          <t>7597-85-1215</t>
        </is>
      </c>
      <c r="J175" t="n">
        <v>566280</v>
      </c>
      <c r="L175" t="inlineStr"/>
      <c r="M175" t="inlineStr">
        <is>
          <t>Stated: building status 'Planned' is the county's own label (PWC Build_Out_Analysis layer 9).</t>
        </is>
      </c>
      <c r="N175" t="inlineStr">
        <is>
          <t>https://gisweb.pwcva.gov/arcgis/rest/services/Planning/Build_Out_Analysis/MapServer/9/73?f=html</t>
        </is>
      </c>
      <c r="O175" t="n">
        <v>38.798555</v>
      </c>
      <c r="P175" t="n">
        <v>-77.53271700000001</v>
      </c>
    </row>
    <row r="176">
      <c r="A176" t="n">
        <v>175</v>
      </c>
      <c r="B176" t="inlineStr">
        <is>
          <t>Prince William</t>
        </is>
      </c>
      <c r="C176" t="inlineStr">
        <is>
          <t>Microsoft Azure MNZ02</t>
        </is>
      </c>
      <c r="D176" t="inlineStr">
        <is>
          <t>Approved/Planned</t>
        </is>
      </c>
      <c r="E176" t="inlineStr">
        <is>
          <t>Planned</t>
        </is>
      </c>
      <c r="F176" t="inlineStr">
        <is>
          <t>stated</t>
        </is>
      </c>
      <c r="G176" t="inlineStr">
        <is>
          <t>Microsoft Azure Balls Ford Road</t>
        </is>
      </c>
      <c r="H176" t="inlineStr">
        <is>
          <t>REZ2019-00025</t>
        </is>
      </c>
      <c r="I176" t="inlineStr">
        <is>
          <t>7597-85-1215</t>
        </is>
      </c>
      <c r="J176" t="n">
        <v>566280</v>
      </c>
      <c r="K176" t="n">
        <v>0</v>
      </c>
      <c r="L176" t="inlineStr"/>
      <c r="M176" t="inlineStr">
        <is>
          <t>Stated: building status 'Planned' is the county's own label (PWC Build_Out_Analysis layer 9).</t>
        </is>
      </c>
      <c r="N176" t="inlineStr">
        <is>
          <t>https://gisweb.pwcva.gov/arcgis/rest/services/Planning/Build_Out_Analysis/MapServer/9/74?f=html</t>
        </is>
      </c>
      <c r="O176" t="n">
        <v>38.798972</v>
      </c>
      <c r="P176" t="n">
        <v>-77.534999</v>
      </c>
    </row>
    <row r="177">
      <c r="A177" t="n">
        <v>176</v>
      </c>
      <c r="B177" t="inlineStr">
        <is>
          <t>Prince William</t>
        </is>
      </c>
      <c r="C177" t="inlineStr">
        <is>
          <t>Microsoft Azure MNZ03</t>
        </is>
      </c>
      <c r="D177" t="inlineStr">
        <is>
          <t>Under construction</t>
        </is>
      </c>
      <c r="E177" t="inlineStr">
        <is>
          <t>Under Construction</t>
        </is>
      </c>
      <c r="F177" t="inlineStr">
        <is>
          <t>stated</t>
        </is>
      </c>
      <c r="G177" t="inlineStr">
        <is>
          <t>Microsoft Azure Gainesville Tech Park</t>
        </is>
      </c>
      <c r="H177" t="inlineStr">
        <is>
          <t>REZ2020-00011</t>
        </is>
      </c>
      <c r="I177" t="inlineStr">
        <is>
          <t>7496-88-1217</t>
        </is>
      </c>
      <c r="J177" t="n">
        <v>312931</v>
      </c>
      <c r="L177" t="inlineStr"/>
      <c r="M177" t="inlineStr">
        <is>
          <t>Stated: building status 'Under Construction' is the county's own label (PWC Build_Out_Analysis layer 9).</t>
        </is>
      </c>
      <c r="N177" t="inlineStr">
        <is>
          <t>https://gisweb.pwcva.gov/arcgis/rest/services/Planning/Build_Out_Analysis/MapServer/9/89?f=html</t>
        </is>
      </c>
      <c r="O177" t="n">
        <v>38.779815</v>
      </c>
      <c r="P177" t="n">
        <v>-77.569211</v>
      </c>
    </row>
    <row r="178">
      <c r="A178" t="n">
        <v>177</v>
      </c>
      <c r="B178" t="inlineStr">
        <is>
          <t>Prince William</t>
        </is>
      </c>
      <c r="C178" t="inlineStr">
        <is>
          <t>Microsoft Azure MNZ04</t>
        </is>
      </c>
      <c r="D178" t="inlineStr">
        <is>
          <t>Approved/Planned</t>
        </is>
      </c>
      <c r="E178" t="inlineStr">
        <is>
          <t>Planned</t>
        </is>
      </c>
      <c r="F178" t="inlineStr">
        <is>
          <t>stated</t>
        </is>
      </c>
      <c r="G178" t="inlineStr">
        <is>
          <t>Microsoft Azure Gainesville Tech Park</t>
        </is>
      </c>
      <c r="H178" t="inlineStr">
        <is>
          <t>REZ2020-00011</t>
        </is>
      </c>
      <c r="I178" t="inlineStr">
        <is>
          <t>7496-88-1217</t>
        </is>
      </c>
      <c r="J178" t="n">
        <v>310856</v>
      </c>
      <c r="K178" t="n">
        <v>0</v>
      </c>
      <c r="L178" t="inlineStr"/>
      <c r="M178" t="inlineStr">
        <is>
          <t>Stated: building status 'Planned' is the county's own label (PWC Build_Out_Analysis layer 9).</t>
        </is>
      </c>
      <c r="N178" t="inlineStr">
        <is>
          <t>https://gisweb.pwcva.gov/arcgis/rest/services/Planning/Build_Out_Analysis/MapServer/9/90?f=html</t>
        </is>
      </c>
      <c r="O178" t="n">
        <v>38.778697</v>
      </c>
      <c r="P178" t="n">
        <v>-77.56986000000001</v>
      </c>
    </row>
    <row r="179">
      <c r="A179" t="n">
        <v>178</v>
      </c>
      <c r="B179" t="inlineStr">
        <is>
          <t>Prince William</t>
        </is>
      </c>
      <c r="C179" t="inlineStr">
        <is>
          <t>Microsoft Azure MNZ05</t>
        </is>
      </c>
      <c r="D179" t="inlineStr">
        <is>
          <t>Approved/Planned</t>
        </is>
      </c>
      <c r="E179" t="inlineStr">
        <is>
          <t>Planned</t>
        </is>
      </c>
      <c r="F179" t="inlineStr">
        <is>
          <t>stated</t>
        </is>
      </c>
      <c r="G179" t="inlineStr">
        <is>
          <t>Microsoft Azure Gainesville Tech Park</t>
        </is>
      </c>
      <c r="H179" t="inlineStr">
        <is>
          <t>REZ2020-00011</t>
        </is>
      </c>
      <c r="I179" t="inlineStr">
        <is>
          <t>7496-88-1217</t>
        </is>
      </c>
      <c r="J179" t="n">
        <v>310856</v>
      </c>
      <c r="K179" t="n">
        <v>0</v>
      </c>
      <c r="L179" t="inlineStr"/>
      <c r="M179" t="inlineStr">
        <is>
          <t>Stated: building status 'Planned' is the county's own label (PWC Build_Out_Analysis layer 9).</t>
        </is>
      </c>
      <c r="N179" t="inlineStr">
        <is>
          <t>https://gisweb.pwcva.gov/arcgis/rest/services/Planning/Build_Out_Analysis/MapServer/9/91?f=html</t>
        </is>
      </c>
      <c r="O179" t="n">
        <v>38.777741</v>
      </c>
      <c r="P179" t="n">
        <v>-77.570279</v>
      </c>
    </row>
    <row r="180">
      <c r="A180" t="n">
        <v>179</v>
      </c>
      <c r="B180" t="inlineStr">
        <is>
          <t>Prince William</t>
        </is>
      </c>
      <c r="C180" t="inlineStr">
        <is>
          <t>Microsoft Azure MNZ06</t>
        </is>
      </c>
      <c r="D180" t="inlineStr">
        <is>
          <t>Approved/Planned</t>
        </is>
      </c>
      <c r="E180" t="inlineStr">
        <is>
          <t>Planned</t>
        </is>
      </c>
      <c r="F180" t="inlineStr">
        <is>
          <t>stated</t>
        </is>
      </c>
      <c r="G180" t="inlineStr">
        <is>
          <t>Microsoft Azure Gainesville Tech Park</t>
        </is>
      </c>
      <c r="H180" t="inlineStr">
        <is>
          <t>REZ2020-00011</t>
        </is>
      </c>
      <c r="I180" t="inlineStr">
        <is>
          <t>7496-88-1217</t>
        </is>
      </c>
      <c r="J180" t="n">
        <v>495709</v>
      </c>
      <c r="K180" t="n">
        <v>0</v>
      </c>
      <c r="L180" t="inlineStr"/>
      <c r="M180" t="inlineStr">
        <is>
          <t>Stated: building status 'Planned' is the county's own label (PWC Build_Out_Analysis layer 9).</t>
        </is>
      </c>
      <c r="N180" t="inlineStr">
        <is>
          <t>https://gisweb.pwcva.gov/arcgis/rest/services/Planning/Build_Out_Analysis/MapServer/9/92?f=html</t>
        </is>
      </c>
      <c r="O180" t="n">
        <v>38.776848</v>
      </c>
      <c r="P180" t="n">
        <v>-77.570819</v>
      </c>
    </row>
    <row r="181">
      <c r="A181" t="n">
        <v>180</v>
      </c>
      <c r="B181" t="inlineStr">
        <is>
          <t>Prince William</t>
        </is>
      </c>
      <c r="C181" t="inlineStr">
        <is>
          <t>NTT Grove at Gainesville VA10</t>
        </is>
      </c>
      <c r="D181" t="inlineStr">
        <is>
          <t>Under construction</t>
        </is>
      </c>
      <c r="E181" t="inlineStr">
        <is>
          <t>Under Construction</t>
        </is>
      </c>
      <c r="F181" t="inlineStr">
        <is>
          <t>stated</t>
        </is>
      </c>
      <c r="G181" t="inlineStr">
        <is>
          <t>NTT Grove at Gainesville</t>
        </is>
      </c>
      <c r="H181" t="inlineStr">
        <is>
          <t>REZ2021-00001</t>
        </is>
      </c>
      <c r="I181" t="inlineStr">
        <is>
          <t>7397-56-8403</t>
        </is>
      </c>
      <c r="J181" t="n">
        <v>560942</v>
      </c>
      <c r="L181" t="inlineStr"/>
      <c r="M181" t="inlineStr">
        <is>
          <t>Stated: building status 'Under Construction' is the county's own label (PWC Build_Out_Analysis layer 9).</t>
        </is>
      </c>
      <c r="N181" t="inlineStr">
        <is>
          <t>https://gisweb.pwcva.gov/arcgis/rest/services/Planning/Build_Out_Analysis/MapServer/9/101?f=html</t>
        </is>
      </c>
      <c r="O181" t="n">
        <v>38.799818</v>
      </c>
      <c r="P181" t="n">
        <v>-77.610006</v>
      </c>
    </row>
    <row r="182">
      <c r="A182" t="n">
        <v>181</v>
      </c>
      <c r="B182" t="inlineStr">
        <is>
          <t>Prince William</t>
        </is>
      </c>
      <c r="C182" t="inlineStr">
        <is>
          <t>NTT Grove at Gainesville VA11</t>
        </is>
      </c>
      <c r="D182" t="inlineStr">
        <is>
          <t>Under construction</t>
        </is>
      </c>
      <c r="E182" t="inlineStr">
        <is>
          <t>Under Construction</t>
        </is>
      </c>
      <c r="F182" t="inlineStr">
        <is>
          <t>stated</t>
        </is>
      </c>
      <c r="G182" t="inlineStr">
        <is>
          <t>NTT Grove at Gainesville</t>
        </is>
      </c>
      <c r="H182" t="inlineStr">
        <is>
          <t>REZ2021-00001</t>
        </is>
      </c>
      <c r="I182" t="inlineStr">
        <is>
          <t>7397-56-8403</t>
        </is>
      </c>
      <c r="J182" t="n">
        <v>580498</v>
      </c>
      <c r="L182" t="inlineStr"/>
      <c r="M182" t="inlineStr">
        <is>
          <t>Stated: building status 'Under Construction' is the county's own label (PWC Build_Out_Analysis layer 9).</t>
        </is>
      </c>
      <c r="N182" t="inlineStr">
        <is>
          <t>https://gisweb.pwcva.gov/arcgis/rest/services/Planning/Build_Out_Analysis/MapServer/9/104?f=html</t>
        </is>
      </c>
      <c r="O182" t="n">
        <v>38.800449</v>
      </c>
      <c r="P182" t="n">
        <v>-77.611335</v>
      </c>
    </row>
    <row r="183">
      <c r="A183" t="n">
        <v>182</v>
      </c>
      <c r="B183" t="inlineStr">
        <is>
          <t>Prince William</t>
        </is>
      </c>
      <c r="C183" t="inlineStr">
        <is>
          <t>NTT Grove at Gainesville VA12</t>
        </is>
      </c>
      <c r="D183" t="inlineStr">
        <is>
          <t>Under construction</t>
        </is>
      </c>
      <c r="E183" t="inlineStr">
        <is>
          <t>Under Construction</t>
        </is>
      </c>
      <c r="F183" t="inlineStr">
        <is>
          <t>stated</t>
        </is>
      </c>
      <c r="G183" t="inlineStr">
        <is>
          <t>NTT Grove at Gainesville</t>
        </is>
      </c>
      <c r="H183" t="inlineStr">
        <is>
          <t>REZ2021-00001</t>
        </is>
      </c>
      <c r="I183" t="inlineStr">
        <is>
          <t>7397-56-8403</t>
        </is>
      </c>
      <c r="J183" t="n">
        <v>580724</v>
      </c>
      <c r="L183" t="inlineStr"/>
      <c r="M183" t="inlineStr">
        <is>
          <t>Stated: building status 'Under Construction' is the county's own label (PWC Build_Out_Analysis layer 9).</t>
        </is>
      </c>
      <c r="N183" t="inlineStr">
        <is>
          <t>https://gisweb.pwcva.gov/arcgis/rest/services/Planning/Build_Out_Analysis/MapServer/9/102?f=html</t>
        </is>
      </c>
      <c r="O183" t="n">
        <v>38.801024</v>
      </c>
      <c r="P183" t="n">
        <v>-77.612728</v>
      </c>
    </row>
    <row r="184">
      <c r="A184" t="n">
        <v>183</v>
      </c>
      <c r="B184" t="inlineStr">
        <is>
          <t>Prince William</t>
        </is>
      </c>
      <c r="C184" t="inlineStr">
        <is>
          <t>NTT Grove at Gainesville VA13</t>
        </is>
      </c>
      <c r="D184" t="inlineStr">
        <is>
          <t>Approved/Planned</t>
        </is>
      </c>
      <c r="E184" t="inlineStr">
        <is>
          <t>Planned</t>
        </is>
      </c>
      <c r="F184" t="inlineStr">
        <is>
          <t>stated</t>
        </is>
      </c>
      <c r="G184" t="inlineStr">
        <is>
          <t>NTT Grove at Gainesville</t>
        </is>
      </c>
      <c r="H184" t="inlineStr">
        <is>
          <t>REZ2021-00001</t>
        </is>
      </c>
      <c r="I184" t="inlineStr">
        <is>
          <t>7397-56-8403</t>
        </is>
      </c>
      <c r="J184" t="n">
        <v>557012</v>
      </c>
      <c r="L184" t="inlineStr"/>
      <c r="M184" t="inlineStr">
        <is>
          <t>Stated: building status 'Planned' is the county's own label (PWC Build_Out_Analysis layer 9).</t>
        </is>
      </c>
      <c r="N184" t="inlineStr">
        <is>
          <t>https://gisweb.pwcva.gov/arcgis/rest/services/Planning/Build_Out_Analysis/MapServer/9/103?f=html</t>
        </is>
      </c>
      <c r="O184" t="n">
        <v>38.802576</v>
      </c>
      <c r="P184" t="n">
        <v>-77.614816</v>
      </c>
    </row>
    <row r="185">
      <c r="A185" t="n">
        <v>184</v>
      </c>
      <c r="B185" t="inlineStr">
        <is>
          <t>Prince William</t>
        </is>
      </c>
      <c r="C185" t="inlineStr">
        <is>
          <t>Amazon AWS IAD-14</t>
        </is>
      </c>
      <c r="D185" t="inlineStr">
        <is>
          <t>Approved/Planned</t>
        </is>
      </c>
      <c r="E185" t="inlineStr">
        <is>
          <t>Planned</t>
        </is>
      </c>
      <c r="F185" t="inlineStr">
        <is>
          <t>stated</t>
        </is>
      </c>
      <c r="G185" t="inlineStr">
        <is>
          <t>Patriot Business Center</t>
        </is>
      </c>
      <c r="H185" t="inlineStr">
        <is>
          <t>REZ1969-0021</t>
        </is>
      </c>
      <c r="I185" t="inlineStr">
        <is>
          <t>7597-42-2107</t>
        </is>
      </c>
      <c r="J185" t="n">
        <v>199003</v>
      </c>
      <c r="L185" t="inlineStr"/>
      <c r="M185" t="inlineStr">
        <is>
          <t>Stated: building status 'Planned' is the county's own label (PWC Build_Out_Analysis layer 9).</t>
        </is>
      </c>
      <c r="N185" t="inlineStr">
        <is>
          <t>https://gisweb.pwcva.gov/arcgis/rest/services/Planning/Build_Out_Analysis/MapServer/9/68?f=html</t>
        </is>
      </c>
      <c r="O185" t="n">
        <v>38.789769</v>
      </c>
      <c r="P185" t="n">
        <v>-77.548222</v>
      </c>
    </row>
    <row r="186">
      <c r="A186" t="n">
        <v>185</v>
      </c>
      <c r="B186" t="inlineStr">
        <is>
          <t>Prince William</t>
        </is>
      </c>
      <c r="C186" t="inlineStr">
        <is>
          <t>Amazon AWS IAD-52</t>
        </is>
      </c>
      <c r="D186" t="inlineStr">
        <is>
          <t>Approved/Planned</t>
        </is>
      </c>
      <c r="E186" t="inlineStr">
        <is>
          <t>Planned</t>
        </is>
      </c>
      <c r="F186" t="inlineStr">
        <is>
          <t>stated</t>
        </is>
      </c>
      <c r="G186" t="inlineStr">
        <is>
          <t>Patriot Business Center</t>
        </is>
      </c>
      <c r="H186" t="inlineStr">
        <is>
          <t>REZ1969-0021</t>
        </is>
      </c>
      <c r="I186" t="inlineStr">
        <is>
          <t>7597-42-1456</t>
        </is>
      </c>
      <c r="J186" t="n">
        <v>226123</v>
      </c>
      <c r="L186" t="inlineStr"/>
      <c r="M186" t="inlineStr">
        <is>
          <t>Stated: building status 'Planned' is the county's own label (PWC Build_Out_Analysis layer 9).</t>
        </is>
      </c>
      <c r="N186" t="inlineStr">
        <is>
          <t>https://gisweb.pwcva.gov/arcgis/rest/services/Planning/Build_Out_Analysis/MapServer/9/71?f=html</t>
        </is>
      </c>
      <c r="O186" t="n">
        <v>38.79122</v>
      </c>
      <c r="P186" t="n">
        <v>-77.548455</v>
      </c>
    </row>
    <row r="187">
      <c r="A187" t="n">
        <v>186</v>
      </c>
      <c r="B187" t="inlineStr">
        <is>
          <t>Prince William</t>
        </is>
      </c>
      <c r="C187" t="inlineStr">
        <is>
          <t>Amazon AWS IAD-59</t>
        </is>
      </c>
      <c r="D187" t="inlineStr">
        <is>
          <t>Approved/Planned</t>
        </is>
      </c>
      <c r="E187" t="inlineStr">
        <is>
          <t>Planned</t>
        </is>
      </c>
      <c r="F187" t="inlineStr">
        <is>
          <t>stated</t>
        </is>
      </c>
      <c r="G187" t="inlineStr">
        <is>
          <t>Patriot Business Center</t>
        </is>
      </c>
      <c r="H187" t="inlineStr">
        <is>
          <t>REZ1969-0021</t>
        </is>
      </c>
      <c r="I187" t="inlineStr">
        <is>
          <t>7597-42-1395</t>
        </is>
      </c>
      <c r="J187" t="n">
        <v>226132</v>
      </c>
      <c r="L187" t="inlineStr"/>
      <c r="M187" t="inlineStr">
        <is>
          <t>Stated: building status 'Planned' is the county's own label (PWC Build_Out_Analysis layer 9).</t>
        </is>
      </c>
      <c r="N187" t="inlineStr">
        <is>
          <t>https://gisweb.pwcva.gov/arcgis/rest/services/Planning/Build_Out_Analysis/MapServer/9/72?f=html</t>
        </is>
      </c>
      <c r="O187" t="n">
        <v>38.792314</v>
      </c>
      <c r="P187" t="n">
        <v>-77.548523</v>
      </c>
    </row>
    <row r="188">
      <c r="A188" t="n">
        <v>187</v>
      </c>
      <c r="B188" t="inlineStr">
        <is>
          <t>Prince William</t>
        </is>
      </c>
      <c r="C188" t="inlineStr">
        <is>
          <t>Patriot Business Center</t>
        </is>
      </c>
      <c r="D188" t="inlineStr">
        <is>
          <t>Approved/Planned</t>
        </is>
      </c>
      <c r="E188" t="inlineStr">
        <is>
          <t>Planned</t>
        </is>
      </c>
      <c r="F188" t="inlineStr">
        <is>
          <t>stated</t>
        </is>
      </c>
      <c r="G188" t="inlineStr">
        <is>
          <t>Patriot Business Center</t>
        </is>
      </c>
      <c r="H188" t="inlineStr">
        <is>
          <t>REZ1969-0021</t>
        </is>
      </c>
      <c r="I188" t="inlineStr"/>
      <c r="J188" t="n">
        <v>252265</v>
      </c>
      <c r="L188" t="inlineStr"/>
      <c r="M188" t="inlineStr">
        <is>
          <t>Stated: building status 'Planned' is the county's own label (PWC Build_Out_Analysis layer 9).</t>
        </is>
      </c>
      <c r="N188" t="inlineStr">
        <is>
          <t>https://gisweb.pwcva.gov/arcgis/rest/services/Planning/Build_Out_Analysis/MapServer/9/226?f=html</t>
        </is>
      </c>
      <c r="O188" t="n">
        <v>38.789995</v>
      </c>
      <c r="P188" t="n">
        <v>-77.550538</v>
      </c>
    </row>
    <row r="189">
      <c r="A189" t="n">
        <v>188</v>
      </c>
      <c r="B189" t="inlineStr">
        <is>
          <t>Prince William</t>
        </is>
      </c>
      <c r="C189" t="inlineStr">
        <is>
          <t>Premier Business Park Bldg A</t>
        </is>
      </c>
      <c r="D189" t="inlineStr">
        <is>
          <t>Approved/Planned</t>
        </is>
      </c>
      <c r="E189" t="inlineStr">
        <is>
          <t>Planned</t>
        </is>
      </c>
      <c r="F189" t="inlineStr">
        <is>
          <t>stated</t>
        </is>
      </c>
      <c r="G189" t="inlineStr">
        <is>
          <t>Premier Business Park</t>
        </is>
      </c>
      <c r="H189" t="inlineStr">
        <is>
          <t>REZ1969-0021</t>
        </is>
      </c>
      <c r="I189" t="inlineStr">
        <is>
          <t>7597-34-9837</t>
        </is>
      </c>
      <c r="J189" t="n">
        <v>500000</v>
      </c>
      <c r="L189" t="inlineStr"/>
      <c r="M189" t="inlineStr">
        <is>
          <t>Stated: building status 'Planned' is the county's own label (PWC Build_Out_Analysis layer 9).</t>
        </is>
      </c>
      <c r="N189" t="inlineStr">
        <is>
          <t>https://gisweb.pwcva.gov/arcgis/rest/services/Planning/Build_Out_Analysis/MapServer/9/677?f=html</t>
        </is>
      </c>
      <c r="O189" t="n">
        <v>38.795776</v>
      </c>
      <c r="P189" t="n">
        <v>-77.548875</v>
      </c>
    </row>
    <row r="190">
      <c r="A190" t="n">
        <v>189</v>
      </c>
      <c r="B190" t="inlineStr">
        <is>
          <t>Prince William</t>
        </is>
      </c>
      <c r="C190" t="inlineStr">
        <is>
          <t>Amazon AWS IAD A</t>
        </is>
      </c>
      <c r="D190" t="inlineStr">
        <is>
          <t>Under construction</t>
        </is>
      </c>
      <c r="E190" t="inlineStr">
        <is>
          <t>Under Construction</t>
        </is>
      </c>
      <c r="F190" t="inlineStr">
        <is>
          <t>stated</t>
        </is>
      </c>
      <c r="G190" t="inlineStr">
        <is>
          <t>Project Gainesville</t>
        </is>
      </c>
      <c r="H190" t="inlineStr">
        <is>
          <t>REZ1958-0021</t>
        </is>
      </c>
      <c r="I190" t="inlineStr">
        <is>
          <t>7497-41-7199</t>
        </is>
      </c>
      <c r="J190" t="n">
        <v>258716</v>
      </c>
      <c r="L190" t="inlineStr"/>
      <c r="M190" t="inlineStr">
        <is>
          <t>Stated: building status 'Under Construction' is the county's own label (PWC Build_Out_Analysis layer 9).</t>
        </is>
      </c>
      <c r="N190" t="inlineStr">
        <is>
          <t>https://gisweb.pwcva.gov/arcgis/rest/services/Planning/Build_Out_Analysis/MapServer/9/77?f=html</t>
        </is>
      </c>
      <c r="O190" t="n">
        <v>38.789307</v>
      </c>
      <c r="P190" t="n">
        <v>-77.58190999999999</v>
      </c>
    </row>
    <row r="191">
      <c r="A191" t="n">
        <v>190</v>
      </c>
      <c r="B191" t="inlineStr">
        <is>
          <t>Prince William</t>
        </is>
      </c>
      <c r="C191" t="inlineStr">
        <is>
          <t>Amazon AWS IAD B</t>
        </is>
      </c>
      <c r="D191" t="inlineStr">
        <is>
          <t>Under construction</t>
        </is>
      </c>
      <c r="E191" t="inlineStr">
        <is>
          <t>Under Construction</t>
        </is>
      </c>
      <c r="F191" t="inlineStr">
        <is>
          <t>stated</t>
        </is>
      </c>
      <c r="G191" t="inlineStr">
        <is>
          <t>Project Gainesville</t>
        </is>
      </c>
      <c r="H191" t="inlineStr">
        <is>
          <t>REZ1958-0021</t>
        </is>
      </c>
      <c r="I191" t="inlineStr">
        <is>
          <t>7497-41-7199</t>
        </is>
      </c>
      <c r="J191" t="n">
        <v>248483</v>
      </c>
      <c r="L191" t="inlineStr"/>
      <c r="M191" t="inlineStr">
        <is>
          <t>Stated: building status 'Under Construction' is the county's own label (PWC Build_Out_Analysis layer 9).</t>
        </is>
      </c>
      <c r="N191" t="inlineStr">
        <is>
          <t>https://gisweb.pwcva.gov/arcgis/rest/services/Planning/Build_Out_Analysis/MapServer/9/111?f=html</t>
        </is>
      </c>
      <c r="O191" t="n">
        <v>38.789471</v>
      </c>
      <c r="P191" t="n">
        <v>-77.579838</v>
      </c>
    </row>
    <row r="192">
      <c r="A192" t="n">
        <v>191</v>
      </c>
      <c r="B192" t="inlineStr">
        <is>
          <t>Prince William</t>
        </is>
      </c>
      <c r="C192" t="inlineStr">
        <is>
          <t>Amazon AWS IAD C</t>
        </is>
      </c>
      <c r="D192" t="inlineStr">
        <is>
          <t>Under construction</t>
        </is>
      </c>
      <c r="E192" t="inlineStr">
        <is>
          <t>Under Construction</t>
        </is>
      </c>
      <c r="F192" t="inlineStr">
        <is>
          <t>stated</t>
        </is>
      </c>
      <c r="G192" t="inlineStr">
        <is>
          <t>Project Gainesville</t>
        </is>
      </c>
      <c r="H192" t="inlineStr">
        <is>
          <t>REZ1958-0021</t>
        </is>
      </c>
      <c r="I192" t="inlineStr">
        <is>
          <t>7497-41-7199</t>
        </is>
      </c>
      <c r="J192" t="n">
        <v>218391</v>
      </c>
      <c r="L192" t="inlineStr"/>
      <c r="M192" t="inlineStr">
        <is>
          <t>Stated: building status 'Under Construction' is the county's own label (PWC Build_Out_Analysis layer 9).</t>
        </is>
      </c>
      <c r="N192" t="inlineStr">
        <is>
          <t>https://gisweb.pwcva.gov/arcgis/rest/services/Planning/Build_Out_Analysis/MapServer/9/112?f=html</t>
        </is>
      </c>
      <c r="O192" t="n">
        <v>38.790388</v>
      </c>
      <c r="P192" t="n">
        <v>-77.581638</v>
      </c>
    </row>
    <row r="193">
      <c r="A193" t="n">
        <v>192</v>
      </c>
      <c r="B193" t="inlineStr">
        <is>
          <t>Prince William</t>
        </is>
      </c>
      <c r="C193" t="inlineStr">
        <is>
          <t>Amazon AWS IAD D</t>
        </is>
      </c>
      <c r="D193" t="inlineStr">
        <is>
          <t>Under construction</t>
        </is>
      </c>
      <c r="E193" t="inlineStr">
        <is>
          <t>Under Construction</t>
        </is>
      </c>
      <c r="F193" t="inlineStr">
        <is>
          <t>stated</t>
        </is>
      </c>
      <c r="G193" t="inlineStr">
        <is>
          <t>Project Gainesville</t>
        </is>
      </c>
      <c r="H193" t="inlineStr">
        <is>
          <t>REZ1958-0021</t>
        </is>
      </c>
      <c r="I193" t="inlineStr">
        <is>
          <t>7497-41-7199</t>
        </is>
      </c>
      <c r="J193" t="n">
        <v>218391</v>
      </c>
      <c r="L193" t="inlineStr"/>
      <c r="M193" t="inlineStr">
        <is>
          <t>Stated: building status 'Under Construction' is the county's own label (PWC Build_Out_Analysis layer 9).</t>
        </is>
      </c>
      <c r="N193" t="inlineStr">
        <is>
          <t>https://gisweb.pwcva.gov/arcgis/rest/services/Planning/Build_Out_Analysis/MapServer/9/113?f=html</t>
        </is>
      </c>
      <c r="O193" t="n">
        <v>38.791304</v>
      </c>
      <c r="P193" t="n">
        <v>-77.581368</v>
      </c>
    </row>
    <row r="194">
      <c r="A194" t="n">
        <v>193</v>
      </c>
      <c r="B194" t="inlineStr">
        <is>
          <t>Prince William</t>
        </is>
      </c>
      <c r="C194" t="inlineStr">
        <is>
          <t>Project Gulfstream Bldg A</t>
        </is>
      </c>
      <c r="D194" t="inlineStr">
        <is>
          <t>Approved/Planned</t>
        </is>
      </c>
      <c r="E194" t="inlineStr">
        <is>
          <t>Planned</t>
        </is>
      </c>
      <c r="F194" t="inlineStr">
        <is>
          <t>stated</t>
        </is>
      </c>
      <c r="G194" t="inlineStr">
        <is>
          <t>Project Gulfstream</t>
        </is>
      </c>
      <c r="H194" t="inlineStr">
        <is>
          <t>REZ1987-0021</t>
        </is>
      </c>
      <c r="I194" t="inlineStr">
        <is>
          <t>7694-69-8742</t>
        </is>
      </c>
      <c r="J194" t="n">
        <v>373800</v>
      </c>
      <c r="L194" t="inlineStr"/>
      <c r="M194" t="inlineStr">
        <is>
          <t>Stated: building status 'Planned' is the county's own label (PWC Build_Out_Analysis layer 9).</t>
        </is>
      </c>
      <c r="N194" t="inlineStr">
        <is>
          <t>https://gisweb.pwcva.gov/arcgis/rest/services/Planning/Build_Out_Analysis/MapServer/9/210?f=html</t>
        </is>
      </c>
      <c r="O194" t="n">
        <v>38.727588</v>
      </c>
      <c r="P194" t="n">
        <v>-77.504724</v>
      </c>
    </row>
    <row r="195">
      <c r="A195" t="n">
        <v>194</v>
      </c>
      <c r="B195" t="inlineStr">
        <is>
          <t>Prince William</t>
        </is>
      </c>
      <c r="C195" t="inlineStr">
        <is>
          <t>Project Gulfstream Bldg B</t>
        </is>
      </c>
      <c r="D195" t="inlineStr">
        <is>
          <t>Approved/Planned</t>
        </is>
      </c>
      <c r="E195" t="inlineStr">
        <is>
          <t>Planned</t>
        </is>
      </c>
      <c r="F195" t="inlineStr">
        <is>
          <t>stated</t>
        </is>
      </c>
      <c r="G195" t="inlineStr">
        <is>
          <t>Project Gulfstream</t>
        </is>
      </c>
      <c r="H195" t="inlineStr">
        <is>
          <t>REZ1987-0021</t>
        </is>
      </c>
      <c r="I195" t="inlineStr">
        <is>
          <t>7694-78-6585</t>
        </is>
      </c>
      <c r="J195" t="n">
        <v>292750</v>
      </c>
      <c r="L195" t="inlineStr"/>
      <c r="M195" t="inlineStr">
        <is>
          <t>Stated: building status 'Planned' is the county's own label (PWC Build_Out_Analysis layer 9).</t>
        </is>
      </c>
      <c r="N195" t="inlineStr">
        <is>
          <t>https://gisweb.pwcva.gov/arcgis/rest/services/Planning/Build_Out_Analysis/MapServer/9/208?f=html</t>
        </is>
      </c>
      <c r="O195" t="n">
        <v>38.72521</v>
      </c>
      <c r="P195" t="n">
        <v>-77.50183</v>
      </c>
    </row>
    <row r="196">
      <c r="A196" t="n">
        <v>195</v>
      </c>
      <c r="B196" t="inlineStr">
        <is>
          <t>Prince William</t>
        </is>
      </c>
      <c r="C196" t="inlineStr">
        <is>
          <t>Project Gulfstream Bldg C</t>
        </is>
      </c>
      <c r="D196" t="inlineStr">
        <is>
          <t>Approved/Planned</t>
        </is>
      </c>
      <c r="E196" t="inlineStr">
        <is>
          <t>Planned</t>
        </is>
      </c>
      <c r="F196" t="inlineStr">
        <is>
          <t>stated</t>
        </is>
      </c>
      <c r="G196" t="inlineStr">
        <is>
          <t>Project Gulfstream</t>
        </is>
      </c>
      <c r="H196" t="inlineStr">
        <is>
          <t>REZ1987-0021</t>
        </is>
      </c>
      <c r="I196" t="inlineStr">
        <is>
          <t>7694-68-7035</t>
        </is>
      </c>
      <c r="J196" t="n">
        <v>283790</v>
      </c>
      <c r="L196" t="inlineStr"/>
      <c r="M196" t="inlineStr">
        <is>
          <t>Stated: building status 'Planned' is the county's own label (PWC Build_Out_Analysis layer 9).</t>
        </is>
      </c>
      <c r="N196" t="inlineStr">
        <is>
          <t>https://gisweb.pwcva.gov/arcgis/rest/services/Planning/Build_Out_Analysis/MapServer/9/209?f=html</t>
        </is>
      </c>
      <c r="O196" t="n">
        <v>38.724594</v>
      </c>
      <c r="P196" t="n">
        <v>-77.504124</v>
      </c>
    </row>
    <row r="197">
      <c r="A197" t="n">
        <v>196</v>
      </c>
      <c r="B197" t="inlineStr">
        <is>
          <t>Prince William</t>
        </is>
      </c>
      <c r="C197" t="inlineStr">
        <is>
          <t>Project Gulfstream Bldg D</t>
        </is>
      </c>
      <c r="D197" t="inlineStr">
        <is>
          <t>Approved/Planned</t>
        </is>
      </c>
      <c r="E197" t="inlineStr">
        <is>
          <t>Planned</t>
        </is>
      </c>
      <c r="F197" t="inlineStr">
        <is>
          <t>stated</t>
        </is>
      </c>
      <c r="G197" t="inlineStr">
        <is>
          <t>Project Gulfstream</t>
        </is>
      </c>
      <c r="H197" t="inlineStr">
        <is>
          <t>REZ1987-0021</t>
        </is>
      </c>
      <c r="I197" t="inlineStr">
        <is>
          <t>7694-68-7035</t>
        </is>
      </c>
      <c r="J197" t="n">
        <v>287680</v>
      </c>
      <c r="L197" t="inlineStr"/>
      <c r="M197" t="inlineStr">
        <is>
          <t>Stated: building status 'Planned' is the county's own label (PWC Build_Out_Analysis layer 9).</t>
        </is>
      </c>
      <c r="N197" t="inlineStr">
        <is>
          <t>https://gisweb.pwcva.gov/arcgis/rest/services/Planning/Build_Out_Analysis/MapServer/9/679?f=html</t>
        </is>
      </c>
      <c r="O197" t="n">
        <v>38.724123</v>
      </c>
      <c r="P197" t="n">
        <v>-77.506283</v>
      </c>
    </row>
    <row r="198">
      <c r="A198" t="n">
        <v>197</v>
      </c>
      <c r="B198" t="inlineStr">
        <is>
          <t>Prince William</t>
        </is>
      </c>
      <c r="C198" t="inlineStr">
        <is>
          <t>Project Industry A</t>
        </is>
      </c>
      <c r="D198" t="inlineStr">
        <is>
          <t>Pending</t>
        </is>
      </c>
      <c r="E198" t="inlineStr">
        <is>
          <t>Pending</t>
        </is>
      </c>
      <c r="F198" t="inlineStr">
        <is>
          <t>stated</t>
        </is>
      </c>
      <c r="G198" t="inlineStr">
        <is>
          <t>Project Industry</t>
        </is>
      </c>
      <c r="H198" t="inlineStr">
        <is>
          <t>REZ2025-00003</t>
        </is>
      </c>
      <c r="I198" t="inlineStr">
        <is>
          <t>7496-58-4088</t>
        </is>
      </c>
      <c r="J198" t="n">
        <v>171758</v>
      </c>
      <c r="L198" t="inlineStr"/>
      <c r="M198" t="inlineStr">
        <is>
          <t>Stated: building status 'Pending' is the county's own label (PWC Build_Out_Analysis layer 9).</t>
        </is>
      </c>
      <c r="N198" t="inlineStr">
        <is>
          <t>https://gisweb.pwcva.gov/arcgis/rest/services/Planning/Build_Out_Analysis/MapServer/9/206?f=html</t>
        </is>
      </c>
      <c r="O198" t="n">
        <v>38.781103</v>
      </c>
      <c r="P198" t="n">
        <v>-77.579791</v>
      </c>
    </row>
    <row r="199">
      <c r="A199" t="n">
        <v>198</v>
      </c>
      <c r="B199" t="inlineStr">
        <is>
          <t>Prince William</t>
        </is>
      </c>
      <c r="C199" t="inlineStr">
        <is>
          <t>Project Industry B</t>
        </is>
      </c>
      <c r="D199" t="inlineStr">
        <is>
          <t>Pending</t>
        </is>
      </c>
      <c r="E199" t="inlineStr">
        <is>
          <t>Pending</t>
        </is>
      </c>
      <c r="F199" t="inlineStr">
        <is>
          <t>stated</t>
        </is>
      </c>
      <c r="G199" t="inlineStr">
        <is>
          <t>Project Industry</t>
        </is>
      </c>
      <c r="H199" t="inlineStr">
        <is>
          <t>REZ2025-00003</t>
        </is>
      </c>
      <c r="I199" t="inlineStr">
        <is>
          <t>7496-58-0951</t>
        </is>
      </c>
      <c r="J199" t="n">
        <v>171758</v>
      </c>
      <c r="L199" t="inlineStr"/>
      <c r="M199" t="inlineStr">
        <is>
          <t>Stated: building status 'Pending' is the county's own label (PWC Build_Out_Analysis layer 9).</t>
        </is>
      </c>
      <c r="N199" t="inlineStr">
        <is>
          <t>https://gisweb.pwcva.gov/arcgis/rest/services/Planning/Build_Out_Analysis/MapServer/9/207?f=html</t>
        </is>
      </c>
      <c r="O199" t="n">
        <v>38.780052</v>
      </c>
      <c r="P199" t="n">
        <v>-77.580623</v>
      </c>
    </row>
    <row r="200">
      <c r="A200" t="n">
        <v>199</v>
      </c>
      <c r="B200" t="inlineStr">
        <is>
          <t>Prince William</t>
        </is>
      </c>
      <c r="C200" t="inlineStr">
        <is>
          <t>Project Well A</t>
        </is>
      </c>
      <c r="D200" t="inlineStr">
        <is>
          <t>Approved/Planned</t>
        </is>
      </c>
      <c r="E200" t="inlineStr">
        <is>
          <t>Planned</t>
        </is>
      </c>
      <c r="F200" t="inlineStr">
        <is>
          <t>stated</t>
        </is>
      </c>
      <c r="G200" t="inlineStr">
        <is>
          <t>Project Well</t>
        </is>
      </c>
      <c r="H200" t="inlineStr">
        <is>
          <t>REZ1979-0021</t>
        </is>
      </c>
      <c r="I200" t="inlineStr">
        <is>
          <t>7596-08-1375</t>
        </is>
      </c>
      <c r="J200" t="n">
        <v>245485</v>
      </c>
      <c r="L200" t="inlineStr"/>
      <c r="M200" t="inlineStr">
        <is>
          <t>Stated: building status 'Planned' is the county's own label (PWC Build_Out_Analysis layer 9).</t>
        </is>
      </c>
      <c r="N200" t="inlineStr">
        <is>
          <t>https://gisweb.pwcva.gov/arcgis/rest/services/Planning/Build_Out_Analysis/MapServer/9/160?f=html</t>
        </is>
      </c>
      <c r="O200" t="n">
        <v>38.780634</v>
      </c>
      <c r="P200" t="n">
        <v>-77.562939</v>
      </c>
    </row>
    <row r="201">
      <c r="A201" t="n">
        <v>200</v>
      </c>
      <c r="B201" t="inlineStr">
        <is>
          <t>Prince William</t>
        </is>
      </c>
      <c r="C201" t="inlineStr">
        <is>
          <t>Project Well B</t>
        </is>
      </c>
      <c r="D201" t="inlineStr">
        <is>
          <t>Approved/Planned</t>
        </is>
      </c>
      <c r="E201" t="inlineStr">
        <is>
          <t>Planned</t>
        </is>
      </c>
      <c r="F201" t="inlineStr">
        <is>
          <t>stated</t>
        </is>
      </c>
      <c r="G201" t="inlineStr">
        <is>
          <t>Project Well</t>
        </is>
      </c>
      <c r="H201" t="inlineStr">
        <is>
          <t>REZ1979-0021</t>
        </is>
      </c>
      <c r="I201" t="inlineStr">
        <is>
          <t>7496-97-8786</t>
        </is>
      </c>
      <c r="J201" t="n">
        <v>245485</v>
      </c>
      <c r="L201" t="inlineStr"/>
      <c r="M201" t="inlineStr">
        <is>
          <t>Stated: building status 'Planned' is the county's own label (PWC Build_Out_Analysis layer 9).</t>
        </is>
      </c>
      <c r="N201" t="inlineStr">
        <is>
          <t>https://gisweb.pwcva.gov/arcgis/rest/services/Planning/Build_Out_Analysis/MapServer/9/161?f=html</t>
        </is>
      </c>
      <c r="O201" t="n">
        <v>38.779701</v>
      </c>
      <c r="P201" t="n">
        <v>-77.56141100000001</v>
      </c>
    </row>
    <row r="202">
      <c r="A202" t="n">
        <v>201</v>
      </c>
      <c r="B202" t="inlineStr">
        <is>
          <t>Prince William</t>
        </is>
      </c>
      <c r="C202" t="inlineStr">
        <is>
          <t>QTS Manassas DC1</t>
        </is>
      </c>
      <c r="D202" t="inlineStr">
        <is>
          <t>Existing/Completed</t>
        </is>
      </c>
      <c r="E202" t="inlineStr">
        <is>
          <t>Completed</t>
        </is>
      </c>
      <c r="F202" t="inlineStr">
        <is>
          <t>stated</t>
        </is>
      </c>
      <c r="G202" t="inlineStr">
        <is>
          <t>QTS Manassas 1</t>
        </is>
      </c>
      <c r="H202" t="inlineStr">
        <is>
          <t>REZ1980-0030</t>
        </is>
      </c>
      <c r="I202" t="inlineStr">
        <is>
          <t>7695-48-1668</t>
        </is>
      </c>
      <c r="J202" t="n">
        <v>127000</v>
      </c>
      <c r="K202" t="n">
        <v>2019</v>
      </c>
      <c r="L202" t="inlineStr"/>
      <c r="M202" t="inlineStr">
        <is>
          <t>Stated: building status 'Completed' is the county's own label (PWC Build_Out_Analysis layer 9).</t>
        </is>
      </c>
      <c r="N202" t="inlineStr">
        <is>
          <t>https://gisweb.pwcva.gov/arcgis/rest/services/Planning/Build_Out_Analysis/MapServer/9/23?f=html</t>
        </is>
      </c>
      <c r="O202" t="n">
        <v>38.753484</v>
      </c>
      <c r="P202" t="n">
        <v>-77.513142</v>
      </c>
    </row>
    <row r="203">
      <c r="A203" t="n">
        <v>202</v>
      </c>
      <c r="B203" t="inlineStr">
        <is>
          <t>Prince William</t>
        </is>
      </c>
      <c r="C203" t="inlineStr">
        <is>
          <t>QTS Manassas DC2</t>
        </is>
      </c>
      <c r="D203" t="inlineStr">
        <is>
          <t>Existing/Completed</t>
        </is>
      </c>
      <c r="E203" t="inlineStr">
        <is>
          <t>Completed</t>
        </is>
      </c>
      <c r="F203" t="inlineStr">
        <is>
          <t>stated</t>
        </is>
      </c>
      <c r="G203" t="inlineStr">
        <is>
          <t>QTS Manassas 1</t>
        </is>
      </c>
      <c r="H203" t="inlineStr">
        <is>
          <t>REZ1980-0030</t>
        </is>
      </c>
      <c r="I203" t="inlineStr">
        <is>
          <t>7695-48-5650</t>
        </is>
      </c>
      <c r="J203" t="n">
        <v>136228</v>
      </c>
      <c r="K203" t="n">
        <v>2025</v>
      </c>
      <c r="L203" t="inlineStr"/>
      <c r="M203" t="inlineStr">
        <is>
          <t>Stated: building status 'Completed' is the county's own label (PWC Build_Out_Analysis layer 9).</t>
        </is>
      </c>
      <c r="N203" t="inlineStr">
        <is>
          <t>https://gisweb.pwcva.gov/arcgis/rest/services/Planning/Build_Out_Analysis/MapServer/9/25?f=html</t>
        </is>
      </c>
      <c r="O203" t="n">
        <v>38.753475</v>
      </c>
      <c r="P203" t="n">
        <v>-77.512469</v>
      </c>
    </row>
    <row r="204">
      <c r="A204" t="n">
        <v>203</v>
      </c>
      <c r="B204" t="inlineStr">
        <is>
          <t>Prince William</t>
        </is>
      </c>
      <c r="C204" t="inlineStr">
        <is>
          <t>QTS Manassas DC3</t>
        </is>
      </c>
      <c r="D204" t="inlineStr">
        <is>
          <t>Existing/Completed</t>
        </is>
      </c>
      <c r="E204" t="inlineStr">
        <is>
          <t>Completed</t>
        </is>
      </c>
      <c r="F204" t="inlineStr">
        <is>
          <t>stated</t>
        </is>
      </c>
      <c r="G204" t="inlineStr">
        <is>
          <t>QTS Manassas 1</t>
        </is>
      </c>
      <c r="H204" t="inlineStr">
        <is>
          <t>REZ1980-0030</t>
        </is>
      </c>
      <c r="I204" t="inlineStr">
        <is>
          <t>7695-58-1491</t>
        </is>
      </c>
      <c r="J204" t="n">
        <v>269091</v>
      </c>
      <c r="K204" t="n">
        <v>2024</v>
      </c>
      <c r="L204" t="inlineStr"/>
      <c r="M204" t="inlineStr">
        <is>
          <t>Stated: building status 'Completed' is the county's own label (PWC Build_Out_Analysis layer 9).</t>
        </is>
      </c>
      <c r="N204" t="inlineStr">
        <is>
          <t>https://gisweb.pwcva.gov/arcgis/rest/services/Planning/Build_Out_Analysis/MapServer/9/24?f=html</t>
        </is>
      </c>
      <c r="O204" t="n">
        <v>38.753754</v>
      </c>
      <c r="P204" t="n">
        <v>-77.510547</v>
      </c>
    </row>
    <row r="205">
      <c r="A205" t="n">
        <v>204</v>
      </c>
      <c r="B205" t="inlineStr">
        <is>
          <t>Prince William</t>
        </is>
      </c>
      <c r="C205" t="inlineStr">
        <is>
          <t>QTS Manassas DC4</t>
        </is>
      </c>
      <c r="D205" t="inlineStr">
        <is>
          <t>Under construction</t>
        </is>
      </c>
      <c r="E205" t="inlineStr">
        <is>
          <t>Under Construction</t>
        </is>
      </c>
      <c r="F205" t="inlineStr">
        <is>
          <t>stated</t>
        </is>
      </c>
      <c r="G205" t="inlineStr">
        <is>
          <t>QTS Manassas 1</t>
        </is>
      </c>
      <c r="H205" t="inlineStr">
        <is>
          <t>REZ1980-0030</t>
        </is>
      </c>
      <c r="I205" t="inlineStr">
        <is>
          <t>7695-38-4851</t>
        </is>
      </c>
      <c r="J205" t="n">
        <v>315862</v>
      </c>
      <c r="L205" t="inlineStr"/>
      <c r="M205" t="inlineStr">
        <is>
          <t>Stated: building status 'Under Construction' is the county's own label (PWC Build_Out_Analysis layer 9).</t>
        </is>
      </c>
      <c r="N205" t="inlineStr">
        <is>
          <t>https://gisweb.pwcva.gov/arcgis/rest/services/Planning/Build_Out_Analysis/MapServer/9/26?f=html</t>
        </is>
      </c>
      <c r="O205" t="n">
        <v>38.751972</v>
      </c>
      <c r="P205" t="n">
        <v>-77.51605499999999</v>
      </c>
    </row>
    <row r="206">
      <c r="A206" t="n">
        <v>205</v>
      </c>
      <c r="B206" t="inlineStr">
        <is>
          <t>Prince William</t>
        </is>
      </c>
      <c r="C206" t="inlineStr">
        <is>
          <t>QTS Manassas DC5</t>
        </is>
      </c>
      <c r="D206" t="inlineStr">
        <is>
          <t>Existing/Completed</t>
        </is>
      </c>
      <c r="E206" t="inlineStr">
        <is>
          <t>Completed</t>
        </is>
      </c>
      <c r="F206" t="inlineStr">
        <is>
          <t>stated</t>
        </is>
      </c>
      <c r="G206" t="inlineStr">
        <is>
          <t>QTS Manassas 1</t>
        </is>
      </c>
      <c r="H206" t="inlineStr">
        <is>
          <t>REZ1980-0030</t>
        </is>
      </c>
      <c r="I206" t="inlineStr">
        <is>
          <t>7695-39-0644</t>
        </is>
      </c>
      <c r="J206" t="n">
        <v>308486</v>
      </c>
      <c r="K206" t="n">
        <v>2023</v>
      </c>
      <c r="L206" t="inlineStr"/>
      <c r="M206" t="inlineStr">
        <is>
          <t>Stated: building status 'Completed' is the county's own label (PWC Build_Out_Analysis layer 9).</t>
        </is>
      </c>
      <c r="N206" t="inlineStr">
        <is>
          <t>https://gisweb.pwcva.gov/arcgis/rest/services/Planning/Build_Out_Analysis/MapServer/9/22?f=html</t>
        </is>
      </c>
      <c r="O206" t="n">
        <v>38.754794</v>
      </c>
      <c r="P206" t="n">
        <v>-77.516508</v>
      </c>
    </row>
    <row r="207">
      <c r="A207" t="n">
        <v>206</v>
      </c>
      <c r="B207" t="inlineStr">
        <is>
          <t>Prince William</t>
        </is>
      </c>
      <c r="C207" t="inlineStr">
        <is>
          <t>QTS Manassas DC6</t>
        </is>
      </c>
      <c r="D207" t="inlineStr">
        <is>
          <t>Under construction</t>
        </is>
      </c>
      <c r="E207" t="inlineStr">
        <is>
          <t>Under Construction</t>
        </is>
      </c>
      <c r="F207" t="inlineStr">
        <is>
          <t>stated</t>
        </is>
      </c>
      <c r="G207" t="inlineStr">
        <is>
          <t>QTS Manassas 1</t>
        </is>
      </c>
      <c r="H207" t="inlineStr">
        <is>
          <t>REZ1980-0030</t>
        </is>
      </c>
      <c r="I207" t="inlineStr">
        <is>
          <t>7695-47-3376</t>
        </is>
      </c>
      <c r="J207" t="n">
        <v>199720</v>
      </c>
      <c r="L207" t="inlineStr"/>
      <c r="M207" t="inlineStr">
        <is>
          <t>Stated: building status 'Under Construction' is the county's own label (PWC Build_Out_Analysis layer 9).</t>
        </is>
      </c>
      <c r="N207" t="inlineStr">
        <is>
          <t>https://gisweb.pwcva.gov/arcgis/rest/services/Planning/Build_Out_Analysis/MapServer/9/21?f=html</t>
        </is>
      </c>
      <c r="O207" t="n">
        <v>38.749819</v>
      </c>
      <c r="P207" t="n">
        <v>-77.513046</v>
      </c>
    </row>
    <row r="208">
      <c r="A208" t="n">
        <v>207</v>
      </c>
      <c r="B208" t="inlineStr">
        <is>
          <t>Prince William</t>
        </is>
      </c>
      <c r="C208" t="inlineStr">
        <is>
          <t>Redstone 3</t>
        </is>
      </c>
      <c r="D208" t="inlineStr">
        <is>
          <t>Approved/Planned</t>
        </is>
      </c>
      <c r="E208" t="inlineStr">
        <is>
          <t>Planned</t>
        </is>
      </c>
      <c r="F208" t="inlineStr">
        <is>
          <t>stated</t>
        </is>
      </c>
      <c r="G208" t="inlineStr">
        <is>
          <t>Redstone Tech Park Central</t>
        </is>
      </c>
      <c r="H208" t="inlineStr">
        <is>
          <t>REZ1994-0013</t>
        </is>
      </c>
      <c r="I208" t="inlineStr">
        <is>
          <t>7595-67-8821</t>
        </is>
      </c>
      <c r="J208" t="n">
        <v>14387</v>
      </c>
      <c r="L208" t="inlineStr"/>
      <c r="M208" t="inlineStr">
        <is>
          <t>Stated: building status 'Planned' is the county's own label (PWC Build_Out_Analysis layer 9).</t>
        </is>
      </c>
      <c r="N208" t="inlineStr">
        <is>
          <t>https://gisweb.pwcva.gov/arcgis/rest/services/Planning/Build_Out_Analysis/MapServer/9/231?f=html</t>
        </is>
      </c>
      <c r="O208" t="n">
        <v>38.748524</v>
      </c>
      <c r="P208" t="n">
        <v>-77.539816</v>
      </c>
    </row>
    <row r="209">
      <c r="A209" t="n">
        <v>208</v>
      </c>
      <c r="B209" t="inlineStr">
        <is>
          <t>Prince William</t>
        </is>
      </c>
      <c r="C209" t="inlineStr">
        <is>
          <t>Redstone 4</t>
        </is>
      </c>
      <c r="D209" t="inlineStr">
        <is>
          <t>Approved/Planned</t>
        </is>
      </c>
      <c r="E209" t="inlineStr">
        <is>
          <t>Planned</t>
        </is>
      </c>
      <c r="F209" t="inlineStr">
        <is>
          <t>stated</t>
        </is>
      </c>
      <c r="G209" t="inlineStr">
        <is>
          <t>Redstone Tech Park Central</t>
        </is>
      </c>
      <c r="H209" t="inlineStr">
        <is>
          <t>REZ1994-0013</t>
        </is>
      </c>
      <c r="I209" t="inlineStr">
        <is>
          <t>7595-67-8821</t>
        </is>
      </c>
      <c r="J209" t="n">
        <v>14387</v>
      </c>
      <c r="L209" t="inlineStr"/>
      <c r="M209" t="inlineStr">
        <is>
          <t>Stated: building status 'Planned' is the county's own label (PWC Build_Out_Analysis layer 9).</t>
        </is>
      </c>
      <c r="N209" t="inlineStr">
        <is>
          <t>https://gisweb.pwcva.gov/arcgis/rest/services/Planning/Build_Out_Analysis/MapServer/9/232?f=html</t>
        </is>
      </c>
      <c r="O209" t="n">
        <v>38.748592</v>
      </c>
      <c r="P209" t="n">
        <v>-77.539191</v>
      </c>
    </row>
    <row r="210">
      <c r="A210" t="n">
        <v>209</v>
      </c>
      <c r="B210" t="inlineStr">
        <is>
          <t>Prince William</t>
        </is>
      </c>
      <c r="C210" t="inlineStr">
        <is>
          <t>Redstone Tech Park North A</t>
        </is>
      </c>
      <c r="D210" t="inlineStr">
        <is>
          <t>Approved/Planned</t>
        </is>
      </c>
      <c r="E210" t="inlineStr">
        <is>
          <t>Planned</t>
        </is>
      </c>
      <c r="F210" t="inlineStr">
        <is>
          <t>stated</t>
        </is>
      </c>
      <c r="G210" t="inlineStr">
        <is>
          <t>Redstone Tech Park North</t>
        </is>
      </c>
      <c r="H210" t="inlineStr">
        <is>
          <t>PLN2008-00253</t>
        </is>
      </c>
      <c r="I210" t="inlineStr">
        <is>
          <t>7595-69-2565</t>
        </is>
      </c>
      <c r="J210" t="n">
        <v>270000</v>
      </c>
      <c r="L210" t="inlineStr"/>
      <c r="M210" t="inlineStr">
        <is>
          <t>Stated: building status 'Planned' is the county's own label (PWC Build_Out_Analysis layer 9).</t>
        </is>
      </c>
      <c r="N210" t="inlineStr">
        <is>
          <t>https://gisweb.pwcva.gov/arcgis/rest/services/Planning/Build_Out_Analysis/MapServer/9/239?f=html</t>
        </is>
      </c>
      <c r="O210" t="n">
        <v>38.75591</v>
      </c>
      <c r="P210" t="n">
        <v>-77.542117</v>
      </c>
    </row>
    <row r="211">
      <c r="A211" t="n">
        <v>210</v>
      </c>
      <c r="B211" t="inlineStr">
        <is>
          <t>Prince William</t>
        </is>
      </c>
      <c r="C211" t="inlineStr">
        <is>
          <t>Redstone Tech Park North B</t>
        </is>
      </c>
      <c r="D211" t="inlineStr">
        <is>
          <t>Approved/Planned</t>
        </is>
      </c>
      <c r="E211" t="inlineStr">
        <is>
          <t>Planned</t>
        </is>
      </c>
      <c r="F211" t="inlineStr">
        <is>
          <t>stated</t>
        </is>
      </c>
      <c r="G211" t="inlineStr">
        <is>
          <t>Redstone Tech Park North</t>
        </is>
      </c>
      <c r="H211" t="inlineStr">
        <is>
          <t>PLN2008-00253</t>
        </is>
      </c>
      <c r="I211" t="inlineStr">
        <is>
          <t>7595-69-2101</t>
        </is>
      </c>
      <c r="J211" t="n">
        <v>405000</v>
      </c>
      <c r="L211" t="inlineStr"/>
      <c r="M211" t="inlineStr">
        <is>
          <t>Stated: building status 'Planned' is the county's own label (PWC Build_Out_Analysis layer 9).</t>
        </is>
      </c>
      <c r="N211" t="inlineStr">
        <is>
          <t>https://gisweb.pwcva.gov/arcgis/rest/services/Planning/Build_Out_Analysis/MapServer/9/238?f=html</t>
        </is>
      </c>
      <c r="O211" t="n">
        <v>38.754575</v>
      </c>
      <c r="P211" t="n">
        <v>-77.542535</v>
      </c>
    </row>
    <row r="212">
      <c r="A212" t="n">
        <v>211</v>
      </c>
      <c r="B212" t="inlineStr">
        <is>
          <t>Prince William</t>
        </is>
      </c>
      <c r="C212" t="inlineStr">
        <is>
          <t>Redstone Tech Park North C</t>
        </is>
      </c>
      <c r="D212" t="inlineStr">
        <is>
          <t>Approved/Planned</t>
        </is>
      </c>
      <c r="E212" t="inlineStr">
        <is>
          <t>Planned</t>
        </is>
      </c>
      <c r="F212" t="inlineStr">
        <is>
          <t>stated</t>
        </is>
      </c>
      <c r="G212" t="inlineStr">
        <is>
          <t>Redstone Tech Park North</t>
        </is>
      </c>
      <c r="H212" t="inlineStr">
        <is>
          <t>PLN2008-00253</t>
        </is>
      </c>
      <c r="I212" t="inlineStr">
        <is>
          <t>7595-69-4800</t>
        </is>
      </c>
      <c r="J212" t="n">
        <v>248665</v>
      </c>
      <c r="L212" t="inlineStr"/>
      <c r="M212" t="inlineStr">
        <is>
          <t>Stated: building status 'Planned' is the county's own label (PWC Build_Out_Analysis layer 9).</t>
        </is>
      </c>
      <c r="N212" t="inlineStr">
        <is>
          <t>https://gisweb.pwcva.gov/arcgis/rest/services/Planning/Build_Out_Analysis/MapServer/9/237?f=html</t>
        </is>
      </c>
      <c r="O212" t="n">
        <v>38.75386</v>
      </c>
      <c r="P212" t="n">
        <v>-77.540795</v>
      </c>
    </row>
    <row r="213">
      <c r="A213" t="n">
        <v>212</v>
      </c>
      <c r="B213" t="inlineStr">
        <is>
          <t>Prince William</t>
        </is>
      </c>
      <c r="C213" t="inlineStr">
        <is>
          <t>Redstone Tech Park North D</t>
        </is>
      </c>
      <c r="D213" t="inlineStr">
        <is>
          <t>Approved/Planned</t>
        </is>
      </c>
      <c r="E213" t="inlineStr">
        <is>
          <t>Planned</t>
        </is>
      </c>
      <c r="F213" t="inlineStr">
        <is>
          <t>stated</t>
        </is>
      </c>
      <c r="G213" t="inlineStr">
        <is>
          <t>Redstone Tech Park North</t>
        </is>
      </c>
      <c r="H213" t="inlineStr">
        <is>
          <t>PLN2008-00253</t>
        </is>
      </c>
      <c r="I213" t="inlineStr">
        <is>
          <t>7595-78-0192</t>
        </is>
      </c>
      <c r="J213" t="n">
        <v>190336</v>
      </c>
      <c r="L213" t="inlineStr"/>
      <c r="M213" t="inlineStr">
        <is>
          <t>Stated: building status 'Planned' is the county's own label (PWC Build_Out_Analysis layer 9).</t>
        </is>
      </c>
      <c r="N213" t="inlineStr">
        <is>
          <t>https://gisweb.pwcva.gov/arcgis/rest/services/Planning/Build_Out_Analysis/MapServer/9/236?f=html</t>
        </is>
      </c>
      <c r="O213" t="n">
        <v>38.753742</v>
      </c>
      <c r="P213" t="n">
        <v>-77.539181</v>
      </c>
    </row>
    <row r="214">
      <c r="A214" t="n">
        <v>213</v>
      </c>
      <c r="B214" t="inlineStr">
        <is>
          <t>Prince William</t>
        </is>
      </c>
      <c r="C214" t="inlineStr">
        <is>
          <t>Redstone Tech Park North E</t>
        </is>
      </c>
      <c r="D214" t="inlineStr">
        <is>
          <t>Approved/Planned</t>
        </is>
      </c>
      <c r="E214" t="inlineStr">
        <is>
          <t>Planned</t>
        </is>
      </c>
      <c r="F214" t="inlineStr">
        <is>
          <t>stated</t>
        </is>
      </c>
      <c r="G214" t="inlineStr">
        <is>
          <t>Redstone Tech Park North</t>
        </is>
      </c>
      <c r="H214" t="inlineStr">
        <is>
          <t>PLN2008-00253</t>
        </is>
      </c>
      <c r="I214" t="inlineStr">
        <is>
          <t>7595-88-0593</t>
        </is>
      </c>
      <c r="J214" t="n">
        <v>148500</v>
      </c>
      <c r="L214" t="inlineStr"/>
      <c r="M214" t="inlineStr">
        <is>
          <t>Stated: building status 'Planned' is the county's own label (PWC Build_Out_Analysis layer 9).</t>
        </is>
      </c>
      <c r="N214" t="inlineStr">
        <is>
          <t>https://gisweb.pwcva.gov/arcgis/rest/services/Planning/Build_Out_Analysis/MapServer/9/235?f=html</t>
        </is>
      </c>
      <c r="O214" t="n">
        <v>38.753513</v>
      </c>
      <c r="P214" t="n">
        <v>-77.535472</v>
      </c>
    </row>
    <row r="215">
      <c r="A215" t="n">
        <v>214</v>
      </c>
      <c r="B215" t="inlineStr">
        <is>
          <t>Prince William</t>
        </is>
      </c>
      <c r="C215" t="inlineStr">
        <is>
          <t>Redstone Tech Park South E</t>
        </is>
      </c>
      <c r="D215" t="inlineStr">
        <is>
          <t>Approved/Planned</t>
        </is>
      </c>
      <c r="E215" t="inlineStr">
        <is>
          <t>Planned</t>
        </is>
      </c>
      <c r="F215" t="inlineStr">
        <is>
          <t>stated</t>
        </is>
      </c>
      <c r="G215" t="inlineStr">
        <is>
          <t>Redstone Tech Park South</t>
        </is>
      </c>
      <c r="H215" t="inlineStr">
        <is>
          <t>PLN2007-00406</t>
        </is>
      </c>
      <c r="I215" t="inlineStr">
        <is>
          <t>7595-78-4035</t>
        </is>
      </c>
      <c r="J215" t="n">
        <v>200785</v>
      </c>
      <c r="L215" t="inlineStr"/>
      <c r="M215" t="inlineStr">
        <is>
          <t>Stated: building status 'Planned' is the county's own label (PWC Build_Out_Analysis layer 9).</t>
        </is>
      </c>
      <c r="N215" t="inlineStr">
        <is>
          <t>https://gisweb.pwcva.gov/arcgis/rest/services/Planning/Build_Out_Analysis/MapServer/9/225?f=html</t>
        </is>
      </c>
      <c r="O215" t="n">
        <v>38.751739</v>
      </c>
      <c r="P215" t="n">
        <v>-77.53720300000001</v>
      </c>
    </row>
    <row r="216">
      <c r="A216" t="n">
        <v>215</v>
      </c>
      <c r="B216" t="inlineStr">
        <is>
          <t>Prince William</t>
        </is>
      </c>
      <c r="C216" t="inlineStr">
        <is>
          <t>Redstone Tech Park South F</t>
        </is>
      </c>
      <c r="D216" t="inlineStr">
        <is>
          <t>Approved/Planned</t>
        </is>
      </c>
      <c r="E216" t="inlineStr">
        <is>
          <t>Planned</t>
        </is>
      </c>
      <c r="F216" t="inlineStr">
        <is>
          <t>stated</t>
        </is>
      </c>
      <c r="G216" t="inlineStr">
        <is>
          <t>Redstone Tech Park South</t>
        </is>
      </c>
      <c r="H216" t="inlineStr">
        <is>
          <t>PLN2007-00406</t>
        </is>
      </c>
      <c r="I216" t="inlineStr">
        <is>
          <t>7595-77-5466</t>
        </is>
      </c>
      <c r="J216" t="n">
        <v>196102</v>
      </c>
      <c r="L216" t="inlineStr"/>
      <c r="M216" t="inlineStr">
        <is>
          <t>Stated: building status 'Planned' is the county's own label (PWC Build_Out_Analysis layer 9).</t>
        </is>
      </c>
      <c r="N216" t="inlineStr">
        <is>
          <t>https://gisweb.pwcva.gov/arcgis/rest/services/Planning/Build_Out_Analysis/MapServer/9/224?f=html</t>
        </is>
      </c>
      <c r="O216" t="n">
        <v>38.750466</v>
      </c>
      <c r="P216" t="n">
        <v>-77.536985</v>
      </c>
    </row>
    <row r="217">
      <c r="A217" t="n">
        <v>216</v>
      </c>
      <c r="B217" t="inlineStr">
        <is>
          <t>Prince William</t>
        </is>
      </c>
      <c r="C217" t="inlineStr">
        <is>
          <t>Rose East A</t>
        </is>
      </c>
      <c r="D217" t="inlineStr">
        <is>
          <t>Approved/Planned</t>
        </is>
      </c>
      <c r="E217" t="inlineStr">
        <is>
          <t>Planned</t>
        </is>
      </c>
      <c r="F217" t="inlineStr">
        <is>
          <t>stated</t>
        </is>
      </c>
      <c r="G217" t="inlineStr">
        <is>
          <t>Rose East/West</t>
        </is>
      </c>
      <c r="H217" t="inlineStr">
        <is>
          <t>PLN2004-00071</t>
        </is>
      </c>
      <c r="I217" t="inlineStr">
        <is>
          <t>7596-09-7967</t>
        </is>
      </c>
      <c r="J217" t="n">
        <v>356640</v>
      </c>
      <c r="L217" t="inlineStr"/>
      <c r="M217" t="inlineStr">
        <is>
          <t>Stated: building status 'Planned' is the county's own label (PWC Build_Out_Analysis layer 9).</t>
        </is>
      </c>
      <c r="N217" t="inlineStr">
        <is>
          <t>https://gisweb.pwcva.gov/arcgis/rest/services/Planning/Build_Out_Analysis/MapServer/9/218?f=html</t>
        </is>
      </c>
      <c r="O217" t="n">
        <v>38.782817</v>
      </c>
      <c r="P217" t="n">
        <v>-77.56052800000001</v>
      </c>
    </row>
    <row r="218">
      <c r="A218" t="n">
        <v>217</v>
      </c>
      <c r="B218" t="inlineStr">
        <is>
          <t>Prince William</t>
        </is>
      </c>
      <c r="C218" t="inlineStr">
        <is>
          <t>Rose East B</t>
        </is>
      </c>
      <c r="D218" t="inlineStr">
        <is>
          <t>Approved/Planned</t>
        </is>
      </c>
      <c r="E218" t="inlineStr">
        <is>
          <t>Planned</t>
        </is>
      </c>
      <c r="F218" t="inlineStr">
        <is>
          <t>stated</t>
        </is>
      </c>
      <c r="G218" t="inlineStr">
        <is>
          <t>Rose East/West</t>
        </is>
      </c>
      <c r="H218" t="inlineStr">
        <is>
          <t>PLN2004-00071</t>
        </is>
      </c>
      <c r="I218" t="inlineStr">
        <is>
          <t>7596-09-7967</t>
        </is>
      </c>
      <c r="J218" t="n">
        <v>265546</v>
      </c>
      <c r="L218" t="inlineStr"/>
      <c r="M218" t="inlineStr">
        <is>
          <t>Stated: building status 'Planned' is the county's own label (PWC Build_Out_Analysis layer 9).</t>
        </is>
      </c>
      <c r="N218" t="inlineStr">
        <is>
          <t>https://gisweb.pwcva.gov/arcgis/rest/services/Planning/Build_Out_Analysis/MapServer/9/217?f=html</t>
        </is>
      </c>
      <c r="O218" t="n">
        <v>38.783819</v>
      </c>
      <c r="P218" t="n">
        <v>-77.560118</v>
      </c>
    </row>
    <row r="219">
      <c r="A219" t="n">
        <v>218</v>
      </c>
      <c r="B219" t="inlineStr">
        <is>
          <t>Prince William</t>
        </is>
      </c>
      <c r="C219" t="inlineStr">
        <is>
          <t>Rose West</t>
        </is>
      </c>
      <c r="D219" t="inlineStr">
        <is>
          <t>Approved/Planned</t>
        </is>
      </c>
      <c r="E219" t="inlineStr">
        <is>
          <t>Planned</t>
        </is>
      </c>
      <c r="F219" t="inlineStr">
        <is>
          <t>stated</t>
        </is>
      </c>
      <c r="G219" t="inlineStr">
        <is>
          <t>Rose East/West</t>
        </is>
      </c>
      <c r="H219" t="inlineStr">
        <is>
          <t>PLN2004-00071</t>
        </is>
      </c>
      <c r="I219" t="inlineStr">
        <is>
          <t>7596-09-7967</t>
        </is>
      </c>
      <c r="J219" t="n">
        <v>246068</v>
      </c>
      <c r="L219" t="inlineStr"/>
      <c r="M219" t="inlineStr">
        <is>
          <t>Stated: building status 'Planned' is the county's own label (PWC Build_Out_Analysis layer 9).</t>
        </is>
      </c>
      <c r="N219" t="inlineStr">
        <is>
          <t>https://gisweb.pwcva.gov/arcgis/rest/services/Planning/Build_Out_Analysis/MapServer/9/219?f=html</t>
        </is>
      </c>
      <c r="O219" t="n">
        <v>38.785357</v>
      </c>
      <c r="P219" t="n">
        <v>-77.562558</v>
      </c>
    </row>
    <row r="220">
      <c r="A220" t="n">
        <v>219</v>
      </c>
      <c r="B220" t="inlineStr">
        <is>
          <t>Prince William</t>
        </is>
      </c>
      <c r="C220" t="inlineStr">
        <is>
          <t>Six Towers 1</t>
        </is>
      </c>
      <c r="D220" t="inlineStr">
        <is>
          <t>Pending</t>
        </is>
      </c>
      <c r="E220" t="inlineStr">
        <is>
          <t>Pending</t>
        </is>
      </c>
      <c r="F220" t="inlineStr">
        <is>
          <t>stated</t>
        </is>
      </c>
      <c r="G220" t="inlineStr">
        <is>
          <t>Six Towers Industrial Park</t>
        </is>
      </c>
      <c r="H220" t="inlineStr">
        <is>
          <t>REZ2026-00019</t>
        </is>
      </c>
      <c r="I220" t="inlineStr">
        <is>
          <t>7892-50-1385</t>
        </is>
      </c>
      <c r="J220" t="n">
        <v>472626</v>
      </c>
      <c r="L220" t="inlineStr"/>
      <c r="M220" t="inlineStr">
        <is>
          <t>Stated: building status 'Pending' is the county's own label (PWC Build_Out_Analysis layer 9).</t>
        </is>
      </c>
      <c r="N220" t="inlineStr">
        <is>
          <t>https://gisweb.pwcva.gov/arcgis/rest/services/Planning/Build_Out_Analysis/MapServer/9/229?f=html</t>
        </is>
      </c>
      <c r="O220" t="n">
        <v>38.648067</v>
      </c>
      <c r="P220" t="n">
        <v>-77.442207</v>
      </c>
    </row>
    <row r="221">
      <c r="A221" t="n">
        <v>220</v>
      </c>
      <c r="B221" t="inlineStr">
        <is>
          <t>Prince William</t>
        </is>
      </c>
      <c r="C221" t="inlineStr">
        <is>
          <t>Six Towers 2</t>
        </is>
      </c>
      <c r="D221" t="inlineStr">
        <is>
          <t>Pending</t>
        </is>
      </c>
      <c r="E221" t="inlineStr">
        <is>
          <t>Pending</t>
        </is>
      </c>
      <c r="F221" t="inlineStr">
        <is>
          <t>stated</t>
        </is>
      </c>
      <c r="G221" t="inlineStr">
        <is>
          <t>Six Towers Industrial Park</t>
        </is>
      </c>
      <c r="H221" t="inlineStr">
        <is>
          <t>REZ2026-00019</t>
        </is>
      </c>
      <c r="I221" t="inlineStr">
        <is>
          <t>7892-50-1385</t>
        </is>
      </c>
      <c r="J221" t="n">
        <v>472626</v>
      </c>
      <c r="L221" t="inlineStr"/>
      <c r="M221" t="inlineStr">
        <is>
          <t>Stated: building status 'Pending' is the county's own label (PWC Build_Out_Analysis layer 9).</t>
        </is>
      </c>
      <c r="N221" t="inlineStr">
        <is>
          <t>https://gisweb.pwcva.gov/arcgis/rest/services/Planning/Build_Out_Analysis/MapServer/9/230?f=html</t>
        </is>
      </c>
      <c r="O221" t="n">
        <v>38.648327</v>
      </c>
      <c r="P221" t="n">
        <v>-77.438616</v>
      </c>
    </row>
    <row r="222">
      <c r="A222" t="n">
        <v>221</v>
      </c>
      <c r="B222" t="inlineStr">
        <is>
          <t>Prince William</t>
        </is>
      </c>
      <c r="C222" t="inlineStr">
        <is>
          <t>South Point Phase II Building A</t>
        </is>
      </c>
      <c r="D222" t="inlineStr">
        <is>
          <t>Existing/Completed</t>
        </is>
      </c>
      <c r="E222" t="inlineStr">
        <is>
          <t>Completed</t>
        </is>
      </c>
      <c r="F222" t="inlineStr">
        <is>
          <t>stated</t>
        </is>
      </c>
      <c r="G222" t="inlineStr">
        <is>
          <t>South Point Phase II</t>
        </is>
      </c>
      <c r="H222" t="inlineStr">
        <is>
          <t>REZ2020-00021</t>
        </is>
      </c>
      <c r="I222" t="inlineStr">
        <is>
          <t>7596-27-0053</t>
        </is>
      </c>
      <c r="J222" t="n">
        <v>217934</v>
      </c>
      <c r="K222" t="n">
        <v>2026</v>
      </c>
      <c r="L222" t="inlineStr"/>
      <c r="M222" t="inlineStr">
        <is>
          <t>Stated: building status 'Completed' is the county's own label (PWC Build_Out_Analysis layer 9).</t>
        </is>
      </c>
      <c r="N222" t="inlineStr">
        <is>
          <t>https://gisweb.pwcva.gov/arcgis/rest/services/Planning/Build_Out_Analysis/MapServer/9/11?f=html</t>
        </is>
      </c>
      <c r="O222" t="n">
        <v>38.777057</v>
      </c>
      <c r="P222" t="n">
        <v>-77.55690300000001</v>
      </c>
    </row>
    <row r="223">
      <c r="A223" t="n">
        <v>222</v>
      </c>
      <c r="B223" t="inlineStr">
        <is>
          <t>Prince William</t>
        </is>
      </c>
      <c r="C223" t="inlineStr">
        <is>
          <t>South Point Phase II Building B</t>
        </is>
      </c>
      <c r="D223" t="inlineStr">
        <is>
          <t>Under construction</t>
        </is>
      </c>
      <c r="E223" t="inlineStr">
        <is>
          <t>Under Construction</t>
        </is>
      </c>
      <c r="F223" t="inlineStr">
        <is>
          <t>stated</t>
        </is>
      </c>
      <c r="G223" t="inlineStr">
        <is>
          <t>South Point Phase II</t>
        </is>
      </c>
      <c r="H223" t="inlineStr">
        <is>
          <t>REZ2020-00021</t>
        </is>
      </c>
      <c r="I223" t="inlineStr">
        <is>
          <t>7596-16-5979</t>
        </is>
      </c>
      <c r="J223" t="n">
        <v>265000</v>
      </c>
      <c r="L223" t="inlineStr"/>
      <c r="M223" t="inlineStr">
        <is>
          <t>Stated: building status 'Under Construction' is the county's own label (PWC Build_Out_Analysis layer 9).</t>
        </is>
      </c>
      <c r="N223" t="inlineStr">
        <is>
          <t>https://gisweb.pwcva.gov/arcgis/rest/services/Planning/Build_Out_Analysis/MapServer/9/12?f=html</t>
        </is>
      </c>
      <c r="O223" t="n">
        <v>38.775957</v>
      </c>
      <c r="P223" t="n">
        <v>-77.557248</v>
      </c>
    </row>
    <row r="224">
      <c r="A224" t="n">
        <v>223</v>
      </c>
      <c r="B224" t="inlineStr">
        <is>
          <t>Prince William</t>
        </is>
      </c>
      <c r="C224" t="inlineStr">
        <is>
          <t>Southgate South 1</t>
        </is>
      </c>
      <c r="D224" t="inlineStr">
        <is>
          <t>Pending</t>
        </is>
      </c>
      <c r="E224" t="inlineStr">
        <is>
          <t>Pending</t>
        </is>
      </c>
      <c r="F224" t="inlineStr">
        <is>
          <t>stated</t>
        </is>
      </c>
      <c r="G224" t="inlineStr">
        <is>
          <t>Southgate South</t>
        </is>
      </c>
      <c r="H224" t="inlineStr">
        <is>
          <t>REZ2026-00044</t>
        </is>
      </c>
      <c r="I224" t="inlineStr">
        <is>
          <t>8190-90-6518</t>
        </is>
      </c>
      <c r="J224" t="n">
        <v>303000</v>
      </c>
      <c r="L224" t="inlineStr"/>
      <c r="M224" t="inlineStr">
        <is>
          <t>Stated: building status 'Pending' is the county's own label (PWC Build_Out_Analysis layer 9).</t>
        </is>
      </c>
      <c r="N224" t="inlineStr">
        <is>
          <t>https://gisweb.pwcva.gov/arcgis/rest/services/Planning/Build_Out_Analysis/MapServer/9/262?f=html</t>
        </is>
      </c>
      <c r="O224" t="n">
        <v>38.591411</v>
      </c>
      <c r="P224" t="n">
        <v>-77.320348</v>
      </c>
    </row>
    <row r="225">
      <c r="A225" t="n">
        <v>224</v>
      </c>
      <c r="B225" t="inlineStr">
        <is>
          <t>Prince William</t>
        </is>
      </c>
      <c r="C225" t="inlineStr">
        <is>
          <t>Southgate South 2</t>
        </is>
      </c>
      <c r="D225" t="inlineStr">
        <is>
          <t>Pending</t>
        </is>
      </c>
      <c r="E225" t="inlineStr">
        <is>
          <t>Pending</t>
        </is>
      </c>
      <c r="F225" t="inlineStr">
        <is>
          <t>stated</t>
        </is>
      </c>
      <c r="G225" t="inlineStr">
        <is>
          <t>Southgate South</t>
        </is>
      </c>
      <c r="H225" t="inlineStr">
        <is>
          <t>REZ2026-00044</t>
        </is>
      </c>
      <c r="I225" t="inlineStr">
        <is>
          <t>8190-90-6518</t>
        </is>
      </c>
      <c r="J225" t="n">
        <v>303000</v>
      </c>
      <c r="L225" t="inlineStr"/>
      <c r="M225" t="inlineStr">
        <is>
          <t>Stated: building status 'Pending' is the county's own label (PWC Build_Out_Analysis layer 9).</t>
        </is>
      </c>
      <c r="N225" t="inlineStr">
        <is>
          <t>https://gisweb.pwcva.gov/arcgis/rest/services/Planning/Build_Out_Analysis/MapServer/9/264?f=html</t>
        </is>
      </c>
      <c r="O225" t="n">
        <v>38.589624</v>
      </c>
      <c r="P225" t="n">
        <v>-77.32073</v>
      </c>
    </row>
    <row r="226">
      <c r="A226" t="n">
        <v>225</v>
      </c>
      <c r="B226" t="inlineStr">
        <is>
          <t>Prince William</t>
        </is>
      </c>
      <c r="C226" t="inlineStr">
        <is>
          <t>Southgate South 3</t>
        </is>
      </c>
      <c r="D226" t="inlineStr">
        <is>
          <t>Pending</t>
        </is>
      </c>
      <c r="E226" t="inlineStr">
        <is>
          <t>Pending</t>
        </is>
      </c>
      <c r="F226" t="inlineStr">
        <is>
          <t>stated</t>
        </is>
      </c>
      <c r="G226" t="inlineStr">
        <is>
          <t>Southgate South</t>
        </is>
      </c>
      <c r="H226" t="inlineStr">
        <is>
          <t>REZ2026-00044</t>
        </is>
      </c>
      <c r="I226" t="inlineStr">
        <is>
          <t>8190-90-6518</t>
        </is>
      </c>
      <c r="J226" t="n">
        <v>303000</v>
      </c>
      <c r="L226" t="inlineStr"/>
      <c r="M226" t="inlineStr">
        <is>
          <t>Stated: building status 'Pending' is the county's own label (PWC Build_Out_Analysis layer 9).</t>
        </is>
      </c>
      <c r="N226" t="inlineStr">
        <is>
          <t>https://gisweb.pwcva.gov/arcgis/rest/services/Planning/Build_Out_Analysis/MapServer/9/263?f=html</t>
        </is>
      </c>
      <c r="O226" t="n">
        <v>38.587844</v>
      </c>
      <c r="P226" t="n">
        <v>-77.321094</v>
      </c>
    </row>
    <row r="227">
      <c r="A227" t="n">
        <v>226</v>
      </c>
      <c r="B227" t="inlineStr">
        <is>
          <t>Prince William</t>
        </is>
      </c>
      <c r="C227" t="inlineStr">
        <is>
          <t>Stack Northern Virginia NVA02A</t>
        </is>
      </c>
      <c r="D227" t="inlineStr">
        <is>
          <t>Existing/Completed</t>
        </is>
      </c>
      <c r="E227" t="inlineStr">
        <is>
          <t>Completed</t>
        </is>
      </c>
      <c r="F227" t="inlineStr">
        <is>
          <t>stated</t>
        </is>
      </c>
      <c r="G227" t="inlineStr">
        <is>
          <t>Stack Infrastructure NVA02 Manassas</t>
        </is>
      </c>
      <c r="H227" t="inlineStr">
        <is>
          <t>REZ2019-00028</t>
        </is>
      </c>
      <c r="I227" t="inlineStr">
        <is>
          <t>7595-85-6929</t>
        </is>
      </c>
      <c r="J227" t="n">
        <v>226862</v>
      </c>
      <c r="K227" t="n">
        <v>2025</v>
      </c>
      <c r="L227" t="inlineStr"/>
      <c r="M227" t="inlineStr">
        <is>
          <t>Stated: building status 'Completed' is the county's own label (PWC Build_Out_Analysis layer 9).</t>
        </is>
      </c>
      <c r="N227" t="inlineStr">
        <is>
          <t>https://gisweb.pwcva.gov/arcgis/rest/services/Planning/Build_Out_Analysis/MapServer/9/37?f=html</t>
        </is>
      </c>
      <c r="O227" t="n">
        <v>38.743032</v>
      </c>
      <c r="P227" t="n">
        <v>-77.533468</v>
      </c>
    </row>
    <row r="228">
      <c r="A228" t="n">
        <v>227</v>
      </c>
      <c r="B228" t="inlineStr">
        <is>
          <t>Prince William</t>
        </is>
      </c>
      <c r="C228" t="inlineStr">
        <is>
          <t>Stack Northern Virginia NVA02B</t>
        </is>
      </c>
      <c r="D228" t="inlineStr">
        <is>
          <t>Existing/Completed</t>
        </is>
      </c>
      <c r="E228" t="inlineStr">
        <is>
          <t>Completed</t>
        </is>
      </c>
      <c r="F228" t="inlineStr">
        <is>
          <t>stated</t>
        </is>
      </c>
      <c r="G228" t="inlineStr">
        <is>
          <t>Stack Infrastructure NVA02 Manassas</t>
        </is>
      </c>
      <c r="H228" t="inlineStr">
        <is>
          <t>REZ2019-00028</t>
        </is>
      </c>
      <c r="I228" t="inlineStr">
        <is>
          <t>7595-85-3742</t>
        </is>
      </c>
      <c r="J228" t="n">
        <v>224652</v>
      </c>
      <c r="K228" t="n">
        <v>2025</v>
      </c>
      <c r="L228" t="inlineStr"/>
      <c r="M228" t="inlineStr">
        <is>
          <t>Stated: building status 'Completed' is the county's own label (PWC Build_Out_Analysis layer 9).</t>
        </is>
      </c>
      <c r="N228" t="inlineStr">
        <is>
          <t>https://gisweb.pwcva.gov/arcgis/rest/services/Planning/Build_Out_Analysis/MapServer/9/38?f=html</t>
        </is>
      </c>
      <c r="O228" t="n">
        <v>38.744134</v>
      </c>
      <c r="P228" t="n">
        <v>-77.533304</v>
      </c>
    </row>
    <row r="229">
      <c r="A229" t="n">
        <v>228</v>
      </c>
      <c r="B229" t="inlineStr">
        <is>
          <t>Prince William</t>
        </is>
      </c>
      <c r="C229" t="inlineStr">
        <is>
          <t>Stack Northern Virginia NVA02C</t>
        </is>
      </c>
      <c r="D229" t="inlineStr">
        <is>
          <t>Existing/Completed</t>
        </is>
      </c>
      <c r="E229" t="inlineStr">
        <is>
          <t>Completed</t>
        </is>
      </c>
      <c r="F229" t="inlineStr">
        <is>
          <t>stated</t>
        </is>
      </c>
      <c r="G229" t="inlineStr">
        <is>
          <t>Stack Infrastructure NVA02 Manassas</t>
        </is>
      </c>
      <c r="H229" t="inlineStr">
        <is>
          <t>REZ2019-00028</t>
        </is>
      </c>
      <c r="I229" t="inlineStr">
        <is>
          <t>7595-85-6929</t>
        </is>
      </c>
      <c r="J229" t="n">
        <v>14387</v>
      </c>
      <c r="K229" t="n">
        <v>2025</v>
      </c>
      <c r="L229" t="inlineStr"/>
      <c r="M229" t="inlineStr">
        <is>
          <t>Stated: building status 'Completed' is the county's own label (PWC Build_Out_Analysis layer 9).</t>
        </is>
      </c>
      <c r="N229" t="inlineStr">
        <is>
          <t>https://gisweb.pwcva.gov/arcgis/rest/services/Planning/Build_Out_Analysis/MapServer/9/39?f=html</t>
        </is>
      </c>
      <c r="O229" t="n">
        <v>38.744956</v>
      </c>
      <c r="P229" t="n">
        <v>-77.533179</v>
      </c>
    </row>
    <row r="230">
      <c r="A230" t="n">
        <v>229</v>
      </c>
      <c r="B230" t="inlineStr">
        <is>
          <t>Prince William</t>
        </is>
      </c>
      <c r="C230" t="inlineStr">
        <is>
          <t>Stack Northern Virginia NVA02D</t>
        </is>
      </c>
      <c r="D230" t="inlineStr">
        <is>
          <t>Existing/Completed</t>
        </is>
      </c>
      <c r="E230" t="inlineStr">
        <is>
          <t>Completed</t>
        </is>
      </c>
      <c r="F230" t="inlineStr">
        <is>
          <t>stated</t>
        </is>
      </c>
      <c r="G230" t="inlineStr">
        <is>
          <t>Stack Infrastructure NVA02 Manassas</t>
        </is>
      </c>
      <c r="H230" t="inlineStr">
        <is>
          <t>REZ2019-00028</t>
        </is>
      </c>
      <c r="I230" t="inlineStr">
        <is>
          <t>7595-76-6544.00</t>
        </is>
      </c>
      <c r="J230" t="n">
        <v>281000</v>
      </c>
      <c r="K230" t="n">
        <v>2023</v>
      </c>
      <c r="L230" t="inlineStr"/>
      <c r="M230" t="inlineStr">
        <is>
          <t>Stated: building status 'Completed' is the county's own label (PWC Build_Out_Analysis layer 9).</t>
        </is>
      </c>
      <c r="N230" t="inlineStr">
        <is>
          <t>https://gisweb.pwcva.gov/arcgis/rest/services/Planning/Build_Out_Analysis/MapServer/9/40?f=html</t>
        </is>
      </c>
      <c r="O230" t="n">
        <v>38.746311</v>
      </c>
      <c r="P230" t="n">
        <v>-77.53626199999999</v>
      </c>
    </row>
    <row r="231">
      <c r="A231" t="n">
        <v>230</v>
      </c>
      <c r="B231" t="inlineStr">
        <is>
          <t>Prince William</t>
        </is>
      </c>
      <c r="C231" t="inlineStr">
        <is>
          <t>Stack Northern Virginia NVA02E</t>
        </is>
      </c>
      <c r="D231" t="inlineStr">
        <is>
          <t>Existing/Completed</t>
        </is>
      </c>
      <c r="E231" t="inlineStr">
        <is>
          <t>Completed</t>
        </is>
      </c>
      <c r="F231" t="inlineStr">
        <is>
          <t>stated</t>
        </is>
      </c>
      <c r="G231" t="inlineStr">
        <is>
          <t>Stack Infrastructure NVA02 Manassas</t>
        </is>
      </c>
      <c r="H231" t="inlineStr">
        <is>
          <t>REZ2019-00028</t>
        </is>
      </c>
      <c r="I231" t="inlineStr">
        <is>
          <t>7595-65-9789.00</t>
        </is>
      </c>
      <c r="J231" t="n">
        <v>259200</v>
      </c>
      <c r="K231" t="n">
        <v>2024</v>
      </c>
      <c r="L231" t="inlineStr"/>
      <c r="M231" t="inlineStr">
        <is>
          <t>Stated: building status 'Completed' is the county's own label (PWC Build_Out_Analysis layer 9).</t>
        </is>
      </c>
      <c r="N231" t="inlineStr">
        <is>
          <t>https://gisweb.pwcva.gov/arcgis/rest/services/Planning/Build_Out_Analysis/MapServer/9/42?f=html</t>
        </is>
      </c>
      <c r="O231" t="n">
        <v>38.744989</v>
      </c>
      <c r="P231" t="n">
        <v>-77.539255</v>
      </c>
    </row>
    <row r="232">
      <c r="A232" t="n">
        <v>231</v>
      </c>
      <c r="B232" t="inlineStr">
        <is>
          <t>Prince William</t>
        </is>
      </c>
      <c r="C232" t="inlineStr">
        <is>
          <t>Stack Northern Virginia NVA02F</t>
        </is>
      </c>
      <c r="D232" t="inlineStr">
        <is>
          <t>Under construction</t>
        </is>
      </c>
      <c r="E232" t="inlineStr">
        <is>
          <t>Under Construction</t>
        </is>
      </c>
      <c r="F232" t="inlineStr">
        <is>
          <t>stated</t>
        </is>
      </c>
      <c r="G232" t="inlineStr">
        <is>
          <t>Stack Infrastructure NVA02 Manassas</t>
        </is>
      </c>
      <c r="H232" t="inlineStr">
        <is>
          <t>REZ2019-00028</t>
        </is>
      </c>
      <c r="I232" t="inlineStr">
        <is>
          <t>7595-75-3611</t>
        </is>
      </c>
      <c r="J232" t="n">
        <v>0</v>
      </c>
      <c r="L232" t="inlineStr"/>
      <c r="M232" t="inlineStr">
        <is>
          <t>Stated: building status 'Under Construction' is the county's own label (PWC Build_Out_Analysis layer 9).</t>
        </is>
      </c>
      <c r="N232" t="inlineStr">
        <is>
          <t>https://gisweb.pwcva.gov/arcgis/rest/services/Planning/Build_Out_Analysis/MapServer/9/45?f=html</t>
        </is>
      </c>
      <c r="O232" t="n">
        <v>38.744147</v>
      </c>
      <c r="P232" t="n">
        <v>-77.53887</v>
      </c>
    </row>
    <row r="233">
      <c r="A233" t="n">
        <v>232</v>
      </c>
      <c r="B233" t="inlineStr">
        <is>
          <t>Prince William</t>
        </is>
      </c>
      <c r="C233" t="inlineStr">
        <is>
          <t>Stack Northern Virginia NVA02G</t>
        </is>
      </c>
      <c r="D233" t="inlineStr">
        <is>
          <t>Under construction</t>
        </is>
      </c>
      <c r="E233" t="inlineStr">
        <is>
          <t>Under Construction</t>
        </is>
      </c>
      <c r="F233" t="inlineStr">
        <is>
          <t>stated</t>
        </is>
      </c>
      <c r="G233" t="inlineStr">
        <is>
          <t>Stack Infrastructure NVA02 Manassas</t>
        </is>
      </c>
      <c r="H233" t="inlineStr">
        <is>
          <t>REZ2019-00028</t>
        </is>
      </c>
      <c r="I233" t="inlineStr">
        <is>
          <t>7595-76-2590</t>
        </is>
      </c>
      <c r="J233" t="n">
        <v>185803</v>
      </c>
      <c r="L233" t="inlineStr"/>
      <c r="M233" t="inlineStr">
        <is>
          <t>Stated: building status 'Under Construction' is the county's own label (PWC Build_Out_Analysis layer 9).</t>
        </is>
      </c>
      <c r="N233" t="inlineStr">
        <is>
          <t>https://gisweb.pwcva.gov/arcgis/rest/services/Planning/Build_Out_Analysis/MapServer/9/41?f=html</t>
        </is>
      </c>
      <c r="O233" t="n">
        <v>38.748081</v>
      </c>
      <c r="P233" t="n">
        <v>-77.53779299999999</v>
      </c>
    </row>
    <row r="234">
      <c r="A234" t="n">
        <v>233</v>
      </c>
      <c r="B234" t="inlineStr">
        <is>
          <t>Prince William</t>
        </is>
      </c>
      <c r="C234" t="inlineStr">
        <is>
          <t>Stack Northern Virginia NVA02H</t>
        </is>
      </c>
      <c r="D234" t="inlineStr">
        <is>
          <t>Under construction</t>
        </is>
      </c>
      <c r="E234" t="inlineStr">
        <is>
          <t>Under Construction</t>
        </is>
      </c>
      <c r="F234" t="inlineStr">
        <is>
          <t>stated</t>
        </is>
      </c>
      <c r="G234" t="inlineStr">
        <is>
          <t>Stack Infrastructure NVA02 YFT</t>
        </is>
      </c>
      <c r="H234" t="inlineStr">
        <is>
          <t>REZ2019-00034</t>
        </is>
      </c>
      <c r="I234" t="inlineStr">
        <is>
          <t>7595-54-7478</t>
        </is>
      </c>
      <c r="J234" t="n">
        <v>256280</v>
      </c>
      <c r="L234" t="inlineStr"/>
      <c r="M234" t="inlineStr">
        <is>
          <t>Stated: building status 'Under Construction' is the county's own label (PWC Build_Out_Analysis layer 9).</t>
        </is>
      </c>
      <c r="N234" t="inlineStr">
        <is>
          <t>https://gisweb.pwcva.gov/arcgis/rest/services/Planning/Build_Out_Analysis/MapServer/9/43?f=html</t>
        </is>
      </c>
      <c r="O234" t="n">
        <v>38.74288</v>
      </c>
      <c r="P234" t="n">
        <v>-77.54429500000001</v>
      </c>
    </row>
    <row r="235">
      <c r="A235" t="n">
        <v>234</v>
      </c>
      <c r="B235" t="inlineStr">
        <is>
          <t>Prince William</t>
        </is>
      </c>
      <c r="C235" t="inlineStr">
        <is>
          <t>Stack Northern Virginia NVA02I</t>
        </is>
      </c>
      <c r="D235" t="inlineStr">
        <is>
          <t>Under construction</t>
        </is>
      </c>
      <c r="E235" t="inlineStr">
        <is>
          <t>Under Construction</t>
        </is>
      </c>
      <c r="F235" t="inlineStr">
        <is>
          <t>stated</t>
        </is>
      </c>
      <c r="G235" t="inlineStr">
        <is>
          <t>Stack Infrastructure NVA02 YFT</t>
        </is>
      </c>
      <c r="H235" t="inlineStr">
        <is>
          <t>REZ2019-00034</t>
        </is>
      </c>
      <c r="I235" t="inlineStr">
        <is>
          <t>7595-54-7478</t>
        </is>
      </c>
      <c r="J235" t="n">
        <v>256212</v>
      </c>
      <c r="L235" t="inlineStr"/>
      <c r="M235" t="inlineStr">
        <is>
          <t>Stated: building status 'Under Construction' is the county's own label (PWC Build_Out_Analysis layer 9).</t>
        </is>
      </c>
      <c r="N235" t="inlineStr">
        <is>
          <t>https://gisweb.pwcva.gov/arcgis/rest/services/Planning/Build_Out_Analysis/MapServer/9/44?f=html</t>
        </is>
      </c>
      <c r="O235" t="n">
        <v>38.743449</v>
      </c>
      <c r="P235" t="n">
        <v>-77.542643</v>
      </c>
    </row>
    <row r="236">
      <c r="A236" t="n">
        <v>235</v>
      </c>
      <c r="B236" t="inlineStr">
        <is>
          <t>Prince William</t>
        </is>
      </c>
      <c r="C236" t="inlineStr">
        <is>
          <t>Stack Northern Virginia NVA02J</t>
        </is>
      </c>
      <c r="D236" t="inlineStr">
        <is>
          <t>Under construction</t>
        </is>
      </c>
      <c r="E236" t="inlineStr">
        <is>
          <t>Under Construction</t>
        </is>
      </c>
      <c r="F236" t="inlineStr">
        <is>
          <t>stated</t>
        </is>
      </c>
      <c r="G236" t="inlineStr">
        <is>
          <t>Stack Infrastructure NVA02 YFT</t>
        </is>
      </c>
      <c r="H236" t="inlineStr">
        <is>
          <t>REZ2019-00034</t>
        </is>
      </c>
      <c r="I236" t="inlineStr">
        <is>
          <t>7595-54-7478</t>
        </is>
      </c>
      <c r="J236" t="n">
        <v>201000</v>
      </c>
      <c r="L236" t="inlineStr"/>
      <c r="M236" t="inlineStr">
        <is>
          <t>Stated: building status 'Under Construction' is the county's own label (PWC Build_Out_Analysis layer 9).</t>
        </is>
      </c>
      <c r="N236" t="inlineStr">
        <is>
          <t>https://gisweb.pwcva.gov/arcgis/rest/services/Planning/Build_Out_Analysis/MapServer/9/63?f=html</t>
        </is>
      </c>
      <c r="O236" t="n">
        <v>38.740529</v>
      </c>
      <c r="P236" t="n">
        <v>-77.542755</v>
      </c>
    </row>
    <row r="237">
      <c r="A237" t="n">
        <v>236</v>
      </c>
      <c r="B237" t="inlineStr">
        <is>
          <t>Prince William</t>
        </is>
      </c>
      <c r="C237" t="inlineStr">
        <is>
          <t>Stack Northern Virginia NVA05E</t>
        </is>
      </c>
      <c r="D237" t="inlineStr">
        <is>
          <t>Approved/Planned</t>
        </is>
      </c>
      <c r="E237" t="inlineStr">
        <is>
          <t>Planned</t>
        </is>
      </c>
      <c r="F237" t="inlineStr">
        <is>
          <t>stated</t>
        </is>
      </c>
      <c r="G237" t="inlineStr">
        <is>
          <t>Stack Northern Virginia NVA05</t>
        </is>
      </c>
      <c r="H237" t="inlineStr">
        <is>
          <t>REZ2023-00026</t>
        </is>
      </c>
      <c r="I237" t="inlineStr">
        <is>
          <t>7696-33-1105</t>
        </is>
      </c>
      <c r="J237" t="n">
        <v>326500</v>
      </c>
      <c r="L237" t="inlineStr"/>
      <c r="M237" t="inlineStr">
        <is>
          <t>Stated: building status 'Planned' is the county's own label (PWC Build_Out_Analysis layer 9).</t>
        </is>
      </c>
      <c r="N237" t="inlineStr">
        <is>
          <t>https://gisweb.pwcva.gov/arcgis/rest/services/Planning/Build_Out_Analysis/MapServer/9/33?f=html</t>
        </is>
      </c>
      <c r="O237" t="n">
        <v>38.765295</v>
      </c>
      <c r="P237" t="n">
        <v>-77.518289</v>
      </c>
    </row>
    <row r="238">
      <c r="A238" t="n">
        <v>237</v>
      </c>
      <c r="B238" t="inlineStr">
        <is>
          <t>Prince William</t>
        </is>
      </c>
      <c r="C238" t="inlineStr">
        <is>
          <t>SUDLEY MANOR DRIVE A</t>
        </is>
      </c>
      <c r="D238" t="inlineStr">
        <is>
          <t>Pending</t>
        </is>
      </c>
      <c r="E238" t="inlineStr">
        <is>
          <t>Pending</t>
        </is>
      </c>
      <c r="F238" t="inlineStr">
        <is>
          <t>stated</t>
        </is>
      </c>
      <c r="G238" t="inlineStr">
        <is>
          <t>Sudley Manor Drive</t>
        </is>
      </c>
      <c r="H238" t="inlineStr">
        <is>
          <t>REZ2026-00039</t>
        </is>
      </c>
      <c r="I238" t="inlineStr"/>
      <c r="J238" t="n">
        <v>293236</v>
      </c>
      <c r="L238" t="inlineStr"/>
      <c r="M238" t="inlineStr">
        <is>
          <t>Stated: building status 'Pending' is the county's own label (PWC Build_Out_Analysis layer 9).</t>
        </is>
      </c>
      <c r="N238" t="inlineStr">
        <is>
          <t>https://gisweb.pwcva.gov/arcgis/rest/services/Planning/Build_Out_Analysis/MapServer/9/245?f=html</t>
        </is>
      </c>
      <c r="O238" t="n">
        <v>38.764985</v>
      </c>
      <c r="P238" t="n">
        <v>-77.541859</v>
      </c>
    </row>
    <row r="239">
      <c r="A239" t="n">
        <v>238</v>
      </c>
      <c r="B239" t="inlineStr">
        <is>
          <t>Prince William</t>
        </is>
      </c>
      <c r="C239" t="inlineStr">
        <is>
          <t>Sudley Manor North</t>
        </is>
      </c>
      <c r="D239" t="inlineStr">
        <is>
          <t>Approved/Planned</t>
        </is>
      </c>
      <c r="E239" t="inlineStr">
        <is>
          <t>Planned</t>
        </is>
      </c>
      <c r="F239" t="inlineStr">
        <is>
          <t>stated</t>
        </is>
      </c>
      <c r="G239" t="inlineStr">
        <is>
          <t>Sudley Manor North</t>
        </is>
      </c>
      <c r="H239" t="inlineStr">
        <is>
          <t>REZ2020-00010</t>
        </is>
      </c>
      <c r="I239" t="inlineStr">
        <is>
          <t>7596-43-9061</t>
        </is>
      </c>
      <c r="J239" t="n">
        <v>417960</v>
      </c>
      <c r="L239" t="inlineStr"/>
      <c r="M239" t="inlineStr">
        <is>
          <t>Stated: building status 'Planned' is the county's own label (PWC Build_Out_Analysis layer 9).</t>
        </is>
      </c>
      <c r="N239" t="inlineStr">
        <is>
          <t>https://gisweb.pwcva.gov/arcgis/rest/services/Planning/Build_Out_Analysis/MapServer/9/680?f=html</t>
        </is>
      </c>
      <c r="O239" t="n">
        <v>38.766531</v>
      </c>
      <c r="P239" t="n">
        <v>-77.546041</v>
      </c>
    </row>
    <row r="240">
      <c r="A240" t="n">
        <v>239</v>
      </c>
      <c r="B240" t="inlineStr">
        <is>
          <t>Prince William</t>
        </is>
      </c>
      <c r="C240" t="inlineStr">
        <is>
          <t>TPC Data Centers</t>
        </is>
      </c>
      <c r="D240" t="inlineStr">
        <is>
          <t>Existing/Completed</t>
        </is>
      </c>
      <c r="E240" t="inlineStr">
        <is>
          <t>Completed</t>
        </is>
      </c>
      <c r="F240" t="inlineStr">
        <is>
          <t>stated</t>
        </is>
      </c>
      <c r="G240" t="inlineStr">
        <is>
          <t>TPC Data Centers</t>
        </is>
      </c>
      <c r="H240" t="inlineStr">
        <is>
          <t>REZ2024-00008</t>
        </is>
      </c>
      <c r="I240" t="inlineStr">
        <is>
          <t>7696-42-1559</t>
        </is>
      </c>
      <c r="J240" t="n">
        <v>361500</v>
      </c>
      <c r="K240" t="n">
        <v>2026</v>
      </c>
      <c r="L240" t="inlineStr"/>
      <c r="M240" t="inlineStr">
        <is>
          <t>Stated: building status 'Completed' is the county's own label (PWC Build_Out_Analysis layer 9).</t>
        </is>
      </c>
      <c r="N240" t="inlineStr">
        <is>
          <t>https://gisweb.pwcva.gov/arcgis/rest/services/Planning/Build_Out_Analysis/MapServer/9/29?f=html</t>
        </is>
      </c>
      <c r="O240" t="n">
        <v>38.763452</v>
      </c>
      <c r="P240" t="n">
        <v>-77.513817</v>
      </c>
    </row>
    <row r="241">
      <c r="A241" t="n">
        <v>240</v>
      </c>
      <c r="B241" t="inlineStr">
        <is>
          <t>Prince William</t>
        </is>
      </c>
      <c r="C241" t="inlineStr">
        <is>
          <t>Microsoft Azure MNZ07</t>
        </is>
      </c>
      <c r="D241" t="inlineStr">
        <is>
          <t>Pending</t>
        </is>
      </c>
      <c r="E241" t="inlineStr">
        <is>
          <t>Pending</t>
        </is>
      </c>
      <c r="F241" t="inlineStr">
        <is>
          <t>stated</t>
        </is>
      </c>
      <c r="G241" t="inlineStr">
        <is>
          <t>University Business Park</t>
        </is>
      </c>
      <c r="H241" t="inlineStr">
        <is>
          <t>REZ2023-00019</t>
        </is>
      </c>
      <c r="I241" t="inlineStr">
        <is>
          <t>7497-43-7416</t>
        </is>
      </c>
      <c r="J241" t="n">
        <v>385100</v>
      </c>
      <c r="L241" t="inlineStr"/>
      <c r="M241" t="inlineStr">
        <is>
          <t>Stated: building status 'Pending' is the county's own label (PWC Build_Out_Analysis layer 9).</t>
        </is>
      </c>
      <c r="N241" t="inlineStr">
        <is>
          <t>https://gisweb.pwcva.gov/arcgis/rest/services/Planning/Build_Out_Analysis/MapServer/9/116?f=html</t>
        </is>
      </c>
      <c r="O241" t="n">
        <v>38.793418</v>
      </c>
      <c r="P241" t="n">
        <v>-77.57869599999999</v>
      </c>
    </row>
    <row r="242">
      <c r="A242" t="n">
        <v>241</v>
      </c>
      <c r="B242" t="inlineStr">
        <is>
          <t>Prince William</t>
        </is>
      </c>
      <c r="C242" t="inlineStr">
        <is>
          <t>Microsoft Azure MNZ08</t>
        </is>
      </c>
      <c r="D242" t="inlineStr">
        <is>
          <t>Pending</t>
        </is>
      </c>
      <c r="E242" t="inlineStr">
        <is>
          <t>Pending</t>
        </is>
      </c>
      <c r="F242" t="inlineStr">
        <is>
          <t>stated</t>
        </is>
      </c>
      <c r="G242" t="inlineStr">
        <is>
          <t>University Business Park</t>
        </is>
      </c>
      <c r="H242" t="inlineStr">
        <is>
          <t>REZ2023-00019</t>
        </is>
      </c>
      <c r="I242" t="inlineStr">
        <is>
          <t>7497-43-7416</t>
        </is>
      </c>
      <c r="J242" t="n">
        <v>385100</v>
      </c>
      <c r="L242" t="inlineStr"/>
      <c r="M242" t="inlineStr">
        <is>
          <t>Stated: building status 'Pending' is the county's own label (PWC Build_Out_Analysis layer 9).</t>
        </is>
      </c>
      <c r="N242" t="inlineStr">
        <is>
          <t>https://gisweb.pwcva.gov/arcgis/rest/services/Planning/Build_Out_Analysis/MapServer/9/118?f=html</t>
        </is>
      </c>
      <c r="O242" t="n">
        <v>38.794016</v>
      </c>
      <c r="P242" t="n">
        <v>-77.580978</v>
      </c>
    </row>
    <row r="243">
      <c r="A243" t="n">
        <v>242</v>
      </c>
      <c r="B243" t="inlineStr">
        <is>
          <t>Prince William</t>
        </is>
      </c>
      <c r="C243" t="inlineStr">
        <is>
          <t>Verizon Manassas 7777 Infantry Ridge</t>
        </is>
      </c>
      <c r="D243" t="inlineStr">
        <is>
          <t>Existing/Completed</t>
        </is>
      </c>
      <c r="E243" t="inlineStr">
        <is>
          <t>Completed</t>
        </is>
      </c>
      <c r="F243" t="inlineStr">
        <is>
          <t>stated</t>
        </is>
      </c>
      <c r="G243" t="inlineStr">
        <is>
          <t>Verizon Manassas 7777 Infantry Ridge</t>
        </is>
      </c>
      <c r="H243" t="inlineStr">
        <is>
          <t>REZ1988-0030</t>
        </is>
      </c>
      <c r="I243" t="inlineStr">
        <is>
          <t>7697-47-3772</t>
        </is>
      </c>
      <c r="J243" t="n">
        <v>227465</v>
      </c>
      <c r="K243" t="n">
        <v>2002</v>
      </c>
      <c r="L243" t="inlineStr"/>
      <c r="M243" t="inlineStr">
        <is>
          <t>Stated: building status 'Completed' is the county's own label (PWC Build_Out_Analysis layer 9).</t>
        </is>
      </c>
      <c r="N243" t="inlineStr">
        <is>
          <t>https://gisweb.pwcva.gov/arcgis/rest/services/Planning/Build_Out_Analysis/MapServer/9/153?f=html</t>
        </is>
      </c>
      <c r="O243" t="n">
        <v>38.804886</v>
      </c>
      <c r="P243" t="n">
        <v>-77.51249300000001</v>
      </c>
    </row>
    <row r="244">
      <c r="A244" t="n">
        <v>243</v>
      </c>
      <c r="B244" t="inlineStr">
        <is>
          <t>Prince William</t>
        </is>
      </c>
      <c r="C244" t="inlineStr">
        <is>
          <t>Wellington Glen Technology Park</t>
        </is>
      </c>
      <c r="D244" t="inlineStr">
        <is>
          <t>Approved/Planned</t>
        </is>
      </c>
      <c r="E244" t="inlineStr">
        <is>
          <t>Planned</t>
        </is>
      </c>
      <c r="F244" t="inlineStr">
        <is>
          <t>stated</t>
        </is>
      </c>
      <c r="G244" t="inlineStr">
        <is>
          <t>Wellington Glen Technology Park</t>
        </is>
      </c>
      <c r="H244" t="inlineStr">
        <is>
          <t>REZ2024-00018</t>
        </is>
      </c>
      <c r="I244" t="inlineStr">
        <is>
          <t>7596-54-4132</t>
        </is>
      </c>
      <c r="J244" t="n">
        <v>475000</v>
      </c>
      <c r="L244" t="inlineStr"/>
      <c r="M244" t="inlineStr">
        <is>
          <t>Stated: building status 'Planned' is the county's own label (PWC Build_Out_Analysis layer 9).</t>
        </is>
      </c>
      <c r="N244" t="inlineStr">
        <is>
          <t>https://gisweb.pwcva.gov/arcgis/rest/services/Planning/Build_Out_Analysis/MapServer/9/110?f=html</t>
        </is>
      </c>
      <c r="O244" t="n">
        <v>38.768969</v>
      </c>
      <c r="P244" t="n">
        <v>-77.545562</v>
      </c>
    </row>
    <row r="245">
      <c r="A245" t="n">
        <v>244</v>
      </c>
      <c r="B245" t="inlineStr">
        <is>
          <t>Prince William</t>
        </is>
      </c>
      <c r="C245" t="inlineStr">
        <is>
          <t>Yondr Bristow Campus Building 1</t>
        </is>
      </c>
      <c r="D245" t="inlineStr">
        <is>
          <t>Existing/Completed</t>
        </is>
      </c>
      <c r="E245" t="inlineStr">
        <is>
          <t>Completed</t>
        </is>
      </c>
      <c r="F245" t="inlineStr">
        <is>
          <t>stated</t>
        </is>
      </c>
      <c r="G245" t="inlineStr">
        <is>
          <t>Yondr Bristow</t>
        </is>
      </c>
      <c r="H245" t="inlineStr">
        <is>
          <t>REZ2017-00023</t>
        </is>
      </c>
      <c r="I245" t="inlineStr">
        <is>
          <t>7496-47-2405</t>
        </is>
      </c>
      <c r="J245" t="n">
        <v>324580</v>
      </c>
      <c r="K245" t="n">
        <v>2025</v>
      </c>
      <c r="L245" t="inlineStr"/>
      <c r="M245" t="inlineStr">
        <is>
          <t>Stated: building status 'Completed' is the county's own label (PWC Build_Out_Analysis layer 9).</t>
        </is>
      </c>
      <c r="N245" t="inlineStr">
        <is>
          <t>https://gisweb.pwcva.gov/arcgis/rest/services/Planning/Build_Out_Analysis/MapServer/9/93?f=html</t>
        </is>
      </c>
      <c r="O245" t="n">
        <v>38.775964</v>
      </c>
      <c r="P245" t="n">
        <v>-77.58224199999999</v>
      </c>
    </row>
    <row r="246">
      <c r="A246" t="n">
        <v>245</v>
      </c>
      <c r="B246" t="inlineStr">
        <is>
          <t>Prince William</t>
        </is>
      </c>
      <c r="C246" t="inlineStr">
        <is>
          <t>Yondr Bristow Campus Building 2</t>
        </is>
      </c>
      <c r="D246" t="inlineStr">
        <is>
          <t>Existing/Completed</t>
        </is>
      </c>
      <c r="E246" t="inlineStr">
        <is>
          <t>Completed</t>
        </is>
      </c>
      <c r="F246" t="inlineStr">
        <is>
          <t>stated</t>
        </is>
      </c>
      <c r="G246" t="inlineStr">
        <is>
          <t>Yondr Bristow</t>
        </is>
      </c>
      <c r="H246" t="inlineStr">
        <is>
          <t>REZ2017-00023</t>
        </is>
      </c>
      <c r="I246" t="inlineStr">
        <is>
          <t>7496-47-2405</t>
        </is>
      </c>
      <c r="J246" t="n">
        <v>288530</v>
      </c>
      <c r="K246" t="n">
        <v>2025</v>
      </c>
      <c r="L246" t="inlineStr"/>
      <c r="M246" t="inlineStr">
        <is>
          <t>Stated: building status 'Completed' is the county's own label (PWC Build_Out_Analysis layer 9).</t>
        </is>
      </c>
      <c r="N246" t="inlineStr">
        <is>
          <t>https://gisweb.pwcva.gov/arcgis/rest/services/Planning/Build_Out_Analysis/MapServer/9/94?f=html</t>
        </is>
      </c>
      <c r="O246" t="n">
        <v>38.775045</v>
      </c>
      <c r="P246" t="n">
        <v>-77.584757</v>
      </c>
    </row>
    <row r="247">
      <c r="A247" t="n">
        <v>246</v>
      </c>
      <c r="B247" t="inlineStr">
        <is>
          <t>Prince William</t>
        </is>
      </c>
      <c r="C247" t="inlineStr">
        <is>
          <t>Yondr Bristow Campus Building 3</t>
        </is>
      </c>
      <c r="D247" t="inlineStr">
        <is>
          <t>Existing/Completed</t>
        </is>
      </c>
      <c r="E247" t="inlineStr">
        <is>
          <t>Completed</t>
        </is>
      </c>
      <c r="F247" t="inlineStr">
        <is>
          <t>stated</t>
        </is>
      </c>
      <c r="G247" t="inlineStr">
        <is>
          <t>Yondr Bristow</t>
        </is>
      </c>
      <c r="H247" t="inlineStr">
        <is>
          <t>REZ2017-00023</t>
        </is>
      </c>
      <c r="I247" t="inlineStr">
        <is>
          <t>7496-47-2405</t>
        </is>
      </c>
      <c r="J247" t="n">
        <v>288530</v>
      </c>
      <c r="K247" t="n">
        <v>2026</v>
      </c>
      <c r="L247" t="inlineStr"/>
      <c r="M247" t="inlineStr">
        <is>
          <t>Stated: building status 'Completed' is the county's own label (PWC Build_Out_Analysis layer 9).</t>
        </is>
      </c>
      <c r="N247" t="inlineStr">
        <is>
          <t>https://gisweb.pwcva.gov/arcgis/rest/services/Planning/Build_Out_Analysis/MapServer/9/95?f=html</t>
        </is>
      </c>
      <c r="O247" t="n">
        <v>38.779247</v>
      </c>
      <c r="P247" t="n">
        <v>-77.585723</v>
      </c>
    </row>
    <row r="248">
      <c r="A248" t="n">
        <v>247</v>
      </c>
      <c r="B248" t="inlineStr">
        <is>
          <t>Prince William</t>
        </is>
      </c>
      <c r="C248" t="inlineStr">
        <is>
          <t>Yondr Bristow Campus Building 4</t>
        </is>
      </c>
      <c r="D248" t="inlineStr">
        <is>
          <t>Approved/Planned</t>
        </is>
      </c>
      <c r="E248" t="inlineStr">
        <is>
          <t>Planned</t>
        </is>
      </c>
      <c r="F248" t="inlineStr">
        <is>
          <t>stated</t>
        </is>
      </c>
      <c r="G248" t="inlineStr">
        <is>
          <t>Yondr Bristow</t>
        </is>
      </c>
      <c r="H248" t="inlineStr">
        <is>
          <t>REZ2017-00023</t>
        </is>
      </c>
      <c r="I248" t="inlineStr">
        <is>
          <t>7496-47-2405</t>
        </is>
      </c>
      <c r="J248" t="n">
        <v>167346</v>
      </c>
      <c r="L248" t="inlineStr"/>
      <c r="M248" t="inlineStr">
        <is>
          <t>Stated: building status 'Planned' is the county's own label (PWC Build_Out_Analysis layer 9).</t>
        </is>
      </c>
      <c r="N248" t="inlineStr">
        <is>
          <t>https://gisweb.pwcva.gov/arcgis/rest/services/Planning/Build_Out_Analysis/MapServer/9/258?f=html</t>
        </is>
      </c>
      <c r="O248" t="n">
        <v>38.776629</v>
      </c>
      <c r="P248" t="n">
        <v>-77.58863700000001</v>
      </c>
    </row>
    <row r="249">
      <c r="A249" t="n">
        <v>248</v>
      </c>
      <c r="B249" t="inlineStr">
        <is>
          <t>Loudoun</t>
        </is>
      </c>
      <c r="C249" t="inlineStr">
        <is>
          <t>45220 PROLOGIS PLZ</t>
        </is>
      </c>
      <c r="D249" t="inlineStr">
        <is>
          <t>Existing/Completed</t>
        </is>
      </c>
      <c r="E249" t="inlineStr">
        <is>
          <t>Existing / operating (inferred)</t>
        </is>
      </c>
      <c r="F249" t="inlineStr">
        <is>
          <t>inferred (county label "Existing or Permitted" + year built/permit)</t>
        </is>
      </c>
      <c r="G249" t="inlineStr"/>
      <c r="H249" t="inlineStr"/>
      <c r="I249" t="inlineStr">
        <is>
          <t>045391908000</t>
        </is>
      </c>
      <c r="K249" t="n">
        <v>2014</v>
      </c>
      <c r="L249" t="inlineStr"/>
      <c r="M249" t="inlineStr">
        <is>
          <t>County lists as 'Existing or Permitted'; year built 2014, building permit 2008-04-09</t>
        </is>
      </c>
      <c r="N249" t="inlineStr">
        <is>
          <t>https://logis.loudoun.gov/gis/rest/services/Projects/BuildOut_LandUse/MapServer/0/1242?f=html</t>
        </is>
      </c>
      <c r="O249" t="n">
        <v>38.991406</v>
      </c>
      <c r="P249" t="n">
        <v>-77.43653500000001</v>
      </c>
    </row>
    <row r="250">
      <c r="A250" t="n">
        <v>249</v>
      </c>
      <c r="B250" t="inlineStr">
        <is>
          <t>Loudoun</t>
        </is>
      </c>
      <c r="C250" t="inlineStr">
        <is>
          <t>44610 GUILFORD DR</t>
        </is>
      </c>
      <c r="D250" t="inlineStr">
        <is>
          <t>Existing/Completed</t>
        </is>
      </c>
      <c r="E250" t="inlineStr">
        <is>
          <t>Existing / operating (inferred)</t>
        </is>
      </c>
      <c r="F250" t="inlineStr">
        <is>
          <t>inferred (county label "Existing or Permitted" + year built/permit)</t>
        </is>
      </c>
      <c r="G250" t="inlineStr"/>
      <c r="H250" t="inlineStr"/>
      <c r="I250" t="inlineStr">
        <is>
          <t>060386530000</t>
        </is>
      </c>
      <c r="K250" t="n">
        <v>2020</v>
      </c>
      <c r="L250" t="inlineStr"/>
      <c r="M250" t="inlineStr">
        <is>
          <t>County lists as 'Existing or Permitted'; year built 2020, building permit 2020-05-18</t>
        </is>
      </c>
      <c r="N250" t="inlineStr">
        <is>
          <t>https://logis.loudoun.gov/gis/rest/services/Projects/BuildOut_LandUse/MapServer/0/1472?f=html</t>
        </is>
      </c>
      <c r="O250" t="n">
        <v>39.024991</v>
      </c>
      <c r="P250" t="n">
        <v>-77.457562</v>
      </c>
    </row>
    <row r="251">
      <c r="A251" t="n">
        <v>250</v>
      </c>
      <c r="B251" t="inlineStr">
        <is>
          <t>Loudoun</t>
        </is>
      </c>
      <c r="C251" t="inlineStr">
        <is>
          <t>21110 RIDGETOP CIR</t>
        </is>
      </c>
      <c r="D251" t="inlineStr">
        <is>
          <t>Existing/Completed</t>
        </is>
      </c>
      <c r="E251" t="inlineStr">
        <is>
          <t>Existing / operating (inferred)</t>
        </is>
      </c>
      <c r="F251" t="inlineStr">
        <is>
          <t>inferred (county label "Existing or Permitted" + year built/permit)</t>
        </is>
      </c>
      <c r="G251" t="inlineStr"/>
      <c r="H251" t="inlineStr"/>
      <c r="I251" t="inlineStr">
        <is>
          <t>030399036000</t>
        </is>
      </c>
      <c r="K251" t="n">
        <v>2001</v>
      </c>
      <c r="L251" t="inlineStr"/>
      <c r="M251" t="inlineStr">
        <is>
          <t>County lists as 'Existing or Permitted'; year built 2001, building permit 2001-02-12</t>
        </is>
      </c>
      <c r="N251" t="inlineStr">
        <is>
          <t>https://logis.loudoun.gov/gis/rest/services/Projects/BuildOut_LandUse/MapServer/0/1520?f=html</t>
        </is>
      </c>
      <c r="O251" t="n">
        <v>39.024776</v>
      </c>
      <c r="P251" t="n">
        <v>-77.41216900000001</v>
      </c>
    </row>
    <row r="252">
      <c r="A252" t="n">
        <v>251</v>
      </c>
      <c r="B252" t="inlineStr">
        <is>
          <t>Loudoun</t>
        </is>
      </c>
      <c r="C252" t="inlineStr">
        <is>
          <t>45210 PROLOGIS PLZ</t>
        </is>
      </c>
      <c r="D252" t="inlineStr">
        <is>
          <t>Existing/Completed</t>
        </is>
      </c>
      <c r="E252" t="inlineStr">
        <is>
          <t>Existing / operating (inferred)</t>
        </is>
      </c>
      <c r="F252" t="inlineStr">
        <is>
          <t>inferred (county label "Existing or Permitted" + year built/permit)</t>
        </is>
      </c>
      <c r="G252" t="inlineStr"/>
      <c r="H252" t="inlineStr"/>
      <c r="I252" t="inlineStr">
        <is>
          <t>045391908000</t>
        </is>
      </c>
      <c r="K252" t="n">
        <v>2014</v>
      </c>
      <c r="L252" t="inlineStr"/>
      <c r="M252" t="inlineStr">
        <is>
          <t>County lists as 'Existing or Permitted'; year built 2014, building permit 2008-04-09</t>
        </is>
      </c>
      <c r="N252" t="inlineStr">
        <is>
          <t>https://logis.loudoun.gov/gis/rest/services/Projects/BuildOut_LandUse/MapServer/0/1574?f=html</t>
        </is>
      </c>
      <c r="O252" t="n">
        <v>38.990572</v>
      </c>
      <c r="P252" t="n">
        <v>-77.437059</v>
      </c>
    </row>
    <row r="253">
      <c r="A253" t="n">
        <v>252</v>
      </c>
      <c r="B253" t="inlineStr">
        <is>
          <t>Loudoun</t>
        </is>
      </c>
      <c r="C253" t="inlineStr">
        <is>
          <t>21631 RED RUM DR</t>
        </is>
      </c>
      <c r="D253" t="inlineStr">
        <is>
          <t>Existing/Completed</t>
        </is>
      </c>
      <c r="E253" t="inlineStr">
        <is>
          <t>Existing / operating (inferred)</t>
        </is>
      </c>
      <c r="F253" t="inlineStr">
        <is>
          <t>inferred (county label "Existing or Permitted" + year built/permit)</t>
        </is>
      </c>
      <c r="G253" t="inlineStr"/>
      <c r="H253" t="inlineStr"/>
      <c r="I253" t="inlineStr">
        <is>
          <t>088381462000</t>
        </is>
      </c>
      <c r="K253" t="n">
        <v>2008</v>
      </c>
      <c r="L253" t="inlineStr"/>
      <c r="M253" t="inlineStr">
        <is>
          <t>County lists as 'Existing or Permitted'; year built 2008, building permit 2007-09-11</t>
        </is>
      </c>
      <c r="N253" t="inlineStr">
        <is>
          <t>https://logis.loudoun.gov/gis/rest/services/Projects/BuildOut_LandUse/MapServer/0/14332?f=html</t>
        </is>
      </c>
      <c r="O253" t="n">
        <v>39.015688</v>
      </c>
      <c r="P253" t="n">
        <v>-77.482578</v>
      </c>
    </row>
    <row r="254">
      <c r="A254" t="n">
        <v>253</v>
      </c>
      <c r="B254" t="inlineStr">
        <is>
          <t>Loudoun</t>
        </is>
      </c>
      <c r="C254" t="inlineStr">
        <is>
          <t>21635 RED RUM DR</t>
        </is>
      </c>
      <c r="D254" t="inlineStr">
        <is>
          <t>Existing/Completed</t>
        </is>
      </c>
      <c r="E254" t="inlineStr">
        <is>
          <t>Existing / operating (inferred)</t>
        </is>
      </c>
      <c r="F254" t="inlineStr">
        <is>
          <t>inferred (county label "Existing or Permitted" + year built/permit)</t>
        </is>
      </c>
      <c r="G254" t="inlineStr"/>
      <c r="H254" t="inlineStr"/>
      <c r="I254" t="inlineStr">
        <is>
          <t>088381462000</t>
        </is>
      </c>
      <c r="K254" t="n">
        <v>2008</v>
      </c>
      <c r="L254" t="inlineStr"/>
      <c r="M254" t="inlineStr">
        <is>
          <t>County lists as 'Existing or Permitted'; year built 2008, building permit 2007-09-11</t>
        </is>
      </c>
      <c r="N254" t="inlineStr">
        <is>
          <t>https://logis.loudoun.gov/gis/rest/services/Projects/BuildOut_LandUse/MapServer/0/14333?f=html</t>
        </is>
      </c>
      <c r="O254" t="n">
        <v>39.015485</v>
      </c>
      <c r="P254" t="n">
        <v>-77.481724</v>
      </c>
    </row>
    <row r="255">
      <c r="A255" t="n">
        <v>254</v>
      </c>
      <c r="B255" t="inlineStr">
        <is>
          <t>Loudoun</t>
        </is>
      </c>
      <c r="C255" t="inlineStr">
        <is>
          <t>21800 BEAUMEADE CIR</t>
        </is>
      </c>
      <c r="D255" t="inlineStr">
        <is>
          <t>Under construction</t>
        </is>
      </c>
      <c r="E255" t="inlineStr">
        <is>
          <t>Under construction / permitted, not complete (inferred)</t>
        </is>
      </c>
      <c r="F255" t="inlineStr">
        <is>
          <t>inferred (county label "Existing or Permitted" + year built/permit)</t>
        </is>
      </c>
      <c r="G255" t="inlineStr"/>
      <c r="H255" t="inlineStr"/>
      <c r="I255" t="inlineStr">
        <is>
          <t>061307791000</t>
        </is>
      </c>
      <c r="L255" t="inlineStr"/>
      <c r="M255" t="inlineStr">
        <is>
          <t>County lists as 'Existing or Permitted'; year built is placeholder 1000 and building permit issued 2023-05-26 (no completion recorded as of 2025-07-01)</t>
        </is>
      </c>
      <c r="N255" t="inlineStr">
        <is>
          <t>https://logis.loudoun.gov/gis/rest/services/Projects/BuildOut_LandUse/MapServer/0/22465?f=html</t>
        </is>
      </c>
      <c r="O255" t="n">
        <v>39.013818</v>
      </c>
      <c r="P255" t="n">
        <v>-77.45156</v>
      </c>
    </row>
    <row r="256">
      <c r="A256" t="n">
        <v>255</v>
      </c>
      <c r="B256" t="inlineStr">
        <is>
          <t>Loudoun</t>
        </is>
      </c>
      <c r="C256" t="inlineStr">
        <is>
          <t>21711 FILIGREE CT</t>
        </is>
      </c>
      <c r="D256" t="inlineStr">
        <is>
          <t>Existing/Completed</t>
        </is>
      </c>
      <c r="E256" t="inlineStr">
        <is>
          <t>Existing / operating (inferred)</t>
        </is>
      </c>
      <c r="F256" t="inlineStr">
        <is>
          <t>inferred (county label "Existing or Permitted" + year built/permit)</t>
        </is>
      </c>
      <c r="G256" t="inlineStr"/>
      <c r="H256" t="inlineStr"/>
      <c r="I256" t="inlineStr">
        <is>
          <t>061483407000</t>
        </is>
      </c>
      <c r="K256" t="n">
        <v>1998</v>
      </c>
      <c r="L256" t="inlineStr"/>
      <c r="M256" t="inlineStr">
        <is>
          <t>County lists as 'Existing or Permitted'; year built 1998, building permit 1997-12-04</t>
        </is>
      </c>
      <c r="N256" t="inlineStr">
        <is>
          <t>https://logis.loudoun.gov/gis/rest/services/Projects/BuildOut_LandUse/MapServer/0/22470?f=html</t>
        </is>
      </c>
      <c r="O256" t="n">
        <v>39.015547</v>
      </c>
      <c r="P256" t="n">
        <v>-77.46034299999999</v>
      </c>
    </row>
    <row r="257">
      <c r="A257" t="n">
        <v>256</v>
      </c>
      <c r="B257" t="inlineStr">
        <is>
          <t>Loudoun</t>
        </is>
      </c>
      <c r="C257" t="inlineStr">
        <is>
          <t>21721 FILIGREE CT</t>
        </is>
      </c>
      <c r="D257" t="inlineStr">
        <is>
          <t>Existing/Completed</t>
        </is>
      </c>
      <c r="E257" t="inlineStr">
        <is>
          <t>Existing / operating (inferred)</t>
        </is>
      </c>
      <c r="F257" t="inlineStr">
        <is>
          <t>inferred (county label "Existing or Permitted" + year built/permit)</t>
        </is>
      </c>
      <c r="G257" t="inlineStr"/>
      <c r="H257" t="inlineStr"/>
      <c r="I257" t="inlineStr">
        <is>
          <t>061483407000</t>
        </is>
      </c>
      <c r="K257" t="n">
        <v>2010</v>
      </c>
      <c r="L257" t="inlineStr"/>
      <c r="M257" t="inlineStr">
        <is>
          <t>County lists as 'Existing or Permitted'; year built 2010, building permit 2009-10-26</t>
        </is>
      </c>
      <c r="N257" t="inlineStr">
        <is>
          <t>https://logis.loudoun.gov/gis/rest/services/Projects/BuildOut_LandUse/MapServer/0/22471?f=html</t>
        </is>
      </c>
      <c r="O257" t="n">
        <v>39.015195</v>
      </c>
      <c r="P257" t="n">
        <v>-77.459463</v>
      </c>
    </row>
    <row r="258">
      <c r="A258" t="n">
        <v>257</v>
      </c>
      <c r="B258" t="inlineStr">
        <is>
          <t>Loudoun</t>
        </is>
      </c>
      <c r="C258" t="inlineStr">
        <is>
          <t>22340 DRESDEN ST</t>
        </is>
      </c>
      <c r="D258" t="inlineStr">
        <is>
          <t>Existing/Completed</t>
        </is>
      </c>
      <c r="E258" t="inlineStr">
        <is>
          <t>Existing / operating (inferred)</t>
        </is>
      </c>
      <c r="F258" t="inlineStr">
        <is>
          <t>inferred (county label "Existing or Permitted" + year built/permit)</t>
        </is>
      </c>
      <c r="G258" t="inlineStr"/>
      <c r="H258" t="inlineStr"/>
      <c r="I258" t="inlineStr">
        <is>
          <t>044174648000</t>
        </is>
      </c>
      <c r="K258" t="n">
        <v>2001</v>
      </c>
      <c r="L258" t="inlineStr"/>
      <c r="M258" t="inlineStr">
        <is>
          <t>County lists as 'Existing or Permitted'; year built 2001, building permit 2000-06-20</t>
        </is>
      </c>
      <c r="N258" t="inlineStr">
        <is>
          <t>https://logis.loudoun.gov/gis/rest/services/Projects/BuildOut_LandUse/MapServer/0/27978?f=html</t>
        </is>
      </c>
      <c r="O258" t="n">
        <v>38.997879</v>
      </c>
      <c r="P258" t="n">
        <v>-77.443949</v>
      </c>
    </row>
    <row r="259">
      <c r="A259" t="n">
        <v>258</v>
      </c>
      <c r="B259" t="inlineStr">
        <is>
          <t>Loudoun</t>
        </is>
      </c>
      <c r="C259" t="inlineStr">
        <is>
          <t>44664 GUILFORD DR</t>
        </is>
      </c>
      <c r="D259" t="inlineStr">
        <is>
          <t>Existing/Completed</t>
        </is>
      </c>
      <c r="E259" t="inlineStr">
        <is>
          <t>Existing / operating (inferred)</t>
        </is>
      </c>
      <c r="F259" t="inlineStr">
        <is>
          <t>inferred (county label "Existing or Permitted" + year built/permit)</t>
        </is>
      </c>
      <c r="G259" t="inlineStr"/>
      <c r="H259" t="inlineStr"/>
      <c r="I259" t="inlineStr">
        <is>
          <t>060298548000</t>
        </is>
      </c>
      <c r="K259" t="n">
        <v>1990</v>
      </c>
      <c r="L259" t="inlineStr"/>
      <c r="M259" t="inlineStr">
        <is>
          <t>County lists as 'Existing or Permitted'; year built 1990</t>
        </is>
      </c>
      <c r="N259" t="inlineStr">
        <is>
          <t>https://logis.loudoun.gov/gis/rest/services/Projects/BuildOut_LandUse/MapServer/0/28019?f=html</t>
        </is>
      </c>
      <c r="O259" t="n">
        <v>39.022884</v>
      </c>
      <c r="P259" t="n">
        <v>-77.454914</v>
      </c>
    </row>
    <row r="260">
      <c r="A260" t="n">
        <v>259</v>
      </c>
      <c r="B260" t="inlineStr">
        <is>
          <t>Loudoun</t>
        </is>
      </c>
      <c r="C260" t="inlineStr">
        <is>
          <t>44520 HASTINGS DR</t>
        </is>
      </c>
      <c r="D260" t="inlineStr">
        <is>
          <t>Existing/Completed</t>
        </is>
      </c>
      <c r="E260" t="inlineStr">
        <is>
          <t>Existing / operating (inferred)</t>
        </is>
      </c>
      <c r="F260" t="inlineStr">
        <is>
          <t>inferred (county label "Existing or Permitted" + year built/permit)</t>
        </is>
      </c>
      <c r="G260" t="inlineStr"/>
      <c r="H260" t="inlineStr"/>
      <c r="I260" t="inlineStr">
        <is>
          <t>060182916000</t>
        </is>
      </c>
      <c r="K260" t="n">
        <v>2006</v>
      </c>
      <c r="L260" t="inlineStr"/>
      <c r="M260" t="inlineStr">
        <is>
          <t>County lists as 'Existing or Permitted'; year built 2006, building permit 2000-08-30</t>
        </is>
      </c>
      <c r="N260" t="inlineStr">
        <is>
          <t>https://logis.loudoun.gov/gis/rest/services/Projects/BuildOut_LandUse/MapServer/0/28036?f=html</t>
        </is>
      </c>
      <c r="O260" t="n">
        <v>39.019963</v>
      </c>
      <c r="P260" t="n">
        <v>-77.45994399999999</v>
      </c>
    </row>
    <row r="261">
      <c r="A261" t="n">
        <v>260</v>
      </c>
      <c r="B261" t="inlineStr">
        <is>
          <t>Loudoun</t>
        </is>
      </c>
      <c r="C261" t="inlineStr">
        <is>
          <t>45005 RUSSELL BRANCH PKWY</t>
        </is>
      </c>
      <c r="D261" t="inlineStr">
        <is>
          <t>Existing/Completed</t>
        </is>
      </c>
      <c r="E261" t="inlineStr">
        <is>
          <t>Existing / operating (inferred)</t>
        </is>
      </c>
      <c r="F261" t="inlineStr">
        <is>
          <t>inferred (county label "Existing or Permitted" + year built/permit)</t>
        </is>
      </c>
      <c r="G261" t="inlineStr"/>
      <c r="H261" t="inlineStr"/>
      <c r="I261" t="inlineStr">
        <is>
          <t>040464286000</t>
        </is>
      </c>
      <c r="K261" t="n">
        <v>2008</v>
      </c>
      <c r="L261" t="inlineStr"/>
      <c r="M261" t="inlineStr">
        <is>
          <t>County lists as 'Existing or Permitted'; year built 2008, building permit 2007-08-03</t>
        </is>
      </c>
      <c r="N261" t="inlineStr">
        <is>
          <t>https://logis.loudoun.gov/gis/rest/services/Projects/BuildOut_LandUse/MapServer/0/31893?f=html</t>
        </is>
      </c>
      <c r="O261" t="n">
        <v>39.048697</v>
      </c>
      <c r="P261" t="n">
        <v>-77.44537699999999</v>
      </c>
    </row>
    <row r="262">
      <c r="A262" t="n">
        <v>261</v>
      </c>
      <c r="B262" t="inlineStr">
        <is>
          <t>Loudoun</t>
        </is>
      </c>
      <c r="C262" t="inlineStr">
        <is>
          <t>44490 CHILUM PL</t>
        </is>
      </c>
      <c r="D262" t="inlineStr">
        <is>
          <t>Existing/Completed</t>
        </is>
      </c>
      <c r="E262" t="inlineStr">
        <is>
          <t>Existing / operating (inferred)</t>
        </is>
      </c>
      <c r="F262" t="inlineStr">
        <is>
          <t>inferred (county label "Existing or Permitted" + year built/permit)</t>
        </is>
      </c>
      <c r="G262" t="inlineStr"/>
      <c r="H262" t="inlineStr"/>
      <c r="I262" t="inlineStr">
        <is>
          <t>060182916000</t>
        </is>
      </c>
      <c r="K262" t="n">
        <v>2005</v>
      </c>
      <c r="L262" t="inlineStr"/>
      <c r="M262" t="inlineStr">
        <is>
          <t>County lists as 'Existing or Permitted'; year built 2005, building permit 2000-08-30</t>
        </is>
      </c>
      <c r="N262" t="inlineStr">
        <is>
          <t>https://logis.loudoun.gov/gis/rest/services/Projects/BuildOut_LandUse/MapServer/0/33538?f=html</t>
        </is>
      </c>
      <c r="O262" t="n">
        <v>39.021505</v>
      </c>
      <c r="P262" t="n">
        <v>-77.45944</v>
      </c>
    </row>
    <row r="263">
      <c r="A263" t="n">
        <v>262</v>
      </c>
      <c r="B263" t="inlineStr">
        <is>
          <t>Loudoun</t>
        </is>
      </c>
      <c r="C263" t="inlineStr">
        <is>
          <t>44470 CHILUM PL</t>
        </is>
      </c>
      <c r="D263" t="inlineStr">
        <is>
          <t>Existing/Completed</t>
        </is>
      </c>
      <c r="E263" t="inlineStr">
        <is>
          <t>Existing / operating (inferred)</t>
        </is>
      </c>
      <c r="F263" t="inlineStr">
        <is>
          <t>inferred (county label "Existing or Permitted" + year built/permit)</t>
        </is>
      </c>
      <c r="G263" t="inlineStr"/>
      <c r="H263" t="inlineStr"/>
      <c r="I263" t="inlineStr">
        <is>
          <t>060182916000</t>
        </is>
      </c>
      <c r="K263" t="n">
        <v>2001</v>
      </c>
      <c r="L263" t="inlineStr"/>
      <c r="M263" t="inlineStr">
        <is>
          <t>County lists as 'Existing or Permitted'; year built 2001, building permit 2001-05-01</t>
        </is>
      </c>
      <c r="N263" t="inlineStr">
        <is>
          <t>https://logis.loudoun.gov/gis/rest/services/Projects/BuildOut_LandUse/MapServer/0/33542?f=html</t>
        </is>
      </c>
      <c r="O263" t="n">
        <v>39.022256</v>
      </c>
      <c r="P263" t="n">
        <v>-77.461223</v>
      </c>
    </row>
    <row r="264">
      <c r="A264" t="n">
        <v>263</v>
      </c>
      <c r="B264" t="inlineStr">
        <is>
          <t>Loudoun</t>
        </is>
      </c>
      <c r="C264" t="inlineStr">
        <is>
          <t>21571 BEAUMEADE CIR</t>
        </is>
      </c>
      <c r="D264" t="inlineStr">
        <is>
          <t>Existing/Completed</t>
        </is>
      </c>
      <c r="E264" t="inlineStr">
        <is>
          <t>Existing / operating (inferred)</t>
        </is>
      </c>
      <c r="F264" t="inlineStr">
        <is>
          <t>inferred (county label "Existing or Permitted" + year built/permit)</t>
        </is>
      </c>
      <c r="G264" t="inlineStr"/>
      <c r="H264" t="inlineStr"/>
      <c r="I264" t="inlineStr">
        <is>
          <t>060202337000</t>
        </is>
      </c>
      <c r="K264" t="n">
        <v>2001</v>
      </c>
      <c r="L264" t="inlineStr"/>
      <c r="M264" t="inlineStr">
        <is>
          <t>County lists as 'Existing or Permitted'; year built 2001, building permit 1999-11-24</t>
        </is>
      </c>
      <c r="N264" t="inlineStr">
        <is>
          <t>https://logis.loudoun.gov/gis/rest/services/Projects/BuildOut_LandUse/MapServer/0/51205?f=html</t>
        </is>
      </c>
      <c r="O264" t="n">
        <v>39.022182</v>
      </c>
      <c r="P264" t="n">
        <v>-77.45357799999999</v>
      </c>
    </row>
    <row r="265">
      <c r="A265" t="n">
        <v>264</v>
      </c>
      <c r="B265" t="inlineStr">
        <is>
          <t>Loudoun</t>
        </is>
      </c>
      <c r="C265" t="inlineStr">
        <is>
          <t>45360 SEVERN WAY W</t>
        </is>
      </c>
      <c r="D265" t="inlineStr">
        <is>
          <t>Existing/Completed</t>
        </is>
      </c>
      <c r="E265" t="inlineStr">
        <is>
          <t>Existing / operating (inferred)</t>
        </is>
      </c>
      <c r="F265" t="inlineStr">
        <is>
          <t>inferred (county label "Existing or Permitted" + year built/permit)</t>
        </is>
      </c>
      <c r="G265" t="inlineStr"/>
      <c r="H265" t="inlineStr"/>
      <c r="I265" t="inlineStr">
        <is>
          <t>042200988000</t>
        </is>
      </c>
      <c r="K265" t="n">
        <v>2012</v>
      </c>
      <c r="L265" t="inlineStr"/>
      <c r="M265" t="inlineStr">
        <is>
          <t>County lists as 'Existing or Permitted'; year built 2012, building permit 2014-10-07</t>
        </is>
      </c>
      <c r="N265" t="inlineStr">
        <is>
          <t>https://logis.loudoun.gov/gis/rest/services/Projects/BuildOut_LandUse/MapServer/0/51229?f=html</t>
        </is>
      </c>
      <c r="O265" t="n">
        <v>39.021626</v>
      </c>
      <c r="P265" t="n">
        <v>-77.432869</v>
      </c>
    </row>
    <row r="266">
      <c r="A266" t="n">
        <v>265</v>
      </c>
      <c r="B266" t="inlineStr">
        <is>
          <t>Loudoun</t>
        </is>
      </c>
      <c r="C266" t="inlineStr">
        <is>
          <t>1304 SQUIRE CT</t>
        </is>
      </c>
      <c r="D266" t="inlineStr">
        <is>
          <t>Existing/Completed</t>
        </is>
      </c>
      <c r="E266" t="inlineStr">
        <is>
          <t>Existing / operating (inferred)</t>
        </is>
      </c>
      <c r="F266" t="inlineStr">
        <is>
          <t>inferred (county label "Existing or Permitted" + year built/permit)</t>
        </is>
      </c>
      <c r="G266" t="inlineStr"/>
      <c r="H266" t="inlineStr"/>
      <c r="I266" t="inlineStr">
        <is>
          <t>042295813000</t>
        </is>
      </c>
      <c r="K266" t="n">
        <v>2018</v>
      </c>
      <c r="L266" t="inlineStr"/>
      <c r="M266" t="inlineStr">
        <is>
          <t>County lists as 'Existing or Permitted'; year built 2018, building permit 2014-10-07</t>
        </is>
      </c>
      <c r="N266" t="inlineStr">
        <is>
          <t>https://logis.loudoun.gov/gis/rest/services/Projects/BuildOut_LandUse/MapServer/0/51231?f=html</t>
        </is>
      </c>
      <c r="O266" t="n">
        <v>39.021571</v>
      </c>
      <c r="P266" t="n">
        <v>-77.43479499999999</v>
      </c>
    </row>
    <row r="267">
      <c r="A267" t="n">
        <v>266</v>
      </c>
      <c r="B267" t="inlineStr">
        <is>
          <t>Loudoun</t>
        </is>
      </c>
      <c r="C267" t="inlineStr">
        <is>
          <t>45901 NOKES BLVD</t>
        </is>
      </c>
      <c r="D267" t="inlineStr">
        <is>
          <t>Existing/Completed</t>
        </is>
      </c>
      <c r="E267" t="inlineStr">
        <is>
          <t>Existing / operating (inferred)</t>
        </is>
      </c>
      <c r="F267" t="inlineStr">
        <is>
          <t>inferred (county label "Existing or Permitted" + year built/permit)</t>
        </is>
      </c>
      <c r="G267" t="inlineStr"/>
      <c r="H267" t="inlineStr"/>
      <c r="I267" t="inlineStr">
        <is>
          <t>030297084000</t>
        </is>
      </c>
      <c r="K267" t="n">
        <v>1998</v>
      </c>
      <c r="L267" t="inlineStr"/>
      <c r="M267" t="inlineStr">
        <is>
          <t>County lists as 'Existing or Permitted'; year built 1998, building permit 1997-12-18</t>
        </is>
      </c>
      <c r="N267" t="inlineStr">
        <is>
          <t>https://logis.loudoun.gov/gis/rest/services/Projects/BuildOut_LandUse/MapServer/0/51272?f=html</t>
        </is>
      </c>
      <c r="O267" t="n">
        <v>39.023323</v>
      </c>
      <c r="P267" t="n">
        <v>-77.41316399999999</v>
      </c>
    </row>
    <row r="268">
      <c r="A268" t="n">
        <v>267</v>
      </c>
      <c r="B268" t="inlineStr">
        <is>
          <t>Loudoun</t>
        </is>
      </c>
      <c r="C268" t="inlineStr">
        <is>
          <t>21830 UUNET DR</t>
        </is>
      </c>
      <c r="D268" t="inlineStr">
        <is>
          <t>Existing/Completed</t>
        </is>
      </c>
      <c r="E268" t="inlineStr">
        <is>
          <t>Existing / operating (inferred)</t>
        </is>
      </c>
      <c r="F268" t="inlineStr">
        <is>
          <t>inferred (county label "Existing or Permitted" + year built/permit)</t>
        </is>
      </c>
      <c r="G268" t="inlineStr"/>
      <c r="H268" t="inlineStr"/>
      <c r="I268" t="inlineStr">
        <is>
          <t>088200644000</t>
        </is>
      </c>
      <c r="K268" t="n">
        <v>2000</v>
      </c>
      <c r="L268" t="inlineStr"/>
      <c r="M268" t="inlineStr">
        <is>
          <t>County lists as 'Existing or Permitted'; year built 2000, building permit 2000-01-19</t>
        </is>
      </c>
      <c r="N268" t="inlineStr">
        <is>
          <t>https://logis.loudoun.gov/gis/rest/services/Projects/BuildOut_LandUse/MapServer/0/55031?f=html</t>
        </is>
      </c>
      <c r="O268" t="n">
        <v>39.012562</v>
      </c>
      <c r="P268" t="n">
        <v>-77.475194</v>
      </c>
    </row>
    <row r="269">
      <c r="A269" t="n">
        <v>268</v>
      </c>
      <c r="B269" t="inlineStr">
        <is>
          <t>Loudoun</t>
        </is>
      </c>
      <c r="C269" t="inlineStr">
        <is>
          <t>21715 FILIGREE CT</t>
        </is>
      </c>
      <c r="D269" t="inlineStr">
        <is>
          <t>Existing/Completed</t>
        </is>
      </c>
      <c r="E269" t="inlineStr">
        <is>
          <t>Existing / operating (inferred)</t>
        </is>
      </c>
      <c r="F269" t="inlineStr">
        <is>
          <t>inferred (county label "Existing or Permitted" + year built/permit)</t>
        </is>
      </c>
      <c r="G269" t="inlineStr"/>
      <c r="H269" t="inlineStr"/>
      <c r="I269" t="inlineStr">
        <is>
          <t>061483407000</t>
        </is>
      </c>
      <c r="K269" t="n">
        <v>2000</v>
      </c>
      <c r="L269" t="inlineStr"/>
      <c r="M269" t="inlineStr">
        <is>
          <t>County lists as 'Existing or Permitted'; year built 2000, building permit 1999-12-22</t>
        </is>
      </c>
      <c r="N269" t="inlineStr">
        <is>
          <t>https://logis.loudoun.gov/gis/rest/services/Projects/BuildOut_LandUse/MapServer/0/55263?f=html</t>
        </is>
      </c>
      <c r="O269" t="n">
        <v>39.016486</v>
      </c>
      <c r="P269" t="n">
        <v>-77.459074</v>
      </c>
    </row>
    <row r="270">
      <c r="A270" t="n">
        <v>269</v>
      </c>
      <c r="B270" t="inlineStr">
        <is>
          <t>Loudoun</t>
        </is>
      </c>
      <c r="C270" t="inlineStr">
        <is>
          <t>21691 FILIGREE CT</t>
        </is>
      </c>
      <c r="D270" t="inlineStr">
        <is>
          <t>Existing/Completed</t>
        </is>
      </c>
      <c r="E270" t="inlineStr">
        <is>
          <t>Existing / operating (inferred)</t>
        </is>
      </c>
      <c r="F270" t="inlineStr">
        <is>
          <t>inferred (county label "Existing or Permitted" + year built/permit)</t>
        </is>
      </c>
      <c r="G270" t="inlineStr"/>
      <c r="H270" t="inlineStr"/>
      <c r="I270" t="inlineStr">
        <is>
          <t>061483407000</t>
        </is>
      </c>
      <c r="K270" t="n">
        <v>2000</v>
      </c>
      <c r="L270" t="inlineStr"/>
      <c r="M270" t="inlineStr">
        <is>
          <t>County lists as 'Existing or Permitted'; year built 2000, building permit 2000-01-11</t>
        </is>
      </c>
      <c r="N270" t="inlineStr">
        <is>
          <t>https://logis.loudoun.gov/gis/rest/services/Projects/BuildOut_LandUse/MapServer/0/55264?f=html</t>
        </is>
      </c>
      <c r="O270" t="n">
        <v>39.016477</v>
      </c>
      <c r="P270" t="n">
        <v>-77.46195899999999</v>
      </c>
    </row>
    <row r="271">
      <c r="A271" t="n">
        <v>270</v>
      </c>
      <c r="B271" t="inlineStr">
        <is>
          <t>Loudoun</t>
        </is>
      </c>
      <c r="C271" t="inlineStr">
        <is>
          <t>21701 FILIGREE CT</t>
        </is>
      </c>
      <c r="D271" t="inlineStr">
        <is>
          <t>Existing/Completed</t>
        </is>
      </c>
      <c r="E271" t="inlineStr">
        <is>
          <t>Existing / operating (inferred)</t>
        </is>
      </c>
      <c r="F271" t="inlineStr">
        <is>
          <t>inferred (county label "Existing or Permitted" + year built/permit)</t>
        </is>
      </c>
      <c r="G271" t="inlineStr"/>
      <c r="H271" t="inlineStr"/>
      <c r="I271" t="inlineStr">
        <is>
          <t>061483407000</t>
        </is>
      </c>
      <c r="K271" t="n">
        <v>1998</v>
      </c>
      <c r="L271" t="inlineStr"/>
      <c r="M271" t="inlineStr">
        <is>
          <t>County lists as 'Existing or Permitted'; year built 1998, building permit 1997-12-04</t>
        </is>
      </c>
      <c r="N271" t="inlineStr">
        <is>
          <t>https://logis.loudoun.gov/gis/rest/services/Projects/BuildOut_LandUse/MapServer/0/55265?f=html</t>
        </is>
      </c>
      <c r="O271" t="n">
        <v>39.01591</v>
      </c>
      <c r="P271" t="n">
        <v>-77.461172</v>
      </c>
    </row>
    <row r="272">
      <c r="A272" t="n">
        <v>271</v>
      </c>
      <c r="B272" t="inlineStr">
        <is>
          <t>Loudoun</t>
        </is>
      </c>
      <c r="C272" t="inlineStr">
        <is>
          <t>45845 NOKES BLVD</t>
        </is>
      </c>
      <c r="D272" t="inlineStr">
        <is>
          <t>Existing/Completed</t>
        </is>
      </c>
      <c r="E272" t="inlineStr">
        <is>
          <t>Existing / operating (inferred)</t>
        </is>
      </c>
      <c r="F272" t="inlineStr">
        <is>
          <t>inferred (county label "Existing or Permitted" + year built/permit)</t>
        </is>
      </c>
      <c r="G272" t="inlineStr"/>
      <c r="H272" t="inlineStr"/>
      <c r="I272" t="inlineStr">
        <is>
          <t>030391106000</t>
        </is>
      </c>
      <c r="K272" t="n">
        <v>2001</v>
      </c>
      <c r="L272" t="inlineStr"/>
      <c r="M272" t="inlineStr">
        <is>
          <t>County lists as 'Existing or Permitted'; year built 2001, building permit 2000-06-01</t>
        </is>
      </c>
      <c r="N272" t="inlineStr">
        <is>
          <t>https://logis.loudoun.gov/gis/rest/services/Projects/BuildOut_LandUse/MapServer/0/55267?f=html</t>
        </is>
      </c>
      <c r="O272" t="n">
        <v>39.023933</v>
      </c>
      <c r="P272" t="n">
        <v>-77.415159</v>
      </c>
    </row>
    <row r="273">
      <c r="A273" t="n">
        <v>272</v>
      </c>
      <c r="B273" t="inlineStr">
        <is>
          <t>Loudoun</t>
        </is>
      </c>
      <c r="C273" t="inlineStr">
        <is>
          <t>21731 FILIGREE CT</t>
        </is>
      </c>
      <c r="D273" t="inlineStr">
        <is>
          <t>Existing/Completed</t>
        </is>
      </c>
      <c r="E273" t="inlineStr">
        <is>
          <t>Existing / operating (inferred)</t>
        </is>
      </c>
      <c r="F273" t="inlineStr">
        <is>
          <t>inferred (county label "Existing or Permitted" + year built/permit)</t>
        </is>
      </c>
      <c r="G273" t="inlineStr"/>
      <c r="H273" t="inlineStr"/>
      <c r="I273" t="inlineStr">
        <is>
          <t>061483407000</t>
        </is>
      </c>
      <c r="K273" t="n">
        <v>2010</v>
      </c>
      <c r="L273" t="inlineStr"/>
      <c r="M273" t="inlineStr">
        <is>
          <t>County lists as 'Existing or Permitted'; year built 2010</t>
        </is>
      </c>
      <c r="N273" t="inlineStr">
        <is>
          <t>https://logis.loudoun.gov/gis/rest/services/Projects/BuildOut_LandUse/MapServer/0/55272?f=html</t>
        </is>
      </c>
      <c r="O273" t="n">
        <v>39.014876</v>
      </c>
      <c r="P273" t="n">
        <v>-77.45855299999999</v>
      </c>
    </row>
    <row r="274">
      <c r="A274" t="n">
        <v>273</v>
      </c>
      <c r="B274" t="inlineStr">
        <is>
          <t>Loudoun</t>
        </is>
      </c>
      <c r="C274" t="inlineStr">
        <is>
          <t>21301 BEAUMEADE CIR</t>
        </is>
      </c>
      <c r="D274" t="inlineStr">
        <is>
          <t>Existing/Completed</t>
        </is>
      </c>
      <c r="E274" t="inlineStr">
        <is>
          <t>Existing / operating (inferred)</t>
        </is>
      </c>
      <c r="F274" t="inlineStr">
        <is>
          <t>inferred (county label "Existing or Permitted" + year built/permit)</t>
        </is>
      </c>
      <c r="G274" t="inlineStr"/>
      <c r="H274" t="inlineStr"/>
      <c r="I274" t="inlineStr">
        <is>
          <t>061307725000</t>
        </is>
      </c>
      <c r="K274" t="n">
        <v>2006</v>
      </c>
      <c r="L274" t="inlineStr"/>
      <c r="M274" t="inlineStr">
        <is>
          <t>County lists as 'Existing or Permitted'; year built 2006, building permit 2003-04-18</t>
        </is>
      </c>
      <c r="N274" t="inlineStr">
        <is>
          <t>https://logis.loudoun.gov/gis/rest/services/Projects/BuildOut_LandUse/MapServer/0/55273?f=html</t>
        </is>
      </c>
      <c r="O274" t="n">
        <v>39.014766</v>
      </c>
      <c r="P274" t="n">
        <v>-77.451382</v>
      </c>
    </row>
    <row r="275">
      <c r="A275" t="n">
        <v>274</v>
      </c>
      <c r="B275" t="inlineStr">
        <is>
          <t>Loudoun</t>
        </is>
      </c>
      <c r="C275" t="inlineStr">
        <is>
          <t>43881 DEVIN SHAFRON DR</t>
        </is>
      </c>
      <c r="D275" t="inlineStr">
        <is>
          <t>Existing/Completed</t>
        </is>
      </c>
      <c r="E275" t="inlineStr">
        <is>
          <t>Existing / operating (inferred)</t>
        </is>
      </c>
      <c r="F275" t="inlineStr">
        <is>
          <t>inferred (county label "Existing or Permitted" + year built/permit)</t>
        </is>
      </c>
      <c r="G275" t="inlineStr"/>
      <c r="H275" t="inlineStr"/>
      <c r="I275" t="inlineStr">
        <is>
          <t>089278681000</t>
        </is>
      </c>
      <c r="K275" t="n">
        <v>2001</v>
      </c>
      <c r="L275" t="inlineStr"/>
      <c r="M275" t="inlineStr">
        <is>
          <t>County lists as 'Existing or Permitted'; year built 2001</t>
        </is>
      </c>
      <c r="N275" t="inlineStr">
        <is>
          <t>https://logis.loudoun.gov/gis/rest/services/Projects/BuildOut_LandUse/MapServer/0/59727?f=html</t>
        </is>
      </c>
      <c r="O275" t="n">
        <v>39.002055</v>
      </c>
      <c r="P275" t="n">
        <v>-77.483419</v>
      </c>
    </row>
    <row r="276">
      <c r="A276" t="n">
        <v>275</v>
      </c>
      <c r="B276" t="inlineStr">
        <is>
          <t>Loudoun</t>
        </is>
      </c>
      <c r="C276" t="inlineStr">
        <is>
          <t>43791 DEVIN SHAFRON DR</t>
        </is>
      </c>
      <c r="D276" t="inlineStr">
        <is>
          <t>Existing/Completed</t>
        </is>
      </c>
      <c r="E276" t="inlineStr">
        <is>
          <t>Existing / operating (inferred)</t>
        </is>
      </c>
      <c r="F276" t="inlineStr">
        <is>
          <t>inferred (county label "Existing or Permitted" + year built/permit)</t>
        </is>
      </c>
      <c r="G276" t="inlineStr"/>
      <c r="H276" t="inlineStr"/>
      <c r="I276" t="inlineStr">
        <is>
          <t>089367531000</t>
        </is>
      </c>
      <c r="K276" t="n">
        <v>2001</v>
      </c>
      <c r="L276" t="inlineStr"/>
      <c r="M276" t="inlineStr">
        <is>
          <t>County lists as 'Existing or Permitted'; year built 2001, building permit 2000-12-06</t>
        </is>
      </c>
      <c r="N276" t="inlineStr">
        <is>
          <t>https://logis.loudoun.gov/gis/rest/services/Projects/BuildOut_LandUse/MapServer/0/59728?f=html</t>
        </is>
      </c>
      <c r="O276" t="n">
        <v>39.0034</v>
      </c>
      <c r="P276" t="n">
        <v>-77.48713600000001</v>
      </c>
    </row>
    <row r="277">
      <c r="A277" t="n">
        <v>276</v>
      </c>
      <c r="B277" t="inlineStr">
        <is>
          <t>Loudoun</t>
        </is>
      </c>
      <c r="C277" t="inlineStr">
        <is>
          <t>43831 DEVIN SHAFRON DR</t>
        </is>
      </c>
      <c r="D277" t="inlineStr">
        <is>
          <t>Existing/Completed</t>
        </is>
      </c>
      <c r="E277" t="inlineStr">
        <is>
          <t>Existing / operating (inferred)</t>
        </is>
      </c>
      <c r="F277" t="inlineStr">
        <is>
          <t>inferred (county label "Existing or Permitted" + year built/permit)</t>
        </is>
      </c>
      <c r="G277" t="inlineStr"/>
      <c r="H277" t="inlineStr"/>
      <c r="I277" t="inlineStr">
        <is>
          <t>089372808000</t>
        </is>
      </c>
      <c r="K277" t="n">
        <v>2001</v>
      </c>
      <c r="L277" t="inlineStr"/>
      <c r="M277" t="inlineStr">
        <is>
          <t>County lists as 'Existing or Permitted'; year built 2001, building permit 2000-12-06</t>
        </is>
      </c>
      <c r="N277" t="inlineStr">
        <is>
          <t>https://logis.loudoun.gov/gis/rest/services/Projects/BuildOut_LandUse/MapServer/0/59729?f=html</t>
        </is>
      </c>
      <c r="O277" t="n">
        <v>39.002779</v>
      </c>
      <c r="P277" t="n">
        <v>-77.48544699999999</v>
      </c>
    </row>
    <row r="278">
      <c r="A278" t="n">
        <v>277</v>
      </c>
      <c r="B278" t="inlineStr">
        <is>
          <t>Loudoun</t>
        </is>
      </c>
      <c r="C278" t="inlineStr">
        <is>
          <t>22080 PACIFIC BLVD</t>
        </is>
      </c>
      <c r="D278" t="inlineStr">
        <is>
          <t>Existing/Completed</t>
        </is>
      </c>
      <c r="E278" t="inlineStr">
        <is>
          <t>Existing / operating (inferred)</t>
        </is>
      </c>
      <c r="F278" t="inlineStr">
        <is>
          <t>inferred (county label "Existing or Permitted" + year built/permit)</t>
        </is>
      </c>
      <c r="G278" t="inlineStr"/>
      <c r="H278" t="inlineStr"/>
      <c r="I278" t="inlineStr">
        <is>
          <t>044261032000</t>
        </is>
      </c>
      <c r="K278" t="n">
        <v>1998</v>
      </c>
      <c r="L278" t="inlineStr"/>
      <c r="M278" t="inlineStr">
        <is>
          <t>County lists as 'Existing or Permitted'; year built 1998, building permit 1997-09-08</t>
        </is>
      </c>
      <c r="N278" t="inlineStr">
        <is>
          <t>https://logis.loudoun.gov/gis/rest/services/Projects/BuildOut_LandUse/MapServer/0/59739?f=html</t>
        </is>
      </c>
      <c r="O278" t="n">
        <v>39.004715</v>
      </c>
      <c r="P278" t="n">
        <v>-77.44179699999999</v>
      </c>
    </row>
    <row r="279">
      <c r="A279" t="n">
        <v>278</v>
      </c>
      <c r="B279" t="inlineStr">
        <is>
          <t>Loudoun</t>
        </is>
      </c>
      <c r="C279" t="inlineStr">
        <is>
          <t>22520 RANDOLPH DR</t>
        </is>
      </c>
      <c r="D279" t="inlineStr">
        <is>
          <t>Existing/Completed</t>
        </is>
      </c>
      <c r="E279" t="inlineStr">
        <is>
          <t>Existing / operating (inferred)</t>
        </is>
      </c>
      <c r="F279" t="inlineStr">
        <is>
          <t>inferred (county label "Existing or Permitted" + year built/permit)</t>
        </is>
      </c>
      <c r="G279" t="inlineStr"/>
      <c r="H279" t="inlineStr"/>
      <c r="I279" t="inlineStr">
        <is>
          <t>045352692000</t>
        </is>
      </c>
      <c r="K279" t="n">
        <v>2016</v>
      </c>
      <c r="L279" t="inlineStr"/>
      <c r="M279" t="inlineStr">
        <is>
          <t>County lists as 'Existing or Permitted'; year built 2016, building permit 2016-09-20</t>
        </is>
      </c>
      <c r="N279" t="inlineStr">
        <is>
          <t>https://logis.loudoun.gov/gis/rest/services/Projects/BuildOut_LandUse/MapServer/0/66035?f=html</t>
        </is>
      </c>
      <c r="O279" t="n">
        <v>38.993809</v>
      </c>
      <c r="P279" t="n">
        <v>-77.450475</v>
      </c>
    </row>
    <row r="280">
      <c r="A280" t="n">
        <v>279</v>
      </c>
      <c r="B280" t="inlineStr">
        <is>
          <t>Loudoun</t>
        </is>
      </c>
      <c r="C280" t="inlineStr">
        <is>
          <t>22631 DULLES SUMMIT CT</t>
        </is>
      </c>
      <c r="D280" t="inlineStr">
        <is>
          <t>Existing/Completed</t>
        </is>
      </c>
      <c r="E280" t="inlineStr">
        <is>
          <t>Existing / operating (inferred)</t>
        </is>
      </c>
      <c r="F280" t="inlineStr">
        <is>
          <t>inferred (county label "Existing or Permitted" + year built/permit)</t>
        </is>
      </c>
      <c r="G280" t="inlineStr"/>
      <c r="H280" t="inlineStr"/>
      <c r="I280" t="inlineStr">
        <is>
          <t>045358110000</t>
        </is>
      </c>
      <c r="K280" t="n">
        <v>2012</v>
      </c>
      <c r="L280" t="inlineStr"/>
      <c r="M280" t="inlineStr">
        <is>
          <t>County lists as 'Existing or Permitted'; year built 2012, building permit 2011-08-23</t>
        </is>
      </c>
      <c r="N280" t="inlineStr">
        <is>
          <t>https://logis.loudoun.gov/gis/rest/services/Projects/BuildOut_LandUse/MapServer/0/66040?f=html</t>
        </is>
      </c>
      <c r="O280" t="n">
        <v>38.991666</v>
      </c>
      <c r="P280" t="n">
        <v>-77.448486</v>
      </c>
    </row>
    <row r="281">
      <c r="A281" t="n">
        <v>280</v>
      </c>
      <c r="B281" t="inlineStr">
        <is>
          <t>Loudoun</t>
        </is>
      </c>
      <c r="C281" t="inlineStr">
        <is>
          <t>22630 DULLES SUMMIT CT</t>
        </is>
      </c>
      <c r="D281" t="inlineStr">
        <is>
          <t>Existing/Completed</t>
        </is>
      </c>
      <c r="E281" t="inlineStr">
        <is>
          <t>Existing / operating (inferred)</t>
        </is>
      </c>
      <c r="F281" t="inlineStr">
        <is>
          <t>inferred (county label "Existing or Permitted" + year built/permit)</t>
        </is>
      </c>
      <c r="G281" t="inlineStr"/>
      <c r="H281" t="inlineStr"/>
      <c r="I281" t="inlineStr">
        <is>
          <t>045159083000</t>
        </is>
      </c>
      <c r="K281" t="n">
        <v>2015</v>
      </c>
      <c r="L281" t="inlineStr"/>
      <c r="M281" t="inlineStr">
        <is>
          <t>County lists as 'Existing or Permitted'; year built 2015, building permit 2014-10-07</t>
        </is>
      </c>
      <c r="N281" t="inlineStr">
        <is>
          <t>https://logis.loudoun.gov/gis/rest/services/Projects/BuildOut_LandUse/MapServer/0/66047?f=html</t>
        </is>
      </c>
      <c r="O281" t="n">
        <v>38.9887</v>
      </c>
      <c r="P281" t="n">
        <v>-77.447666</v>
      </c>
    </row>
    <row r="282">
      <c r="A282" t="n">
        <v>281</v>
      </c>
      <c r="B282" t="inlineStr">
        <is>
          <t>Loudoun</t>
        </is>
      </c>
      <c r="C282" t="inlineStr">
        <is>
          <t>45900 PATHFINDER PLZ</t>
        </is>
      </c>
      <c r="D282" t="inlineStr">
        <is>
          <t>Existing/Completed</t>
        </is>
      </c>
      <c r="E282" t="inlineStr">
        <is>
          <t>Existing / operating (inferred)</t>
        </is>
      </c>
      <c r="F282" t="inlineStr">
        <is>
          <t>inferred (county label "Existing or Permitted" + year built/permit)</t>
        </is>
      </c>
      <c r="G282" t="inlineStr"/>
      <c r="H282" t="inlineStr"/>
      <c r="I282" t="inlineStr">
        <is>
          <t>033201325000</t>
        </is>
      </c>
      <c r="K282" t="n">
        <v>2017</v>
      </c>
      <c r="L282" t="inlineStr"/>
      <c r="M282" t="inlineStr">
        <is>
          <t>County lists as 'Existing or Permitted'; year built 2017, building permit 2017-01-13</t>
        </is>
      </c>
      <c r="N282" t="inlineStr">
        <is>
          <t>https://logis.loudoun.gov/gis/rest/services/Projects/BuildOut_LandUse/MapServer/0/66546?f=html</t>
        </is>
      </c>
      <c r="O282" t="n">
        <v>38.988516</v>
      </c>
      <c r="P282" t="n">
        <v>-77.411727</v>
      </c>
    </row>
    <row r="283">
      <c r="A283" t="n">
        <v>282</v>
      </c>
      <c r="B283" t="inlineStr">
        <is>
          <t>Loudoun</t>
        </is>
      </c>
      <c r="C283" t="inlineStr">
        <is>
          <t>22995 WILDER CT</t>
        </is>
      </c>
      <c r="D283" t="inlineStr">
        <is>
          <t>Existing/Completed</t>
        </is>
      </c>
      <c r="E283" t="inlineStr">
        <is>
          <t>Existing / operating (inferred)</t>
        </is>
      </c>
      <c r="F283" t="inlineStr">
        <is>
          <t>inferred (county label "Existing or Permitted" + year built/permit)</t>
        </is>
      </c>
      <c r="G283" t="inlineStr"/>
      <c r="H283" t="inlineStr"/>
      <c r="I283" t="inlineStr">
        <is>
          <t>046368231000</t>
        </is>
      </c>
      <c r="K283" t="n">
        <v>2006</v>
      </c>
      <c r="L283" t="inlineStr"/>
      <c r="M283" t="inlineStr">
        <is>
          <t>County lists as 'Existing or Permitted'; year built 2006, building permit 1999-12-30</t>
        </is>
      </c>
      <c r="N283" t="inlineStr">
        <is>
          <t>https://logis.loudoun.gov/gis/rest/services/Projects/BuildOut_LandUse/MapServer/0/69223?f=html</t>
        </is>
      </c>
      <c r="O283" t="n">
        <v>38.980591</v>
      </c>
      <c r="P283" t="n">
        <v>-77.443758</v>
      </c>
    </row>
    <row r="284">
      <c r="A284" t="n">
        <v>283</v>
      </c>
      <c r="B284" t="inlineStr">
        <is>
          <t>Loudoun</t>
        </is>
      </c>
      <c r="C284" t="inlineStr">
        <is>
          <t>22811 INTERNATIONAL DR</t>
        </is>
      </c>
      <c r="D284" t="inlineStr">
        <is>
          <t>Existing/Completed</t>
        </is>
      </c>
      <c r="E284" t="inlineStr">
        <is>
          <t>Existing / operating (inferred)</t>
        </is>
      </c>
      <c r="F284" t="inlineStr">
        <is>
          <t>inferred (county label "Existing or Permitted" + year built/permit)</t>
        </is>
      </c>
      <c r="G284" t="inlineStr"/>
      <c r="H284" t="inlineStr"/>
      <c r="I284" t="inlineStr">
        <is>
          <t>034462865000</t>
        </is>
      </c>
      <c r="K284" t="n">
        <v>1985</v>
      </c>
      <c r="L284" t="inlineStr"/>
      <c r="M284" t="inlineStr">
        <is>
          <t>County lists as 'Existing or Permitted'; year built 1985</t>
        </is>
      </c>
      <c r="N284" t="inlineStr">
        <is>
          <t>https://logis.loudoun.gov/gis/rest/services/Projects/BuildOut_LandUse/MapServer/0/69265?f=html</t>
        </is>
      </c>
      <c r="O284" t="n">
        <v>38.984966</v>
      </c>
      <c r="P284" t="n">
        <v>-77.42566100000001</v>
      </c>
    </row>
    <row r="285">
      <c r="A285" t="n">
        <v>284</v>
      </c>
      <c r="B285" t="inlineStr">
        <is>
          <t>Loudoun</t>
        </is>
      </c>
      <c r="C285" t="inlineStr">
        <is>
          <t>22810 INTERNATIONAL DR</t>
        </is>
      </c>
      <c r="D285" t="inlineStr">
        <is>
          <t>Existing/Completed</t>
        </is>
      </c>
      <c r="E285" t="inlineStr">
        <is>
          <t>Existing / operating (inferred)</t>
        </is>
      </c>
      <c r="F285" t="inlineStr">
        <is>
          <t>inferred (county label "Existing or Permitted" + year built/permit)</t>
        </is>
      </c>
      <c r="G285" t="inlineStr"/>
      <c r="H285" t="inlineStr"/>
      <c r="I285" t="inlineStr">
        <is>
          <t>034468458000</t>
        </is>
      </c>
      <c r="K285" t="n">
        <v>1999</v>
      </c>
      <c r="L285" t="inlineStr"/>
      <c r="M285" t="inlineStr">
        <is>
          <t>County lists as 'Existing or Permitted'; year built 1999, building permit 1999-02-05</t>
        </is>
      </c>
      <c r="N285" t="inlineStr">
        <is>
          <t>https://logis.loudoun.gov/gis/rest/services/Projects/BuildOut_LandUse/MapServer/0/69271?f=html</t>
        </is>
      </c>
      <c r="O285" t="n">
        <v>38.984423</v>
      </c>
      <c r="P285" t="n">
        <v>-77.42381399999999</v>
      </c>
    </row>
    <row r="286">
      <c r="A286" t="n">
        <v>285</v>
      </c>
      <c r="B286" t="inlineStr">
        <is>
          <t>Loudoun</t>
        </is>
      </c>
      <c r="C286" t="inlineStr">
        <is>
          <t>22860 INTERNATIONAL DR</t>
        </is>
      </c>
      <c r="D286" t="inlineStr">
        <is>
          <t>Existing/Completed</t>
        </is>
      </c>
      <c r="E286" t="inlineStr">
        <is>
          <t>Existing / operating (inferred)</t>
        </is>
      </c>
      <c r="F286" t="inlineStr">
        <is>
          <t>inferred (county label "Existing or Permitted" + year built/permit)</t>
        </is>
      </c>
      <c r="G286" t="inlineStr"/>
      <c r="H286" t="inlineStr"/>
      <c r="I286" t="inlineStr">
        <is>
          <t>034468458000</t>
        </is>
      </c>
      <c r="K286" t="n">
        <v>2000</v>
      </c>
      <c r="L286" t="inlineStr"/>
      <c r="M286" t="inlineStr">
        <is>
          <t>County lists as 'Existing or Permitted'; year built 2000, building permit 1999-08-03</t>
        </is>
      </c>
      <c r="N286" t="inlineStr">
        <is>
          <t>https://logis.loudoun.gov/gis/rest/services/Projects/BuildOut_LandUse/MapServer/0/69274?f=html</t>
        </is>
      </c>
      <c r="O286" t="n">
        <v>38.983645</v>
      </c>
      <c r="P286" t="n">
        <v>-77.424088</v>
      </c>
    </row>
    <row r="287">
      <c r="A287" t="n">
        <v>286</v>
      </c>
      <c r="B287" t="inlineStr">
        <is>
          <t>Loudoun</t>
        </is>
      </c>
      <c r="C287" t="inlineStr">
        <is>
          <t>22916 INTERNATIONAL DR</t>
        </is>
      </c>
      <c r="D287" t="inlineStr">
        <is>
          <t>Existing/Completed</t>
        </is>
      </c>
      <c r="E287" t="inlineStr">
        <is>
          <t>Existing / operating (inferred)</t>
        </is>
      </c>
      <c r="F287" t="inlineStr">
        <is>
          <t>inferred (county label "Existing or Permitted" + year built/permit)</t>
        </is>
      </c>
      <c r="G287" t="inlineStr"/>
      <c r="H287" t="inlineStr"/>
      <c r="I287" t="inlineStr">
        <is>
          <t>034365461000</t>
        </is>
      </c>
      <c r="K287" t="n">
        <v>2019</v>
      </c>
      <c r="L287" t="inlineStr"/>
      <c r="M287" t="inlineStr">
        <is>
          <t>County lists as 'Existing or Permitted'; year built 2019, building permit 2018-10-04</t>
        </is>
      </c>
      <c r="N287" t="inlineStr">
        <is>
          <t>https://logis.loudoun.gov/gis/rest/services/Projects/BuildOut_LandUse/MapServer/0/69294?f=html</t>
        </is>
      </c>
      <c r="O287" t="n">
        <v>38.982549</v>
      </c>
      <c r="P287" t="n">
        <v>-77.424623</v>
      </c>
    </row>
    <row r="288">
      <c r="A288" t="n">
        <v>287</v>
      </c>
      <c r="B288" t="inlineStr">
        <is>
          <t>Loudoun</t>
        </is>
      </c>
      <c r="C288" t="inlineStr">
        <is>
          <t>44480 HASTINGS DR</t>
        </is>
      </c>
      <c r="D288" t="inlineStr">
        <is>
          <t>Existing/Completed</t>
        </is>
      </c>
      <c r="E288" t="inlineStr">
        <is>
          <t>Existing / operating (inferred)</t>
        </is>
      </c>
      <c r="F288" t="inlineStr">
        <is>
          <t>inferred (county label "Existing or Permitted" + year built/permit)</t>
        </is>
      </c>
      <c r="G288" t="inlineStr"/>
      <c r="H288" t="inlineStr"/>
      <c r="I288" t="inlineStr">
        <is>
          <t>060178810000</t>
        </is>
      </c>
      <c r="K288" t="n">
        <v>2007</v>
      </c>
      <c r="L288" t="inlineStr"/>
      <c r="M288" t="inlineStr">
        <is>
          <t>County lists as 'Existing or Permitted'; year built 2007, building permit 2006-08-30</t>
        </is>
      </c>
      <c r="N288" t="inlineStr">
        <is>
          <t>https://logis.loudoun.gov/gis/rest/services/Projects/BuildOut_LandUse/MapServer/0/93216?f=html</t>
        </is>
      </c>
      <c r="O288" t="n">
        <v>39.017994</v>
      </c>
      <c r="P288" t="n">
        <v>-77.462594</v>
      </c>
    </row>
    <row r="289">
      <c r="A289" t="n">
        <v>288</v>
      </c>
      <c r="B289" t="inlineStr">
        <is>
          <t>Loudoun</t>
        </is>
      </c>
      <c r="C289" t="inlineStr">
        <is>
          <t>22651 DULLES SUMMIT CT</t>
        </is>
      </c>
      <c r="D289" t="inlineStr">
        <is>
          <t>Existing/Completed</t>
        </is>
      </c>
      <c r="E289" t="inlineStr">
        <is>
          <t>Existing / operating (inferred)</t>
        </is>
      </c>
      <c r="F289" t="inlineStr">
        <is>
          <t>inferred (county label "Existing or Permitted" + year built/permit)</t>
        </is>
      </c>
      <c r="G289" t="inlineStr"/>
      <c r="H289" t="inlineStr"/>
      <c r="I289" t="inlineStr">
        <is>
          <t>045254455000</t>
        </is>
      </c>
      <c r="K289" t="n">
        <v>2012</v>
      </c>
      <c r="L289" t="inlineStr"/>
      <c r="M289" t="inlineStr">
        <is>
          <t>County lists as 'Existing or Permitted'; year built 2012, building permit 2011-08-23</t>
        </is>
      </c>
      <c r="N289" t="inlineStr">
        <is>
          <t>https://logis.loudoun.gov/gis/rest/services/Projects/BuildOut_LandUse/MapServer/0/97918?f=html</t>
        </is>
      </c>
      <c r="O289" t="n">
        <v>38.990671</v>
      </c>
      <c r="P289" t="n">
        <v>-77.448824</v>
      </c>
    </row>
    <row r="290">
      <c r="A290" t="n">
        <v>289</v>
      </c>
      <c r="B290" t="inlineStr">
        <is>
          <t>Loudoun</t>
        </is>
      </c>
      <c r="C290" t="inlineStr">
        <is>
          <t>44461 CHILUM PL</t>
        </is>
      </c>
      <c r="D290" t="inlineStr">
        <is>
          <t>Existing/Completed</t>
        </is>
      </c>
      <c r="E290" t="inlineStr">
        <is>
          <t>Existing / operating (inferred)</t>
        </is>
      </c>
      <c r="F290" t="inlineStr">
        <is>
          <t>inferred (county label "Existing or Permitted" + year built/permit)</t>
        </is>
      </c>
      <c r="G290" t="inlineStr"/>
      <c r="H290" t="inlineStr"/>
      <c r="I290" t="inlineStr">
        <is>
          <t>060170268000</t>
        </is>
      </c>
      <c r="K290" t="n">
        <v>2011</v>
      </c>
      <c r="L290" t="inlineStr"/>
      <c r="M290" t="inlineStr">
        <is>
          <t>County lists as 'Existing or Permitted'; year built 2011, building permit 2010-08-20</t>
        </is>
      </c>
      <c r="N290" t="inlineStr">
        <is>
          <t>https://logis.loudoun.gov/gis/rest/services/Projects/BuildOut_LandUse/MapServer/0/98585?f=html</t>
        </is>
      </c>
      <c r="O290" t="n">
        <v>39.021134</v>
      </c>
      <c r="P290" t="n">
        <v>-77.46352</v>
      </c>
    </row>
    <row r="291">
      <c r="A291" t="n">
        <v>290</v>
      </c>
      <c r="B291" t="inlineStr">
        <is>
          <t>Loudoun</t>
        </is>
      </c>
      <c r="C291" t="inlineStr">
        <is>
          <t>44521 HASTINGS DR</t>
        </is>
      </c>
      <c r="D291" t="inlineStr">
        <is>
          <t>Existing/Completed</t>
        </is>
      </c>
      <c r="E291" t="inlineStr">
        <is>
          <t>Existing / operating (inferred)</t>
        </is>
      </c>
      <c r="F291" t="inlineStr">
        <is>
          <t>inferred (county label "Existing or Permitted" + year built/permit)</t>
        </is>
      </c>
      <c r="G291" t="inlineStr"/>
      <c r="H291" t="inlineStr"/>
      <c r="I291" t="inlineStr">
        <is>
          <t>060170268000</t>
        </is>
      </c>
      <c r="K291" t="n">
        <v>2009</v>
      </c>
      <c r="L291" t="inlineStr"/>
      <c r="M291" t="inlineStr">
        <is>
          <t>County lists as 'Existing or Permitted'; year built 2009, building permit 2008-03-13</t>
        </is>
      </c>
      <c r="N291" t="inlineStr">
        <is>
          <t>https://logis.loudoun.gov/gis/rest/services/Projects/BuildOut_LandUse/MapServer/0/98586?f=html</t>
        </is>
      </c>
      <c r="O291" t="n">
        <v>39.020132</v>
      </c>
      <c r="P291" t="n">
        <v>-77.463019</v>
      </c>
    </row>
    <row r="292">
      <c r="A292" t="n">
        <v>291</v>
      </c>
      <c r="B292" t="inlineStr">
        <is>
          <t>Loudoun</t>
        </is>
      </c>
      <c r="C292" t="inlineStr">
        <is>
          <t>21551 BEAUMEADE CIR</t>
        </is>
      </c>
      <c r="D292" t="inlineStr">
        <is>
          <t>Existing/Completed</t>
        </is>
      </c>
      <c r="E292" t="inlineStr">
        <is>
          <t>Existing / operating (inferred)</t>
        </is>
      </c>
      <c r="F292" t="inlineStr">
        <is>
          <t>inferred (county label "Existing or Permitted" + year built/permit)</t>
        </is>
      </c>
      <c r="G292" t="inlineStr"/>
      <c r="H292" t="inlineStr"/>
      <c r="I292" t="inlineStr">
        <is>
          <t>060108050000</t>
        </is>
      </c>
      <c r="K292" t="n">
        <v>2011</v>
      </c>
      <c r="L292" t="inlineStr"/>
      <c r="M292" t="inlineStr">
        <is>
          <t>County lists as 'Existing or Permitted'; year built 2011, building permit 2011-06-29</t>
        </is>
      </c>
      <c r="N292" t="inlineStr">
        <is>
          <t>https://logis.loudoun.gov/gis/rest/services/Projects/BuildOut_LandUse/MapServer/0/99190?f=html</t>
        </is>
      </c>
      <c r="O292" t="n">
        <v>39.021273</v>
      </c>
      <c r="P292" t="n">
        <v>-77.451634</v>
      </c>
    </row>
    <row r="293">
      <c r="A293" t="n">
        <v>292</v>
      </c>
      <c r="B293" t="inlineStr">
        <is>
          <t>Loudoun</t>
        </is>
      </c>
      <c r="C293" t="inlineStr">
        <is>
          <t>43790 DEVIN SHAFRON DR</t>
        </is>
      </c>
      <c r="D293" t="inlineStr">
        <is>
          <t>Existing/Completed</t>
        </is>
      </c>
      <c r="E293" t="inlineStr">
        <is>
          <t>Existing / operating (inferred)</t>
        </is>
      </c>
      <c r="F293" t="inlineStr">
        <is>
          <t>inferred (county label "Existing or Permitted" + year built/permit)</t>
        </is>
      </c>
      <c r="G293" t="inlineStr"/>
      <c r="H293" t="inlineStr"/>
      <c r="I293" t="inlineStr">
        <is>
          <t>089374763000</t>
        </is>
      </c>
      <c r="K293" t="n">
        <v>2011</v>
      </c>
      <c r="L293" t="inlineStr"/>
      <c r="M293" t="inlineStr">
        <is>
          <t>County lists as 'Existing or Permitted'; year built 2011</t>
        </is>
      </c>
      <c r="N293" t="inlineStr">
        <is>
          <t>https://logis.loudoun.gov/gis/rest/services/Projects/BuildOut_LandUse/MapServer/0/99801?f=html</t>
        </is>
      </c>
      <c r="O293" t="n">
        <v>39.005017</v>
      </c>
      <c r="P293" t="n">
        <v>-77.485495</v>
      </c>
    </row>
    <row r="294">
      <c r="A294" t="n">
        <v>293</v>
      </c>
      <c r="B294" t="inlineStr">
        <is>
          <t>Loudoun</t>
        </is>
      </c>
      <c r="C294" t="inlineStr">
        <is>
          <t>43830 DEVIN SHAFRON DR</t>
        </is>
      </c>
      <c r="D294" t="inlineStr">
        <is>
          <t>Existing/Completed</t>
        </is>
      </c>
      <c r="E294" t="inlineStr">
        <is>
          <t>Existing / operating (inferred)</t>
        </is>
      </c>
      <c r="F294" t="inlineStr">
        <is>
          <t>inferred (county label "Existing or Permitted" + year built/permit)</t>
        </is>
      </c>
      <c r="G294" t="inlineStr"/>
      <c r="H294" t="inlineStr"/>
      <c r="I294" t="inlineStr">
        <is>
          <t>089374763000</t>
        </is>
      </c>
      <c r="K294" t="n">
        <v>2011</v>
      </c>
      <c r="L294" t="inlineStr"/>
      <c r="M294" t="inlineStr">
        <is>
          <t>County lists as 'Existing or Permitted'; year built 2011, building permit 2010-07-23</t>
        </is>
      </c>
      <c r="N294" t="inlineStr">
        <is>
          <t>https://logis.loudoun.gov/gis/rest/services/Projects/BuildOut_LandUse/MapServer/0/99802?f=html</t>
        </is>
      </c>
      <c r="O294" t="n">
        <v>39.004273</v>
      </c>
      <c r="P294" t="n">
        <v>-77.484219</v>
      </c>
    </row>
    <row r="295">
      <c r="A295" t="n">
        <v>294</v>
      </c>
      <c r="B295" t="inlineStr">
        <is>
          <t>Loudoun</t>
        </is>
      </c>
      <c r="C295" t="inlineStr">
        <is>
          <t>43915 DEVIN SHAFRON DR</t>
        </is>
      </c>
      <c r="D295" t="inlineStr">
        <is>
          <t>Existing/Completed</t>
        </is>
      </c>
      <c r="E295" t="inlineStr">
        <is>
          <t>Existing / operating (inferred)</t>
        </is>
      </c>
      <c r="F295" t="inlineStr">
        <is>
          <t>inferred (county label "Existing or Permitted" + year built/permit)</t>
        </is>
      </c>
      <c r="G295" t="inlineStr"/>
      <c r="H295" t="inlineStr"/>
      <c r="I295" t="inlineStr">
        <is>
          <t>089382215000</t>
        </is>
      </c>
      <c r="K295" t="n">
        <v>2010</v>
      </c>
      <c r="L295" t="inlineStr"/>
      <c r="M295" t="inlineStr">
        <is>
          <t>County lists as 'Existing or Permitted'; year built 2010, building permit 2009-07-10</t>
        </is>
      </c>
      <c r="N295" t="inlineStr">
        <is>
          <t>https://logis.loudoun.gov/gis/rest/services/Projects/BuildOut_LandUse/MapServer/0/99803?f=html</t>
        </is>
      </c>
      <c r="O295" t="n">
        <v>39.002612</v>
      </c>
      <c r="P295" t="n">
        <v>-77.481961</v>
      </c>
    </row>
    <row r="296">
      <c r="A296" t="n">
        <v>295</v>
      </c>
      <c r="B296" t="inlineStr">
        <is>
          <t>Loudoun</t>
        </is>
      </c>
      <c r="C296" t="inlineStr">
        <is>
          <t>21561 BEAUMEADE CIR</t>
        </is>
      </c>
      <c r="D296" t="inlineStr">
        <is>
          <t>Existing/Completed</t>
        </is>
      </c>
      <c r="E296" t="inlineStr">
        <is>
          <t>Existing / operating (inferred)</t>
        </is>
      </c>
      <c r="F296" t="inlineStr">
        <is>
          <t>inferred (county label "Existing or Permitted" + year built/permit)</t>
        </is>
      </c>
      <c r="G296" t="inlineStr"/>
      <c r="H296" t="inlineStr"/>
      <c r="I296" t="inlineStr">
        <is>
          <t>060202337000</t>
        </is>
      </c>
      <c r="K296" t="n">
        <v>2000</v>
      </c>
      <c r="L296" t="inlineStr"/>
      <c r="M296" t="inlineStr">
        <is>
          <t>County lists as 'Existing or Permitted'; year built 2000, building permit 1999-11-24</t>
        </is>
      </c>
      <c r="N296" t="inlineStr">
        <is>
          <t>https://logis.loudoun.gov/gis/rest/services/Projects/BuildOut_LandUse/MapServer/0/104712?f=html</t>
        </is>
      </c>
      <c r="O296" t="n">
        <v>39.021742</v>
      </c>
      <c r="P296" t="n">
        <v>-77.452735</v>
      </c>
    </row>
    <row r="297">
      <c r="A297" t="n">
        <v>296</v>
      </c>
      <c r="B297" t="inlineStr">
        <is>
          <t>Loudoun</t>
        </is>
      </c>
      <c r="C297" t="inlineStr">
        <is>
          <t>21625 GRESHAM DR</t>
        </is>
      </c>
      <c r="D297" t="inlineStr">
        <is>
          <t>Existing/Completed</t>
        </is>
      </c>
      <c r="E297" t="inlineStr">
        <is>
          <t>Existing / operating (inferred)</t>
        </is>
      </c>
      <c r="F297" t="inlineStr">
        <is>
          <t>inferred (county label "Existing or Permitted" + year built/permit)</t>
        </is>
      </c>
      <c r="G297" t="inlineStr"/>
      <c r="H297" t="inlineStr"/>
      <c r="I297" t="inlineStr">
        <is>
          <t>061467942000</t>
        </is>
      </c>
      <c r="K297" t="n">
        <v>2014</v>
      </c>
      <c r="L297" t="inlineStr"/>
      <c r="M297" t="inlineStr">
        <is>
          <t>County lists as 'Existing or Permitted'; year built 2014, building permit 2013-06-07</t>
        </is>
      </c>
      <c r="N297" t="inlineStr">
        <is>
          <t>https://logis.loudoun.gov/gis/rest/services/Projects/BuildOut_LandUse/MapServer/0/104796?f=html</t>
        </is>
      </c>
      <c r="O297" t="n">
        <v>39.017509</v>
      </c>
      <c r="P297" t="n">
        <v>-77.46564100000001</v>
      </c>
    </row>
    <row r="298">
      <c r="A298" t="n">
        <v>297</v>
      </c>
      <c r="B298" t="inlineStr">
        <is>
          <t>Loudoun</t>
        </is>
      </c>
      <c r="C298" t="inlineStr">
        <is>
          <t>21735 RED RUM DR</t>
        </is>
      </c>
      <c r="D298" t="inlineStr">
        <is>
          <t>Under construction</t>
        </is>
      </c>
      <c r="E298" t="inlineStr">
        <is>
          <t>Under construction / permitted, not complete (inferred)</t>
        </is>
      </c>
      <c r="F298" t="inlineStr">
        <is>
          <t>inferred (county label "Existing or Permitted" + year built/permit)</t>
        </is>
      </c>
      <c r="G298" t="inlineStr"/>
      <c r="H298" t="inlineStr"/>
      <c r="I298" t="inlineStr">
        <is>
          <t>088392214000</t>
        </is>
      </c>
      <c r="L298" t="inlineStr"/>
      <c r="M298" t="inlineStr">
        <is>
          <t>County lists as 'Existing or Permitted'; year built is placeholder 1000 and building permit issued 2024-06-07 (no completion recorded as of 2025-07-01)</t>
        </is>
      </c>
      <c r="N298" t="inlineStr">
        <is>
          <t>https://logis.loudoun.gov/gis/rest/services/Projects/BuildOut_LandUse/MapServer/0/105098?f=html</t>
        </is>
      </c>
      <c r="O298" t="n">
        <v>39.013884</v>
      </c>
      <c r="P298" t="n">
        <v>-77.477026</v>
      </c>
    </row>
    <row r="299">
      <c r="A299" t="n">
        <v>298</v>
      </c>
      <c r="B299" t="inlineStr">
        <is>
          <t>Loudoun</t>
        </is>
      </c>
      <c r="C299" t="inlineStr">
        <is>
          <t>21741 RED RUM DR</t>
        </is>
      </c>
      <c r="D299" t="inlineStr">
        <is>
          <t>Existing/Completed</t>
        </is>
      </c>
      <c r="E299" t="inlineStr">
        <is>
          <t>Existing / operating (inferred)</t>
        </is>
      </c>
      <c r="F299" t="inlineStr">
        <is>
          <t>inferred (county label "Existing or Permitted" + year built/permit)</t>
        </is>
      </c>
      <c r="G299" t="inlineStr"/>
      <c r="H299" t="inlineStr"/>
      <c r="I299" t="inlineStr">
        <is>
          <t>088389930000</t>
        </is>
      </c>
      <c r="K299" t="n">
        <v>2017</v>
      </c>
      <c r="L299" t="inlineStr"/>
      <c r="M299" t="inlineStr">
        <is>
          <t>County lists as 'Existing or Permitted'; year built 2017, building permit 2012-06-27</t>
        </is>
      </c>
      <c r="N299" t="inlineStr">
        <is>
          <t>https://logis.loudoun.gov/gis/rest/services/Projects/BuildOut_LandUse/MapServer/0/105099?f=html</t>
        </is>
      </c>
      <c r="O299" t="n">
        <v>39.015355</v>
      </c>
      <c r="P299" t="n">
        <v>-77.478284</v>
      </c>
    </row>
    <row r="300">
      <c r="A300" t="n">
        <v>299</v>
      </c>
      <c r="B300" t="inlineStr">
        <is>
          <t>Loudoun</t>
        </is>
      </c>
      <c r="C300" t="inlineStr">
        <is>
          <t>21745 RED RUM DR</t>
        </is>
      </c>
      <c r="D300" t="inlineStr">
        <is>
          <t>Existing/Completed</t>
        </is>
      </c>
      <c r="E300" t="inlineStr">
        <is>
          <t>Existing / operating (inferred)</t>
        </is>
      </c>
      <c r="F300" t="inlineStr">
        <is>
          <t>inferred (county label "Existing or Permitted" + year built/permit)</t>
        </is>
      </c>
      <c r="G300" t="inlineStr"/>
      <c r="H300" t="inlineStr"/>
      <c r="I300" t="inlineStr">
        <is>
          <t>088389930000</t>
        </is>
      </c>
      <c r="K300" t="n">
        <v>2019</v>
      </c>
      <c r="L300" t="inlineStr"/>
      <c r="M300" t="inlineStr">
        <is>
          <t>County lists as 'Existing or Permitted'; year built 2019, building permit 2018-05-07</t>
        </is>
      </c>
      <c r="N300" t="inlineStr">
        <is>
          <t>https://logis.loudoun.gov/gis/rest/services/Projects/BuildOut_LandUse/MapServer/0/105100?f=html</t>
        </is>
      </c>
      <c r="O300" t="n">
        <v>39.014614</v>
      </c>
      <c r="P300" t="n">
        <v>-77.47988599999999</v>
      </c>
    </row>
    <row r="301">
      <c r="A301" t="n">
        <v>300</v>
      </c>
      <c r="B301" t="inlineStr">
        <is>
          <t>Loudoun</t>
        </is>
      </c>
      <c r="C301" t="inlineStr">
        <is>
          <t>44874 MORAN RD</t>
        </is>
      </c>
      <c r="D301" t="inlineStr">
        <is>
          <t>Existing/Completed</t>
        </is>
      </c>
      <c r="E301" t="inlineStr">
        <is>
          <t>Existing / operating (inferred)</t>
        </is>
      </c>
      <c r="F301" t="inlineStr">
        <is>
          <t>inferred (county label "Existing or Permitted" + year built/permit)</t>
        </is>
      </c>
      <c r="G301" t="inlineStr"/>
      <c r="H301" t="inlineStr"/>
      <c r="I301" t="inlineStr">
        <is>
          <t>045458114000</t>
        </is>
      </c>
      <c r="K301" t="n">
        <v>2013</v>
      </c>
      <c r="L301" t="inlineStr"/>
      <c r="M301" t="inlineStr">
        <is>
          <t>County lists as 'Existing or Permitted'; year built 2013, building permit 2012-03-26</t>
        </is>
      </c>
      <c r="N301" t="inlineStr">
        <is>
          <t>https://logis.loudoun.gov/gis/rest/services/Projects/BuildOut_LandUse/MapServer/0/105934?f=html</t>
        </is>
      </c>
      <c r="O301" t="n">
        <v>38.994212</v>
      </c>
      <c r="P301" t="n">
        <v>-77.448283</v>
      </c>
    </row>
    <row r="302">
      <c r="A302" t="n">
        <v>301</v>
      </c>
      <c r="B302" t="inlineStr">
        <is>
          <t>Loudoun</t>
        </is>
      </c>
      <c r="C302" t="inlineStr">
        <is>
          <t>43780 DIGITAL LOUDOUN PLZ</t>
        </is>
      </c>
      <c r="D302" t="inlineStr">
        <is>
          <t>Existing/Completed</t>
        </is>
      </c>
      <c r="E302" t="inlineStr">
        <is>
          <t>Existing / operating (inferred)</t>
        </is>
      </c>
      <c r="F302" t="inlineStr">
        <is>
          <t>inferred (county label "Existing or Permitted" + year built/permit)</t>
        </is>
      </c>
      <c r="G302" t="inlineStr"/>
      <c r="H302" t="inlineStr"/>
      <c r="I302" t="inlineStr">
        <is>
          <t>089291706000</t>
        </is>
      </c>
      <c r="K302" t="n">
        <v>2016</v>
      </c>
      <c r="L302" t="inlineStr"/>
      <c r="M302" t="inlineStr">
        <is>
          <t>County lists as 'Existing or Permitted'; year built 2016, building permit 2016-03-16</t>
        </is>
      </c>
      <c r="N302" t="inlineStr">
        <is>
          <t>https://logis.loudoun.gov/gis/rest/services/Projects/BuildOut_LandUse/MapServer/0/106867?f=html</t>
        </is>
      </c>
      <c r="O302" t="n">
        <v>39.001503</v>
      </c>
      <c r="P302" t="n">
        <v>-77.479308</v>
      </c>
    </row>
    <row r="303">
      <c r="A303" t="n">
        <v>302</v>
      </c>
      <c r="B303" t="inlineStr">
        <is>
          <t>Loudoun</t>
        </is>
      </c>
      <c r="C303" t="inlineStr">
        <is>
          <t>43940 DIGITAL LOUDOUN PLZ</t>
        </is>
      </c>
      <c r="D303" t="inlineStr">
        <is>
          <t>Existing/Completed</t>
        </is>
      </c>
      <c r="E303" t="inlineStr">
        <is>
          <t>Existing / operating (inferred)</t>
        </is>
      </c>
      <c r="F303" t="inlineStr">
        <is>
          <t>inferred (county label "Existing or Permitted" + year built/permit)</t>
        </is>
      </c>
      <c r="G303" t="inlineStr"/>
      <c r="H303" t="inlineStr"/>
      <c r="I303" t="inlineStr">
        <is>
          <t>089291706000</t>
        </is>
      </c>
      <c r="K303" t="n">
        <v>2014</v>
      </c>
      <c r="L303" t="inlineStr"/>
      <c r="M303" t="inlineStr">
        <is>
          <t>County lists as 'Existing or Permitted'; year built 2014, building permit 2013-03-21</t>
        </is>
      </c>
      <c r="N303" t="inlineStr">
        <is>
          <t>https://logis.loudoun.gov/gis/rest/services/Projects/BuildOut_LandUse/MapServer/0/106868?f=html</t>
        </is>
      </c>
      <c r="O303" t="n">
        <v>39.000484</v>
      </c>
      <c r="P303" t="n">
        <v>-77.48052</v>
      </c>
    </row>
    <row r="304">
      <c r="A304" t="n">
        <v>303</v>
      </c>
      <c r="B304" t="inlineStr">
        <is>
          <t>Loudoun</t>
        </is>
      </c>
      <c r="C304" t="inlineStr">
        <is>
          <t>44060 DIGITAL LOUDOUN PLZ</t>
        </is>
      </c>
      <c r="D304" t="inlineStr">
        <is>
          <t>Existing/Completed</t>
        </is>
      </c>
      <c r="E304" t="inlineStr">
        <is>
          <t>Existing / operating (inferred)</t>
        </is>
      </c>
      <c r="F304" t="inlineStr">
        <is>
          <t>inferred (county label "Existing or Permitted" + year built/permit)</t>
        </is>
      </c>
      <c r="G304" t="inlineStr"/>
      <c r="H304" t="inlineStr"/>
      <c r="I304" t="inlineStr">
        <is>
          <t>089291706000</t>
        </is>
      </c>
      <c r="K304" t="n">
        <v>2014</v>
      </c>
      <c r="L304" t="inlineStr"/>
      <c r="M304" t="inlineStr">
        <is>
          <t>County lists as 'Existing or Permitted'; year built 2014, building permit 2013-10-22</t>
        </is>
      </c>
      <c r="N304" t="inlineStr">
        <is>
          <t>https://logis.loudoun.gov/gis/rest/services/Projects/BuildOut_LandUse/MapServer/0/106869?f=html</t>
        </is>
      </c>
      <c r="O304" t="n">
        <v>39.00011</v>
      </c>
      <c r="P304" t="n">
        <v>-77.47807</v>
      </c>
    </row>
    <row r="305">
      <c r="A305" t="n">
        <v>304</v>
      </c>
      <c r="B305" t="inlineStr">
        <is>
          <t>Loudoun</t>
        </is>
      </c>
      <c r="C305" t="inlineStr">
        <is>
          <t>44100 DIGITAL LOUDOUN PLZ</t>
        </is>
      </c>
      <c r="D305" t="inlineStr">
        <is>
          <t>Existing/Completed</t>
        </is>
      </c>
      <c r="E305" t="inlineStr">
        <is>
          <t>Existing / operating (inferred)</t>
        </is>
      </c>
      <c r="F305" t="inlineStr">
        <is>
          <t>inferred (county label "Existing or Permitted" + year built/permit)</t>
        </is>
      </c>
      <c r="G305" t="inlineStr"/>
      <c r="H305" t="inlineStr"/>
      <c r="I305" t="inlineStr">
        <is>
          <t>089291706000</t>
        </is>
      </c>
      <c r="K305" t="n">
        <v>2015</v>
      </c>
      <c r="L305" t="inlineStr"/>
      <c r="M305" t="inlineStr">
        <is>
          <t>County lists as 'Existing or Permitted'; year built 2015, building permit 2015-04-15</t>
        </is>
      </c>
      <c r="N305" t="inlineStr">
        <is>
          <t>https://logis.loudoun.gov/gis/rest/services/Projects/BuildOut_LandUse/MapServer/0/106870?f=html</t>
        </is>
      </c>
      <c r="O305" t="n">
        <v>39.001133</v>
      </c>
      <c r="P305" t="n">
        <v>-77.477407</v>
      </c>
    </row>
    <row r="306">
      <c r="A306" t="n">
        <v>305</v>
      </c>
      <c r="B306" t="inlineStr">
        <is>
          <t>Loudoun</t>
        </is>
      </c>
      <c r="C306" t="inlineStr">
        <is>
          <t>21263 SMITH SWITCH RD</t>
        </is>
      </c>
      <c r="D306" t="inlineStr">
        <is>
          <t>Existing/Completed</t>
        </is>
      </c>
      <c r="E306" t="inlineStr">
        <is>
          <t>Existing / operating (inferred)</t>
        </is>
      </c>
      <c r="F306" t="inlineStr">
        <is>
          <t>inferred (county label "Existing or Permitted" + year built/permit)</t>
        </is>
      </c>
      <c r="G306" t="inlineStr"/>
      <c r="H306" t="inlineStr"/>
      <c r="I306" t="inlineStr">
        <is>
          <t>060485060000</t>
        </is>
      </c>
      <c r="K306" t="n">
        <v>2015</v>
      </c>
      <c r="L306" t="inlineStr"/>
      <c r="M306" t="inlineStr">
        <is>
          <t>County lists as 'Existing or Permitted'; year built 2015, building permit 2014-10-17</t>
        </is>
      </c>
      <c r="N306" t="inlineStr">
        <is>
          <t>https://logis.loudoun.gov/gis/rest/services/Projects/BuildOut_LandUse/MapServer/0/110759?f=html</t>
        </is>
      </c>
      <c r="O306" t="n">
        <v>39.027913</v>
      </c>
      <c r="P306" t="n">
        <v>-77.457504</v>
      </c>
    </row>
    <row r="307">
      <c r="A307" t="n">
        <v>306</v>
      </c>
      <c r="B307" t="inlineStr">
        <is>
          <t>Loudoun</t>
        </is>
      </c>
      <c r="C307" t="inlineStr">
        <is>
          <t>21267 SMITH SWITCH RD</t>
        </is>
      </c>
      <c r="D307" t="inlineStr">
        <is>
          <t>Existing/Completed</t>
        </is>
      </c>
      <c r="E307" t="inlineStr">
        <is>
          <t>Existing / operating (inferred)</t>
        </is>
      </c>
      <c r="F307" t="inlineStr">
        <is>
          <t>inferred (county label "Existing or Permitted" + year built/permit)</t>
        </is>
      </c>
      <c r="G307" t="inlineStr"/>
      <c r="H307" t="inlineStr"/>
      <c r="I307" t="inlineStr">
        <is>
          <t>060485060000</t>
        </is>
      </c>
      <c r="K307" t="n">
        <v>2014</v>
      </c>
      <c r="L307" t="inlineStr"/>
      <c r="M307" t="inlineStr">
        <is>
          <t>County lists as 'Existing or Permitted'; year built 2014, building permit 2014-01-08</t>
        </is>
      </c>
      <c r="N307" t="inlineStr">
        <is>
          <t>https://logis.loudoun.gov/gis/rest/services/Projects/BuildOut_LandUse/MapServer/0/110760?f=html</t>
        </is>
      </c>
      <c r="O307" t="n">
        <v>39.028705</v>
      </c>
      <c r="P307" t="n">
        <v>-77.458322</v>
      </c>
    </row>
    <row r="308">
      <c r="A308" t="n">
        <v>307</v>
      </c>
      <c r="B308" t="inlineStr">
        <is>
          <t>Loudoun</t>
        </is>
      </c>
      <c r="C308" t="inlineStr">
        <is>
          <t>21271 SMITH SWITCH RD</t>
        </is>
      </c>
      <c r="D308" t="inlineStr">
        <is>
          <t>Existing/Completed</t>
        </is>
      </c>
      <c r="E308" t="inlineStr">
        <is>
          <t>Existing / operating (inferred)</t>
        </is>
      </c>
      <c r="F308" t="inlineStr">
        <is>
          <t>inferred (county label "Existing or Permitted" + year built/permit)</t>
        </is>
      </c>
      <c r="G308" t="inlineStr"/>
      <c r="H308" t="inlineStr"/>
      <c r="I308" t="inlineStr">
        <is>
          <t>060485060000</t>
        </is>
      </c>
      <c r="K308" t="n">
        <v>2014</v>
      </c>
      <c r="L308" t="inlineStr"/>
      <c r="M308" t="inlineStr">
        <is>
          <t>County lists as 'Existing or Permitted'; year built 2014, building permit 2013-05-16</t>
        </is>
      </c>
      <c r="N308" t="inlineStr">
        <is>
          <t>https://logis.loudoun.gov/gis/rest/services/Projects/BuildOut_LandUse/MapServer/0/110761?f=html</t>
        </is>
      </c>
      <c r="O308" t="n">
        <v>39.029551</v>
      </c>
      <c r="P308" t="n">
        <v>-77.459523</v>
      </c>
    </row>
    <row r="309">
      <c r="A309" t="n">
        <v>308</v>
      </c>
      <c r="B309" t="inlineStr">
        <is>
          <t>Loudoun</t>
        </is>
      </c>
      <c r="C309" t="inlineStr">
        <is>
          <t>22745 RELOCATION DR</t>
        </is>
      </c>
      <c r="D309" t="inlineStr">
        <is>
          <t>Existing/Completed</t>
        </is>
      </c>
      <c r="E309" t="inlineStr">
        <is>
          <t>Existing / operating (inferred)</t>
        </is>
      </c>
      <c r="F309" t="inlineStr">
        <is>
          <t>inferred (county label "Existing or Permitted" + year built/permit)</t>
        </is>
      </c>
      <c r="G309" t="inlineStr"/>
      <c r="H309" t="inlineStr"/>
      <c r="I309" t="inlineStr">
        <is>
          <t>045175529000</t>
        </is>
      </c>
      <c r="K309" t="n">
        <v>2015</v>
      </c>
      <c r="L309" t="inlineStr"/>
      <c r="M309" t="inlineStr">
        <is>
          <t>County lists as 'Existing or Permitted'; year built 2015, building permit 2014-02-06</t>
        </is>
      </c>
      <c r="N309" t="inlineStr">
        <is>
          <t>https://logis.loudoun.gov/gis/rest/services/Projects/BuildOut_LandUse/MapServer/0/111603?f=html</t>
        </is>
      </c>
      <c r="O309" t="n">
        <v>38.986235</v>
      </c>
      <c r="P309" t="n">
        <v>-77.44187599999999</v>
      </c>
    </row>
    <row r="310">
      <c r="A310" t="n">
        <v>309</v>
      </c>
      <c r="B310" t="inlineStr">
        <is>
          <t>Loudoun</t>
        </is>
      </c>
      <c r="C310" t="inlineStr">
        <is>
          <t>22755 RELOCATION DR</t>
        </is>
      </c>
      <c r="D310" t="inlineStr">
        <is>
          <t>Existing/Completed</t>
        </is>
      </c>
      <c r="E310" t="inlineStr">
        <is>
          <t>Existing / operating (inferred)</t>
        </is>
      </c>
      <c r="F310" t="inlineStr">
        <is>
          <t>inferred (county label "Existing or Permitted" + year built/permit)</t>
        </is>
      </c>
      <c r="G310" t="inlineStr"/>
      <c r="H310" t="inlineStr"/>
      <c r="I310" t="inlineStr">
        <is>
          <t>045175529000</t>
        </is>
      </c>
      <c r="K310" t="n">
        <v>2016</v>
      </c>
      <c r="L310" t="inlineStr"/>
      <c r="M310" t="inlineStr">
        <is>
          <t>County lists as 'Existing or Permitted'; year built 2016, building permit 2014-02-06</t>
        </is>
      </c>
      <c r="N310" t="inlineStr">
        <is>
          <t>https://logis.loudoun.gov/gis/rest/services/Projects/BuildOut_LandUse/MapServer/0/111604?f=html</t>
        </is>
      </c>
      <c r="O310" t="n">
        <v>38.98698</v>
      </c>
      <c r="P310" t="n">
        <v>-77.442691</v>
      </c>
    </row>
    <row r="311">
      <c r="A311" t="n">
        <v>310</v>
      </c>
      <c r="B311" t="inlineStr">
        <is>
          <t>Loudoun</t>
        </is>
      </c>
      <c r="C311" t="inlineStr">
        <is>
          <t>21111 RIDGETOP CIR</t>
        </is>
      </c>
      <c r="D311" t="inlineStr">
        <is>
          <t>Existing/Completed</t>
        </is>
      </c>
      <c r="E311" t="inlineStr">
        <is>
          <t>Existing / operating (inferred)</t>
        </is>
      </c>
      <c r="F311" t="inlineStr">
        <is>
          <t>inferred (county label "Existing or Permitted" + year built/permit)</t>
        </is>
      </c>
      <c r="G311" t="inlineStr"/>
      <c r="H311" t="inlineStr"/>
      <c r="I311" t="inlineStr">
        <is>
          <t>030393965000</t>
        </is>
      </c>
      <c r="K311" t="n">
        <v>2015</v>
      </c>
      <c r="L311" t="inlineStr"/>
      <c r="M311" t="inlineStr">
        <is>
          <t>County lists as 'Existing or Permitted'; year built 2015, building permit 2014-05-15</t>
        </is>
      </c>
      <c r="N311" t="inlineStr">
        <is>
          <t>https://logis.loudoun.gov/gis/rest/services/Projects/BuildOut_LandUse/MapServer/0/114545?f=html</t>
        </is>
      </c>
      <c r="O311" t="n">
        <v>39.026219</v>
      </c>
      <c r="P311" t="n">
        <v>-77.414466</v>
      </c>
    </row>
    <row r="312">
      <c r="A312" t="n">
        <v>311</v>
      </c>
      <c r="B312" t="inlineStr">
        <is>
          <t>Loudoun</t>
        </is>
      </c>
      <c r="C312" t="inlineStr">
        <is>
          <t>25316 PREDICTION LN</t>
        </is>
      </c>
      <c r="D312" t="inlineStr">
        <is>
          <t>Existing/Completed</t>
        </is>
      </c>
      <c r="E312" t="inlineStr">
        <is>
          <t>Existing / operating (inferred)</t>
        </is>
      </c>
      <c r="F312" t="inlineStr">
        <is>
          <t>inferred (county label "Existing or Permitted" + year built/permit)</t>
        </is>
      </c>
      <c r="G312" t="inlineStr"/>
      <c r="H312" t="inlineStr"/>
      <c r="I312" t="inlineStr">
        <is>
          <t>097354183000</t>
        </is>
      </c>
      <c r="K312" t="n">
        <v>2019</v>
      </c>
      <c r="L312" t="inlineStr"/>
      <c r="M312" t="inlineStr">
        <is>
          <t>County lists as 'Existing or Permitted'; year built 2019, building permit 2017-12-08</t>
        </is>
      </c>
      <c r="N312" t="inlineStr">
        <is>
          <t>https://logis.loudoun.gov/gis/rest/services/Projects/BuildOut_LandUse/MapServer/0/117534?f=html</t>
        </is>
      </c>
      <c r="O312" t="n">
        <v>38.916921</v>
      </c>
      <c r="P312" t="n">
        <v>-77.494381</v>
      </c>
    </row>
    <row r="313">
      <c r="A313" t="n">
        <v>312</v>
      </c>
      <c r="B313" t="inlineStr">
        <is>
          <t>Loudoun</t>
        </is>
      </c>
      <c r="C313" t="inlineStr">
        <is>
          <t>25311 PREDICTION LN</t>
        </is>
      </c>
      <c r="D313" t="inlineStr">
        <is>
          <t>Existing/Completed</t>
        </is>
      </c>
      <c r="E313" t="inlineStr">
        <is>
          <t>Existing / operating (inferred)</t>
        </is>
      </c>
      <c r="F313" t="inlineStr">
        <is>
          <t>inferred (county label "Existing or Permitted" + year built/permit)</t>
        </is>
      </c>
      <c r="G313" t="inlineStr"/>
      <c r="H313" t="inlineStr"/>
      <c r="I313" t="inlineStr">
        <is>
          <t>097354183000</t>
        </is>
      </c>
      <c r="K313" t="n">
        <v>2021</v>
      </c>
      <c r="L313" t="inlineStr"/>
      <c r="M313" t="inlineStr">
        <is>
          <t>County lists as 'Existing or Permitted'; year built 2021, building permit 2020-09-08</t>
        </is>
      </c>
      <c r="N313" t="inlineStr">
        <is>
          <t>https://logis.loudoun.gov/gis/rest/services/Projects/BuildOut_LandUse/MapServer/0/117535?f=html</t>
        </is>
      </c>
      <c r="O313" t="n">
        <v>38.917115</v>
      </c>
      <c r="P313" t="n">
        <v>-77.49567</v>
      </c>
    </row>
    <row r="314">
      <c r="A314" t="n">
        <v>313</v>
      </c>
      <c r="B314" t="inlineStr">
        <is>
          <t>Loudoun</t>
        </is>
      </c>
      <c r="C314" t="inlineStr">
        <is>
          <t>43736 CLUBBER LN</t>
        </is>
      </c>
      <c r="D314" t="inlineStr">
        <is>
          <t>Existing/Completed</t>
        </is>
      </c>
      <c r="E314" t="inlineStr">
        <is>
          <t>Existing / operating (inferred)</t>
        </is>
      </c>
      <c r="F314" t="inlineStr">
        <is>
          <t>inferred (county label "Existing or Permitted" + year built/permit)</t>
        </is>
      </c>
      <c r="G314" t="inlineStr"/>
      <c r="H314" t="inlineStr"/>
      <c r="I314" t="inlineStr">
        <is>
          <t>097354183000</t>
        </is>
      </c>
      <c r="K314" t="n">
        <v>2016</v>
      </c>
      <c r="L314" t="inlineStr"/>
      <c r="M314" t="inlineStr">
        <is>
          <t>County lists as 'Existing or Permitted'; year built 2016, building permit 2015-06-05</t>
        </is>
      </c>
      <c r="N314" t="inlineStr">
        <is>
          <t>https://logis.loudoun.gov/gis/rest/services/Projects/BuildOut_LandUse/MapServer/0/117538?f=html</t>
        </is>
      </c>
      <c r="O314" t="n">
        <v>38.915778</v>
      </c>
      <c r="P314" t="n">
        <v>-77.492028</v>
      </c>
    </row>
    <row r="315">
      <c r="A315" t="n">
        <v>314</v>
      </c>
      <c r="B315" t="inlineStr">
        <is>
          <t>Loudoun</t>
        </is>
      </c>
      <c r="C315" t="inlineStr">
        <is>
          <t>43701 CLUBBER LN</t>
        </is>
      </c>
      <c r="D315" t="inlineStr">
        <is>
          <t>Existing/Completed</t>
        </is>
      </c>
      <c r="E315" t="inlineStr">
        <is>
          <t>Existing / operating (inferred)</t>
        </is>
      </c>
      <c r="F315" t="inlineStr">
        <is>
          <t>inferred (county label "Existing or Permitted" + year built/permit)</t>
        </is>
      </c>
      <c r="G315" t="inlineStr"/>
      <c r="H315" t="inlineStr"/>
      <c r="I315" t="inlineStr">
        <is>
          <t>097354183000</t>
        </is>
      </c>
      <c r="K315" t="n">
        <v>2017</v>
      </c>
      <c r="L315" t="inlineStr"/>
      <c r="M315" t="inlineStr">
        <is>
          <t>County lists as 'Existing or Permitted'; year built 2017, building permit 2016-04-05</t>
        </is>
      </c>
      <c r="N315" t="inlineStr">
        <is>
          <t>https://logis.loudoun.gov/gis/rest/services/Projects/BuildOut_LandUse/MapServer/0/117539?f=html</t>
        </is>
      </c>
      <c r="O315" t="n">
        <v>38.916819</v>
      </c>
      <c r="P315" t="n">
        <v>-77.493274</v>
      </c>
    </row>
    <row r="316">
      <c r="A316" t="n">
        <v>315</v>
      </c>
      <c r="B316" t="inlineStr">
        <is>
          <t>Loudoun</t>
        </is>
      </c>
      <c r="C316" t="inlineStr">
        <is>
          <t>102 BLUE SEAL DR SE</t>
        </is>
      </c>
      <c r="D316" t="inlineStr">
        <is>
          <t>Under construction</t>
        </is>
      </c>
      <c r="E316" t="inlineStr">
        <is>
          <t>Under construction / permitted, not complete (inferred)</t>
        </is>
      </c>
      <c r="F316" t="inlineStr">
        <is>
          <t>inferred (county label "Existing or Permitted" + year built/permit)</t>
        </is>
      </c>
      <c r="G316" t="inlineStr"/>
      <c r="H316" t="inlineStr"/>
      <c r="I316" t="inlineStr">
        <is>
          <t>233108602000</t>
        </is>
      </c>
      <c r="L316" t="inlineStr"/>
      <c r="M316" t="inlineStr">
        <is>
          <t>County lists as 'Existing or Permitted'; year built is placeholder 1000 and building permit issued 2023-05-22 (no completion recorded as of 2025-07-01)</t>
        </is>
      </c>
      <c r="N316" t="inlineStr">
        <is>
          <t>https://logis.loudoun.gov/gis/rest/services/Projects/BuildOut_LandUse/MapServer/0/117695?f=html</t>
        </is>
      </c>
      <c r="O316" t="n">
        <v>39.085534</v>
      </c>
      <c r="P316" t="n">
        <v>-77.55640699999999</v>
      </c>
    </row>
    <row r="317">
      <c r="A317" t="n">
        <v>316</v>
      </c>
      <c r="B317" t="inlineStr">
        <is>
          <t>Loudoun</t>
        </is>
      </c>
      <c r="C317" t="inlineStr">
        <is>
          <t>45111 LOUDOUN DOWNS LN</t>
        </is>
      </c>
      <c r="D317" t="inlineStr">
        <is>
          <t>Existing/Completed</t>
        </is>
      </c>
      <c r="E317" t="inlineStr">
        <is>
          <t>Existing / operating (inferred)</t>
        </is>
      </c>
      <c r="F317" t="inlineStr">
        <is>
          <t>inferred (county label "Existing or Permitted" + year built/permit)</t>
        </is>
      </c>
      <c r="G317" t="inlineStr"/>
      <c r="H317" t="inlineStr"/>
      <c r="I317" t="inlineStr">
        <is>
          <t>045282657000</t>
        </is>
      </c>
      <c r="K317" t="n">
        <v>2020</v>
      </c>
      <c r="L317" t="inlineStr"/>
      <c r="M317" t="inlineStr">
        <is>
          <t>County lists as 'Existing or Permitted'; year built 2020, building permit 2015-11-02</t>
        </is>
      </c>
      <c r="N317" t="inlineStr">
        <is>
          <t>https://logis.loudoun.gov/gis/rest/services/Projects/BuildOut_LandUse/MapServer/0/118621?f=html</t>
        </is>
      </c>
      <c r="O317" t="n">
        <v>38.99089</v>
      </c>
      <c r="P317" t="n">
        <v>-77.44172399999999</v>
      </c>
    </row>
    <row r="318">
      <c r="A318" t="n">
        <v>317</v>
      </c>
      <c r="B318" t="inlineStr">
        <is>
          <t>Loudoun</t>
        </is>
      </c>
      <c r="C318" t="inlineStr">
        <is>
          <t>45110 LOUDOUN DOWNS LN</t>
        </is>
      </c>
      <c r="D318" t="inlineStr">
        <is>
          <t>Existing/Completed</t>
        </is>
      </c>
      <c r="E318" t="inlineStr">
        <is>
          <t>Existing / operating (inferred)</t>
        </is>
      </c>
      <c r="F318" t="inlineStr">
        <is>
          <t>inferred (county label "Existing or Permitted" + year built/permit)</t>
        </is>
      </c>
      <c r="G318" t="inlineStr"/>
      <c r="H318" t="inlineStr"/>
      <c r="I318" t="inlineStr">
        <is>
          <t>045282657000</t>
        </is>
      </c>
      <c r="K318" t="n">
        <v>2016</v>
      </c>
      <c r="L318" t="inlineStr"/>
      <c r="M318" t="inlineStr">
        <is>
          <t>County lists as 'Existing or Permitted'; year built 2016, building permit 2015-10-08</t>
        </is>
      </c>
      <c r="N318" t="inlineStr">
        <is>
          <t>https://logis.loudoun.gov/gis/rest/services/Projects/BuildOut_LandUse/MapServer/0/118622?f=html</t>
        </is>
      </c>
      <c r="O318" t="n">
        <v>38.99175</v>
      </c>
      <c r="P318" t="n">
        <v>-77.44101000000001</v>
      </c>
    </row>
    <row r="319">
      <c r="A319" t="n">
        <v>318</v>
      </c>
      <c r="B319" t="inlineStr">
        <is>
          <t>Loudoun</t>
        </is>
      </c>
      <c r="C319" t="inlineStr">
        <is>
          <t>42770 MAIN MARCONI LN</t>
        </is>
      </c>
      <c r="D319" t="inlineStr">
        <is>
          <t>Existing/Completed</t>
        </is>
      </c>
      <c r="E319" t="inlineStr">
        <is>
          <t>Existing / operating (inferred)</t>
        </is>
      </c>
      <c r="F319" t="inlineStr">
        <is>
          <t>inferred (county label "Existing or Permitted" + year built/permit)</t>
        </is>
      </c>
      <c r="G319" t="inlineStr"/>
      <c r="H319" t="inlineStr"/>
      <c r="I319" t="inlineStr">
        <is>
          <t>162392026000</t>
        </is>
      </c>
      <c r="K319" t="n">
        <v>2019</v>
      </c>
      <c r="L319" t="inlineStr"/>
      <c r="M319" t="inlineStr">
        <is>
          <t>County lists as 'Existing or Permitted'; year built 2019, building permit 2019-07-29</t>
        </is>
      </c>
      <c r="N319" t="inlineStr">
        <is>
          <t>https://logis.loudoun.gov/gis/rest/services/Projects/BuildOut_LandUse/MapServer/0/118629?f=html</t>
        </is>
      </c>
      <c r="O319" t="n">
        <v>38.946549</v>
      </c>
      <c r="P319" t="n">
        <v>-77.522178</v>
      </c>
    </row>
    <row r="320">
      <c r="A320" t="n">
        <v>319</v>
      </c>
      <c r="B320" t="inlineStr">
        <is>
          <t>Loudoun</t>
        </is>
      </c>
      <c r="C320" t="inlineStr">
        <is>
          <t>42949 FADELEY LN</t>
        </is>
      </c>
      <c r="D320" t="inlineStr">
        <is>
          <t>Existing/Completed</t>
        </is>
      </c>
      <c r="E320" t="inlineStr">
        <is>
          <t>Existing / operating (inferred)</t>
        </is>
      </c>
      <c r="F320" t="inlineStr">
        <is>
          <t>inferred (county label "Existing or Permitted" + year built/permit)</t>
        </is>
      </c>
      <c r="G320" t="inlineStr"/>
      <c r="H320" t="inlineStr"/>
      <c r="I320" t="inlineStr">
        <is>
          <t>162392026000</t>
        </is>
      </c>
      <c r="K320" t="n">
        <v>2017</v>
      </c>
      <c r="L320" t="inlineStr"/>
      <c r="M320" t="inlineStr">
        <is>
          <t>County lists as 'Existing or Permitted'; year built 2017, building permit 2015-12-08</t>
        </is>
      </c>
      <c r="N320" t="inlineStr">
        <is>
          <t>https://logis.loudoun.gov/gis/rest/services/Projects/BuildOut_LandUse/MapServer/0/118630?f=html</t>
        </is>
      </c>
      <c r="O320" t="n">
        <v>38.949257</v>
      </c>
      <c r="P320" t="n">
        <v>-77.519807</v>
      </c>
    </row>
    <row r="321">
      <c r="A321" t="n">
        <v>320</v>
      </c>
      <c r="B321" t="inlineStr">
        <is>
          <t>Loudoun</t>
        </is>
      </c>
      <c r="C321" t="inlineStr">
        <is>
          <t>42948 FADELEY LN</t>
        </is>
      </c>
      <c r="D321" t="inlineStr">
        <is>
          <t>Existing/Completed</t>
        </is>
      </c>
      <c r="E321" t="inlineStr">
        <is>
          <t>Existing / operating (inferred)</t>
        </is>
      </c>
      <c r="F321" t="inlineStr">
        <is>
          <t>inferred (county label "Existing or Permitted" + year built/permit)</t>
        </is>
      </c>
      <c r="G321" t="inlineStr"/>
      <c r="H321" t="inlineStr"/>
      <c r="I321" t="inlineStr">
        <is>
          <t>162392026000</t>
        </is>
      </c>
      <c r="K321" t="n">
        <v>2018</v>
      </c>
      <c r="L321" t="inlineStr"/>
      <c r="M321" t="inlineStr">
        <is>
          <t>County lists as 'Existing or Permitted'; year built 2018, building permit 2017-06-28</t>
        </is>
      </c>
      <c r="N321" t="inlineStr">
        <is>
          <t>https://logis.loudoun.gov/gis/rest/services/Projects/BuildOut_LandUse/MapServer/0/118631?f=html</t>
        </is>
      </c>
      <c r="O321" t="n">
        <v>38.948857</v>
      </c>
      <c r="P321" t="n">
        <v>-77.52100799999999</v>
      </c>
    </row>
    <row r="322">
      <c r="A322" t="n">
        <v>321</v>
      </c>
      <c r="B322" t="inlineStr">
        <is>
          <t>Loudoun</t>
        </is>
      </c>
      <c r="C322" t="inlineStr">
        <is>
          <t>24185 UPPER WOODSIDE LN</t>
        </is>
      </c>
      <c r="D322" t="inlineStr">
        <is>
          <t>Existing/Completed</t>
        </is>
      </c>
      <c r="E322" t="inlineStr">
        <is>
          <t>Existing / operating (inferred)</t>
        </is>
      </c>
      <c r="F322" t="inlineStr">
        <is>
          <t>inferred (county label "Existing or Permitted" + year built/permit)</t>
        </is>
      </c>
      <c r="G322" t="inlineStr"/>
      <c r="H322" t="inlineStr"/>
      <c r="I322" t="inlineStr">
        <is>
          <t>162392026000</t>
        </is>
      </c>
      <c r="K322" t="n">
        <v>2021</v>
      </c>
      <c r="L322" t="inlineStr"/>
      <c r="M322" t="inlineStr">
        <is>
          <t>County lists as 'Existing or Permitted'; year built 2021, building permit 2020-09-28</t>
        </is>
      </c>
      <c r="N322" t="inlineStr">
        <is>
          <t>https://logis.loudoun.gov/gis/rest/services/Projects/BuildOut_LandUse/MapServer/0/118632?f=html</t>
        </is>
      </c>
      <c r="O322" t="n">
        <v>38.947908</v>
      </c>
      <c r="P322" t="n">
        <v>-77.52295700000001</v>
      </c>
    </row>
    <row r="323">
      <c r="A323" t="n">
        <v>322</v>
      </c>
      <c r="B323" t="inlineStr">
        <is>
          <t>Loudoun</t>
        </is>
      </c>
      <c r="C323" t="inlineStr">
        <is>
          <t>24178 UPPER WOODSIDE LN</t>
        </is>
      </c>
      <c r="D323" t="inlineStr">
        <is>
          <t>Existing/Completed</t>
        </is>
      </c>
      <c r="E323" t="inlineStr">
        <is>
          <t>Existing / operating (inferred)</t>
        </is>
      </c>
      <c r="F323" t="inlineStr">
        <is>
          <t>inferred (county label "Existing or Permitted" + year built/permit)</t>
        </is>
      </c>
      <c r="G323" t="inlineStr"/>
      <c r="H323" t="inlineStr"/>
      <c r="I323" t="inlineStr">
        <is>
          <t>162392026000</t>
        </is>
      </c>
      <c r="K323" t="n">
        <v>2019</v>
      </c>
      <c r="L323" t="inlineStr"/>
      <c r="M323" t="inlineStr">
        <is>
          <t>County lists as 'Existing or Permitted'; year built 2019, building permit 2018-03-29</t>
        </is>
      </c>
      <c r="N323" t="inlineStr">
        <is>
          <t>https://logis.loudoun.gov/gis/rest/services/Projects/BuildOut_LandUse/MapServer/0/118633?f=html</t>
        </is>
      </c>
      <c r="O323" t="n">
        <v>38.948573</v>
      </c>
      <c r="P323" t="n">
        <v>-77.52185900000001</v>
      </c>
    </row>
    <row r="324">
      <c r="A324" t="n">
        <v>323</v>
      </c>
      <c r="B324" t="inlineStr">
        <is>
          <t>Loudoun</t>
        </is>
      </c>
      <c r="C324" t="inlineStr">
        <is>
          <t>44862 INTERCONNECTION PL</t>
        </is>
      </c>
      <c r="D324" t="inlineStr">
        <is>
          <t>Existing/Completed</t>
        </is>
      </c>
      <c r="E324" t="inlineStr">
        <is>
          <t>Existing / operating (inferred)</t>
        </is>
      </c>
      <c r="F324" t="inlineStr">
        <is>
          <t>inferred (county label "Existing or Permitted" + year built/permit)</t>
        </is>
      </c>
      <c r="G324" t="inlineStr"/>
      <c r="H324" t="inlineStr"/>
      <c r="I324" t="inlineStr">
        <is>
          <t>060307119000</t>
        </is>
      </c>
      <c r="K324" t="n">
        <v>2016</v>
      </c>
      <c r="L324" t="inlineStr"/>
      <c r="M324" t="inlineStr">
        <is>
          <t>County lists as 'Existing or Permitted'; year built 2016, building permit 2015-10-15</t>
        </is>
      </c>
      <c r="N324" t="inlineStr">
        <is>
          <t>https://logis.loudoun.gov/gis/rest/services/Projects/BuildOut_LandUse/MapServer/0/118717?f=html</t>
        </is>
      </c>
      <c r="O324" t="n">
        <v>39.026363</v>
      </c>
      <c r="P324" t="n">
        <v>-77.44953</v>
      </c>
    </row>
    <row r="325">
      <c r="A325" t="n">
        <v>324</v>
      </c>
      <c r="B325" t="inlineStr">
        <is>
          <t>Loudoun</t>
        </is>
      </c>
      <c r="C325" t="inlineStr">
        <is>
          <t>44858 INTERCONNECTION PL</t>
        </is>
      </c>
      <c r="D325" t="inlineStr">
        <is>
          <t>Existing/Completed</t>
        </is>
      </c>
      <c r="E325" t="inlineStr">
        <is>
          <t>Existing / operating (inferred)</t>
        </is>
      </c>
      <c r="F325" t="inlineStr">
        <is>
          <t>inferred (county label "Existing or Permitted" + year built/permit)</t>
        </is>
      </c>
      <c r="G325" t="inlineStr"/>
      <c r="H325" t="inlineStr"/>
      <c r="I325" t="inlineStr">
        <is>
          <t>060307119000</t>
        </is>
      </c>
      <c r="K325" t="n">
        <v>2016</v>
      </c>
      <c r="L325" t="inlineStr"/>
      <c r="M325" t="inlineStr">
        <is>
          <t>County lists as 'Existing or Permitted'; year built 2016, building permit 2015-12-04</t>
        </is>
      </c>
      <c r="N325" t="inlineStr">
        <is>
          <t>https://logis.loudoun.gov/gis/rest/services/Projects/BuildOut_LandUse/MapServer/0/118718?f=html</t>
        </is>
      </c>
      <c r="O325" t="n">
        <v>39.026356</v>
      </c>
      <c r="P325" t="n">
        <v>-77.450864</v>
      </c>
    </row>
    <row r="326">
      <c r="A326" t="n">
        <v>325</v>
      </c>
      <c r="B326" t="inlineStr">
        <is>
          <t>Loudoun</t>
        </is>
      </c>
      <c r="C326" t="inlineStr">
        <is>
          <t>21745 SIR TIMOTHY DR</t>
        </is>
      </c>
      <c r="D326" t="inlineStr">
        <is>
          <t>Existing/Completed</t>
        </is>
      </c>
      <c r="E326" t="inlineStr">
        <is>
          <t>Existing / operating (inferred)</t>
        </is>
      </c>
      <c r="F326" t="inlineStr">
        <is>
          <t>inferred (county label "Existing or Permitted" + year built/permit)</t>
        </is>
      </c>
      <c r="G326" t="inlineStr"/>
      <c r="H326" t="inlineStr"/>
      <c r="I326" t="inlineStr">
        <is>
          <t>061361948000</t>
        </is>
      </c>
      <c r="K326" t="n">
        <v>2017</v>
      </c>
      <c r="L326" t="inlineStr"/>
      <c r="M326" t="inlineStr">
        <is>
          <t>County lists as 'Existing or Permitted'; year built 2017, building permit 2016-06-21</t>
        </is>
      </c>
      <c r="N326" t="inlineStr">
        <is>
          <t>https://logis.loudoun.gov/gis/rest/services/Projects/BuildOut_LandUse/MapServer/0/119506?f=html</t>
        </is>
      </c>
      <c r="O326" t="n">
        <v>39.015356</v>
      </c>
      <c r="P326" t="n">
        <v>-77.46712100000001</v>
      </c>
    </row>
    <row r="327">
      <c r="A327" t="n">
        <v>326</v>
      </c>
      <c r="B327" t="inlineStr">
        <is>
          <t>Loudoun</t>
        </is>
      </c>
      <c r="C327" t="inlineStr">
        <is>
          <t>44790 PERFORMANCE CIR</t>
        </is>
      </c>
      <c r="D327" t="inlineStr">
        <is>
          <t>Existing/Completed</t>
        </is>
      </c>
      <c r="E327" t="inlineStr">
        <is>
          <t>Existing / operating (inferred)</t>
        </is>
      </c>
      <c r="F327" t="inlineStr">
        <is>
          <t>inferred (county label "Existing or Permitted" + year built/permit)</t>
        </is>
      </c>
      <c r="G327" t="inlineStr"/>
      <c r="H327" t="inlineStr"/>
      <c r="I327" t="inlineStr">
        <is>
          <t>060209652000</t>
        </is>
      </c>
      <c r="K327" t="n">
        <v>2017</v>
      </c>
      <c r="L327" t="inlineStr"/>
      <c r="M327" t="inlineStr">
        <is>
          <t>County lists as 'Existing or Permitted'; year built 2017, building permit 2017-08-25</t>
        </is>
      </c>
      <c r="N327" t="inlineStr">
        <is>
          <t>https://logis.loudoun.gov/gis/rest/services/Projects/BuildOut_LandUse/MapServer/0/119740?f=html</t>
        </is>
      </c>
      <c r="O327" t="n">
        <v>39.02301</v>
      </c>
      <c r="P327" t="n">
        <v>-77.44977799999999</v>
      </c>
    </row>
    <row r="328">
      <c r="A328" t="n">
        <v>327</v>
      </c>
      <c r="B328" t="inlineStr">
        <is>
          <t>Loudoun</t>
        </is>
      </c>
      <c r="C328" t="inlineStr">
        <is>
          <t>44780 PERFORMANCE CIR</t>
        </is>
      </c>
      <c r="D328" t="inlineStr">
        <is>
          <t>Existing/Completed</t>
        </is>
      </c>
      <c r="E328" t="inlineStr">
        <is>
          <t>Existing / operating (inferred)</t>
        </is>
      </c>
      <c r="F328" t="inlineStr">
        <is>
          <t>inferred (county label "Existing or Permitted" + year built/permit)</t>
        </is>
      </c>
      <c r="G328" t="inlineStr"/>
      <c r="H328" t="inlineStr"/>
      <c r="I328" t="inlineStr">
        <is>
          <t>060209652000</t>
        </is>
      </c>
      <c r="K328" t="n">
        <v>2020</v>
      </c>
      <c r="L328" t="inlineStr"/>
      <c r="M328" t="inlineStr">
        <is>
          <t>County lists as 'Existing or Permitted'; year built 2020, building permit 2018-11-05</t>
        </is>
      </c>
      <c r="N328" t="inlineStr">
        <is>
          <t>https://logis.loudoun.gov/gis/rest/services/Projects/BuildOut_LandUse/MapServer/0/119741?f=html</t>
        </is>
      </c>
      <c r="O328" t="n">
        <v>39.022504</v>
      </c>
      <c r="P328" t="n">
        <v>-77.450226</v>
      </c>
    </row>
    <row r="329">
      <c r="A329" t="n">
        <v>328</v>
      </c>
      <c r="B329" t="inlineStr">
        <is>
          <t>Loudoun</t>
        </is>
      </c>
      <c r="C329" t="inlineStr">
        <is>
          <t>44854 INTERCONNECTION PL</t>
        </is>
      </c>
      <c r="D329" t="inlineStr">
        <is>
          <t>Existing/Completed</t>
        </is>
      </c>
      <c r="E329" t="inlineStr">
        <is>
          <t>Existing / operating (inferred)</t>
        </is>
      </c>
      <c r="F329" t="inlineStr">
        <is>
          <t>inferred (county label "Existing or Permitted" + year built/permit)</t>
        </is>
      </c>
      <c r="G329" t="inlineStr"/>
      <c r="H329" t="inlineStr"/>
      <c r="I329" t="inlineStr">
        <is>
          <t>060307119000</t>
        </is>
      </c>
      <c r="K329" t="n">
        <v>2016</v>
      </c>
      <c r="L329" t="inlineStr"/>
      <c r="M329" t="inlineStr">
        <is>
          <t>County lists as 'Existing or Permitted'; year built 2016, building permit 2016-04-08</t>
        </is>
      </c>
      <c r="N329" t="inlineStr">
        <is>
          <t>https://logis.loudoun.gov/gis/rest/services/Projects/BuildOut_LandUse/MapServer/0/119839?f=html</t>
        </is>
      </c>
      <c r="O329" t="n">
        <v>39.027107</v>
      </c>
      <c r="P329" t="n">
        <v>-77.452861</v>
      </c>
    </row>
    <row r="330">
      <c r="A330" t="n">
        <v>329</v>
      </c>
      <c r="B330" t="inlineStr">
        <is>
          <t>Loudoun</t>
        </is>
      </c>
      <c r="C330" t="inlineStr">
        <is>
          <t>44372 ROUND TABLE PLZ</t>
        </is>
      </c>
      <c r="D330" t="inlineStr">
        <is>
          <t>Existing/Completed</t>
        </is>
      </c>
      <c r="E330" t="inlineStr">
        <is>
          <t>Existing / operating (inferred)</t>
        </is>
      </c>
      <c r="F330" t="inlineStr">
        <is>
          <t>inferred (county label "Existing or Permitted" + year built/permit)</t>
        </is>
      </c>
      <c r="G330" t="inlineStr"/>
      <c r="H330" t="inlineStr"/>
      <c r="I330" t="inlineStr">
        <is>
          <t>062462761000</t>
        </is>
      </c>
      <c r="K330" t="n">
        <v>2018</v>
      </c>
      <c r="L330" t="inlineStr"/>
      <c r="M330" t="inlineStr">
        <is>
          <t>County lists as 'Existing or Permitted'; year built 2018, building permit 2018-03-29</t>
        </is>
      </c>
      <c r="N330" t="inlineStr">
        <is>
          <t>https://logis.loudoun.gov/gis/rest/services/Projects/BuildOut_LandUse/MapServer/0/120044?f=html</t>
        </is>
      </c>
      <c r="O330" t="n">
        <v>39.006249</v>
      </c>
      <c r="P330" t="n">
        <v>-77.468109</v>
      </c>
    </row>
    <row r="331">
      <c r="A331" t="n">
        <v>330</v>
      </c>
      <c r="B331" t="inlineStr">
        <is>
          <t>Loudoun</t>
        </is>
      </c>
      <c r="C331" t="inlineStr">
        <is>
          <t>44274 ROUND TABLE PLZ</t>
        </is>
      </c>
      <c r="D331" t="inlineStr">
        <is>
          <t>Existing/Completed</t>
        </is>
      </c>
      <c r="E331" t="inlineStr">
        <is>
          <t>Existing / operating (inferred)</t>
        </is>
      </c>
      <c r="F331" t="inlineStr">
        <is>
          <t>inferred (county label "Existing or Permitted" + year built/permit)</t>
        </is>
      </c>
      <c r="G331" t="inlineStr"/>
      <c r="H331" t="inlineStr"/>
      <c r="I331" t="inlineStr">
        <is>
          <t>062462761000</t>
        </is>
      </c>
      <c r="K331" t="n">
        <v>2017</v>
      </c>
      <c r="L331" t="inlineStr"/>
      <c r="M331" t="inlineStr">
        <is>
          <t>County lists as 'Existing or Permitted'; year built 2017, building permit 2016-11-17</t>
        </is>
      </c>
      <c r="N331" t="inlineStr">
        <is>
          <t>https://logis.loudoun.gov/gis/rest/services/Projects/BuildOut_LandUse/MapServer/0/120045?f=html</t>
        </is>
      </c>
      <c r="O331" t="n">
        <v>39.007812</v>
      </c>
      <c r="P331" t="n">
        <v>-77.467646</v>
      </c>
    </row>
    <row r="332">
      <c r="A332" t="n">
        <v>331</v>
      </c>
      <c r="B332" t="inlineStr">
        <is>
          <t>Loudoun</t>
        </is>
      </c>
      <c r="C332" t="inlineStr">
        <is>
          <t>44751 ROUND TABLE PLZ</t>
        </is>
      </c>
      <c r="D332" t="inlineStr">
        <is>
          <t>Existing/Completed</t>
        </is>
      </c>
      <c r="E332" t="inlineStr">
        <is>
          <t>Existing / operating (inferred)</t>
        </is>
      </c>
      <c r="F332" t="inlineStr">
        <is>
          <t>inferred (county label "Existing or Permitted" + year built/permit)</t>
        </is>
      </c>
      <c r="G332" t="inlineStr"/>
      <c r="H332" t="inlineStr"/>
      <c r="I332" t="inlineStr">
        <is>
          <t>062493798000</t>
        </is>
      </c>
      <c r="K332" t="n">
        <v>2019</v>
      </c>
      <c r="L332" t="inlineStr"/>
      <c r="M332" t="inlineStr">
        <is>
          <t>County lists as 'Existing or Permitted'; year built 2019, building permit 2018-12-28</t>
        </is>
      </c>
      <c r="N332" t="inlineStr">
        <is>
          <t>https://logis.loudoun.gov/gis/rest/services/Projects/BuildOut_LandUse/MapServer/0/120048?f=html</t>
        </is>
      </c>
      <c r="O332" t="n">
        <v>39.009265</v>
      </c>
      <c r="P332" t="n">
        <v>-77.45722000000001</v>
      </c>
    </row>
    <row r="333">
      <c r="A333" t="n">
        <v>332</v>
      </c>
      <c r="B333" t="inlineStr">
        <is>
          <t>Loudoun</t>
        </is>
      </c>
      <c r="C333" t="inlineStr">
        <is>
          <t>21350 PACIFIC BLVD</t>
        </is>
      </c>
      <c r="D333" t="inlineStr">
        <is>
          <t>Existing/Completed</t>
        </is>
      </c>
      <c r="E333" t="inlineStr">
        <is>
          <t>Existing / operating (inferred)</t>
        </is>
      </c>
      <c r="F333" t="inlineStr">
        <is>
          <t>inferred (county label "Existing or Permitted" + year built/permit)</t>
        </is>
      </c>
      <c r="G333" t="inlineStr"/>
      <c r="H333" t="inlineStr"/>
      <c r="I333" t="inlineStr">
        <is>
          <t>042394385000</t>
        </is>
      </c>
      <c r="K333" t="n">
        <v>2019</v>
      </c>
      <c r="L333" t="inlineStr"/>
      <c r="M333" t="inlineStr">
        <is>
          <t>County lists as 'Existing or Permitted'; year built 2019, building permit 2018-04-27</t>
        </is>
      </c>
      <c r="N333" t="inlineStr">
        <is>
          <t>https://logis.loudoun.gov/gis/rest/services/Projects/BuildOut_LandUse/MapServer/0/121734?f=html</t>
        </is>
      </c>
      <c r="O333" t="n">
        <v>39.024375</v>
      </c>
      <c r="P333" t="n">
        <v>-77.43346699999999</v>
      </c>
    </row>
    <row r="334">
      <c r="A334" t="n">
        <v>333</v>
      </c>
      <c r="B334" t="inlineStr">
        <is>
          <t>Loudoun</t>
        </is>
      </c>
      <c r="C334" t="inlineStr">
        <is>
          <t>45950 PATHFINDER PLZ</t>
        </is>
      </c>
      <c r="D334" t="inlineStr">
        <is>
          <t>Existing/Completed</t>
        </is>
      </c>
      <c r="E334" t="inlineStr">
        <is>
          <t>Existing / operating (inferred)</t>
        </is>
      </c>
      <c r="F334" t="inlineStr">
        <is>
          <t>inferred (county label "Existing or Permitted" + year built/permit)</t>
        </is>
      </c>
      <c r="G334" t="inlineStr"/>
      <c r="H334" t="inlineStr"/>
      <c r="I334" t="inlineStr">
        <is>
          <t>033201325000</t>
        </is>
      </c>
      <c r="K334" t="n">
        <v>2017</v>
      </c>
      <c r="L334" t="inlineStr"/>
      <c r="M334" t="inlineStr">
        <is>
          <t>County lists as 'Existing or Permitted'; year built 2017, building permit 2017-03-10</t>
        </is>
      </c>
      <c r="N334" t="inlineStr">
        <is>
          <t>https://logis.loudoun.gov/gis/rest/services/Projects/BuildOut_LandUse/MapServer/0/122211?f=html</t>
        </is>
      </c>
      <c r="O334" t="n">
        <v>38.986904</v>
      </c>
      <c r="P334" t="n">
        <v>-77.410473</v>
      </c>
    </row>
    <row r="335">
      <c r="A335" t="n">
        <v>334</v>
      </c>
      <c r="B335" t="inlineStr">
        <is>
          <t>Loudoun</t>
        </is>
      </c>
      <c r="C335" t="inlineStr">
        <is>
          <t>45930 PATHFINDER PLZ</t>
        </is>
      </c>
      <c r="D335" t="inlineStr">
        <is>
          <t>Existing/Completed</t>
        </is>
      </c>
      <c r="E335" t="inlineStr">
        <is>
          <t>Existing / operating (inferred)</t>
        </is>
      </c>
      <c r="F335" t="inlineStr">
        <is>
          <t>inferred (county label "Existing or Permitted" + year built/permit)</t>
        </is>
      </c>
      <c r="G335" t="inlineStr"/>
      <c r="H335" t="inlineStr"/>
      <c r="I335" t="inlineStr">
        <is>
          <t>033201325000</t>
        </is>
      </c>
      <c r="K335" t="n">
        <v>2017</v>
      </c>
      <c r="L335" t="inlineStr"/>
      <c r="M335" t="inlineStr">
        <is>
          <t>County lists as 'Existing or Permitted'; year built 2017, building permit 2017-03-10</t>
        </is>
      </c>
      <c r="N335" t="inlineStr">
        <is>
          <t>https://logis.loudoun.gov/gis/rest/services/Projects/BuildOut_LandUse/MapServer/0/122212?f=html</t>
        </is>
      </c>
      <c r="O335" t="n">
        <v>38.987874</v>
      </c>
      <c r="P335" t="n">
        <v>-77.411069</v>
      </c>
    </row>
    <row r="336">
      <c r="A336" t="n">
        <v>335</v>
      </c>
      <c r="B336" t="inlineStr">
        <is>
          <t>Loudoun</t>
        </is>
      </c>
      <c r="C336" t="inlineStr">
        <is>
          <t>44710 GIGABIT PLZ</t>
        </is>
      </c>
      <c r="D336" t="inlineStr">
        <is>
          <t>Existing/Completed</t>
        </is>
      </c>
      <c r="E336" t="inlineStr">
        <is>
          <t>Existing / operating (inferred)</t>
        </is>
      </c>
      <c r="F336" t="inlineStr">
        <is>
          <t>inferred (county label "Existing or Permitted" + year built/permit)</t>
        </is>
      </c>
      <c r="G336" t="inlineStr"/>
      <c r="H336" t="inlineStr"/>
      <c r="I336" t="inlineStr">
        <is>
          <t>087100681000</t>
        </is>
      </c>
      <c r="K336" t="n">
        <v>2023</v>
      </c>
      <c r="L336" t="inlineStr"/>
      <c r="M336" t="inlineStr">
        <is>
          <t>County lists as 'Existing or Permitted'; year built 2023, building permit 2022-08-09</t>
        </is>
      </c>
      <c r="N336" t="inlineStr">
        <is>
          <t>https://logis.loudoun.gov/gis/rest/services/Projects/BuildOut_LandUse/MapServer/0/122248?f=html</t>
        </is>
      </c>
      <c r="O336" t="n">
        <v>39.02019</v>
      </c>
      <c r="P336" t="n">
        <v>-77.475559</v>
      </c>
    </row>
    <row r="337">
      <c r="A337" t="n">
        <v>336</v>
      </c>
      <c r="B337" t="inlineStr">
        <is>
          <t>Loudoun</t>
        </is>
      </c>
      <c r="C337" t="inlineStr">
        <is>
          <t>44495 GIGABIT PLZ</t>
        </is>
      </c>
      <c r="D337" t="inlineStr">
        <is>
          <t>Existing/Completed</t>
        </is>
      </c>
      <c r="E337" t="inlineStr">
        <is>
          <t>Existing / operating (inferred)</t>
        </is>
      </c>
      <c r="F337" t="inlineStr">
        <is>
          <t>inferred (county label "Existing or Permitted" + year built/permit)</t>
        </is>
      </c>
      <c r="G337" t="inlineStr"/>
      <c r="H337" t="inlineStr"/>
      <c r="I337" t="inlineStr">
        <is>
          <t>061450432000</t>
        </is>
      </c>
      <c r="K337" t="n">
        <v>2024</v>
      </c>
      <c r="L337" t="inlineStr"/>
      <c r="M337" t="inlineStr">
        <is>
          <t>County lists as 'Existing or Permitted'; year built 2024, building permit 2022-03-02</t>
        </is>
      </c>
      <c r="N337" t="inlineStr">
        <is>
          <t>https://logis.loudoun.gov/gis/rest/services/Projects/BuildOut_LandUse/MapServer/0/122249?f=html</t>
        </is>
      </c>
      <c r="O337" t="n">
        <v>39.016963</v>
      </c>
      <c r="P337" t="n">
        <v>-77.47346</v>
      </c>
    </row>
    <row r="338">
      <c r="A338" t="n">
        <v>337</v>
      </c>
      <c r="B338" t="inlineStr">
        <is>
          <t>Loudoun</t>
        </is>
      </c>
      <c r="C338" t="inlineStr">
        <is>
          <t>44371 GIGABIT PLZ</t>
        </is>
      </c>
      <c r="D338" t="inlineStr">
        <is>
          <t>Under construction</t>
        </is>
      </c>
      <c r="E338" t="inlineStr">
        <is>
          <t>Under construction / permitted, not complete (inferred)</t>
        </is>
      </c>
      <c r="F338" t="inlineStr">
        <is>
          <t>inferred (county label "Existing or Permitted" + year built/permit)</t>
        </is>
      </c>
      <c r="G338" t="inlineStr"/>
      <c r="H338" t="inlineStr"/>
      <c r="I338" t="inlineStr">
        <is>
          <t>061450432000</t>
        </is>
      </c>
      <c r="L338" t="inlineStr"/>
      <c r="M338" t="inlineStr">
        <is>
          <t>County lists as 'Existing or Permitted'; year built is placeholder 1000 and building permit issued 2025-05-08 (no completion recorded as of 2025-07-01)</t>
        </is>
      </c>
      <c r="N338" t="inlineStr">
        <is>
          <t>https://logis.loudoun.gov/gis/rest/services/Projects/BuildOut_LandUse/MapServer/0/122250?f=html</t>
        </is>
      </c>
      <c r="O338" t="n">
        <v>39.015816</v>
      </c>
      <c r="P338" t="n">
        <v>-77.471807</v>
      </c>
    </row>
    <row r="339">
      <c r="A339" t="n">
        <v>338</v>
      </c>
      <c r="B339" t="inlineStr">
        <is>
          <t>Loudoun</t>
        </is>
      </c>
      <c r="C339" t="inlineStr">
        <is>
          <t>44761 GIGABIT PLZ</t>
        </is>
      </c>
      <c r="D339" t="inlineStr">
        <is>
          <t>Existing/Completed</t>
        </is>
      </c>
      <c r="E339" t="inlineStr">
        <is>
          <t>Existing / operating (inferred)</t>
        </is>
      </c>
      <c r="F339" t="inlineStr">
        <is>
          <t>inferred (county label "Existing or Permitted" + year built/permit)</t>
        </is>
      </c>
      <c r="G339" t="inlineStr"/>
      <c r="H339" t="inlineStr"/>
      <c r="I339" t="inlineStr">
        <is>
          <t>061450432000</t>
        </is>
      </c>
      <c r="K339" t="n">
        <v>2020</v>
      </c>
      <c r="L339" t="inlineStr"/>
      <c r="M339" t="inlineStr">
        <is>
          <t>County lists as 'Existing or Permitted'; year built 2020, building permit 2019-02-14</t>
        </is>
      </c>
      <c r="N339" t="inlineStr">
        <is>
          <t>https://logis.loudoun.gov/gis/rest/services/Projects/BuildOut_LandUse/MapServer/0/122251?f=html</t>
        </is>
      </c>
      <c r="O339" t="n">
        <v>39.018317</v>
      </c>
      <c r="P339" t="n">
        <v>-77.47267100000001</v>
      </c>
    </row>
    <row r="340">
      <c r="A340" t="n">
        <v>339</v>
      </c>
      <c r="B340" t="inlineStr">
        <is>
          <t>Loudoun</t>
        </is>
      </c>
      <c r="C340" t="inlineStr">
        <is>
          <t>44760 GIGABIT PLZ</t>
        </is>
      </c>
      <c r="D340" t="inlineStr">
        <is>
          <t>Existing/Completed</t>
        </is>
      </c>
      <c r="E340" t="inlineStr">
        <is>
          <t>Existing / operating (inferred)</t>
        </is>
      </c>
      <c r="F340" t="inlineStr">
        <is>
          <t>inferred (county label "Existing or Permitted" + year built/permit)</t>
        </is>
      </c>
      <c r="G340" t="inlineStr"/>
      <c r="H340" t="inlineStr"/>
      <c r="I340" t="inlineStr">
        <is>
          <t>061450432000</t>
        </is>
      </c>
      <c r="K340" t="n">
        <v>2019</v>
      </c>
      <c r="L340" t="inlineStr"/>
      <c r="M340" t="inlineStr">
        <is>
          <t>County lists as 'Existing or Permitted'; year built 2019, building permit 2018-09-21</t>
        </is>
      </c>
      <c r="N340" t="inlineStr">
        <is>
          <t>https://logis.loudoun.gov/gis/rest/services/Projects/BuildOut_LandUse/MapServer/0/122252?f=html</t>
        </is>
      </c>
      <c r="O340" t="n">
        <v>39.019928</v>
      </c>
      <c r="P340" t="n">
        <v>-77.472566</v>
      </c>
    </row>
    <row r="341">
      <c r="A341" t="n">
        <v>340</v>
      </c>
      <c r="B341" t="inlineStr">
        <is>
          <t>Loudoun</t>
        </is>
      </c>
      <c r="C341" t="inlineStr">
        <is>
          <t>44245 GIGABIT PLZ</t>
        </is>
      </c>
      <c r="D341" t="inlineStr">
        <is>
          <t>Existing/Completed</t>
        </is>
      </c>
      <c r="E341" t="inlineStr">
        <is>
          <t>Existing / operating (inferred)</t>
        </is>
      </c>
      <c r="F341" t="inlineStr">
        <is>
          <t>inferred (county label "Existing or Permitted" + year built/permit)</t>
        </is>
      </c>
      <c r="G341" t="inlineStr"/>
      <c r="H341" t="inlineStr"/>
      <c r="I341" t="inlineStr">
        <is>
          <t>061450432000</t>
        </is>
      </c>
      <c r="K341" t="n">
        <v>2018</v>
      </c>
      <c r="L341" t="inlineStr"/>
      <c r="M341" t="inlineStr">
        <is>
          <t>County lists as 'Existing or Permitted'; year built 2018, building permit 2017-01-27</t>
        </is>
      </c>
      <c r="N341" t="inlineStr">
        <is>
          <t>https://logis.loudoun.gov/gis/rest/services/Projects/BuildOut_LandUse/MapServer/0/122253?f=html</t>
        </is>
      </c>
      <c r="O341" t="n">
        <v>39.017142</v>
      </c>
      <c r="P341" t="n">
        <v>-77.470299</v>
      </c>
    </row>
    <row r="342">
      <c r="A342" t="n">
        <v>341</v>
      </c>
      <c r="B342" t="inlineStr">
        <is>
          <t>Loudoun</t>
        </is>
      </c>
      <c r="C342" t="inlineStr">
        <is>
          <t>21744 SIR TIMOTHY DR</t>
        </is>
      </c>
      <c r="D342" t="inlineStr">
        <is>
          <t>Existing/Completed</t>
        </is>
      </c>
      <c r="E342" t="inlineStr">
        <is>
          <t>Existing / operating (inferred)</t>
        </is>
      </c>
      <c r="F342" t="inlineStr">
        <is>
          <t>inferred (county label "Existing or Permitted" + year built/permit)</t>
        </is>
      </c>
      <c r="G342" t="inlineStr"/>
      <c r="H342" t="inlineStr"/>
      <c r="I342" t="inlineStr">
        <is>
          <t>061268762000</t>
        </is>
      </c>
      <c r="K342" t="n">
        <v>2018</v>
      </c>
      <c r="L342" t="inlineStr"/>
      <c r="M342" t="inlineStr">
        <is>
          <t>County lists as 'Existing or Permitted'; year built 2018, building permit 2017-06-21</t>
        </is>
      </c>
      <c r="N342" t="inlineStr">
        <is>
          <t>https://logis.loudoun.gov/gis/rest/services/Projects/BuildOut_LandUse/MapServer/0/122691?f=html</t>
        </is>
      </c>
      <c r="O342" t="n">
        <v>39.012825</v>
      </c>
      <c r="P342" t="n">
        <v>-77.465406</v>
      </c>
    </row>
    <row r="343">
      <c r="A343" t="n">
        <v>342</v>
      </c>
      <c r="B343" t="inlineStr">
        <is>
          <t>Loudoun</t>
        </is>
      </c>
      <c r="C343" t="inlineStr">
        <is>
          <t>45305 SEVERN WAY W</t>
        </is>
      </c>
      <c r="D343" t="inlineStr">
        <is>
          <t>Existing/Completed</t>
        </is>
      </c>
      <c r="E343" t="inlineStr">
        <is>
          <t>Existing / operating (inferred)</t>
        </is>
      </c>
      <c r="F343" t="inlineStr">
        <is>
          <t>inferred (county label "Existing or Permitted" + year built/permit)</t>
        </is>
      </c>
      <c r="G343" t="inlineStr"/>
      <c r="H343" t="inlineStr"/>
      <c r="I343" t="inlineStr">
        <is>
          <t>042197707000</t>
        </is>
      </c>
      <c r="K343" t="n">
        <v>2017</v>
      </c>
      <c r="L343" t="inlineStr"/>
      <c r="M343" t="inlineStr">
        <is>
          <t>County lists as 'Existing or Permitted'; year built 2017, building permit 2017-06-02</t>
        </is>
      </c>
      <c r="N343" t="inlineStr">
        <is>
          <t>https://logis.loudoun.gov/gis/rest/services/Projects/BuildOut_LandUse/MapServer/0/123268?f=html</t>
        </is>
      </c>
      <c r="O343" t="n">
        <v>39.019209</v>
      </c>
      <c r="P343" t="n">
        <v>-77.434011</v>
      </c>
    </row>
    <row r="344">
      <c r="A344" t="n">
        <v>343</v>
      </c>
      <c r="B344" t="inlineStr">
        <is>
          <t>Loudoun</t>
        </is>
      </c>
      <c r="C344" t="inlineStr">
        <is>
          <t>45295 SEVERN WAY W</t>
        </is>
      </c>
      <c r="D344" t="inlineStr">
        <is>
          <t>Existing/Completed</t>
        </is>
      </c>
      <c r="E344" t="inlineStr">
        <is>
          <t>Existing / operating (inferred)</t>
        </is>
      </c>
      <c r="F344" t="inlineStr">
        <is>
          <t>inferred (county label "Existing or Permitted" + year built/permit)</t>
        </is>
      </c>
      <c r="G344" t="inlineStr"/>
      <c r="H344" t="inlineStr"/>
      <c r="I344" t="inlineStr">
        <is>
          <t>042197707000</t>
        </is>
      </c>
      <c r="K344" t="n">
        <v>2017</v>
      </c>
      <c r="L344" t="inlineStr"/>
      <c r="M344" t="inlineStr">
        <is>
          <t>County lists as 'Existing or Permitted'; year built 2017, building permit 2017-06-02</t>
        </is>
      </c>
      <c r="N344" t="inlineStr">
        <is>
          <t>https://logis.loudoun.gov/gis/rest/services/Projects/BuildOut_LandUse/MapServer/0/123269?f=html</t>
        </is>
      </c>
      <c r="O344" t="n">
        <v>39.020261</v>
      </c>
      <c r="P344" t="n">
        <v>-77.433949</v>
      </c>
    </row>
    <row r="345">
      <c r="A345" t="n">
        <v>344</v>
      </c>
      <c r="B345" t="inlineStr">
        <is>
          <t>Loudoun</t>
        </is>
      </c>
      <c r="C345" t="inlineStr">
        <is>
          <t>22271 BRODERICK DR</t>
        </is>
      </c>
      <c r="D345" t="inlineStr">
        <is>
          <t>Existing/Completed</t>
        </is>
      </c>
      <c r="E345" t="inlineStr">
        <is>
          <t>Existing / operating (inferred)</t>
        </is>
      </c>
      <c r="F345" t="inlineStr">
        <is>
          <t>inferred (county label "Existing or Permitted" + year built/permit)</t>
        </is>
      </c>
      <c r="G345" t="inlineStr"/>
      <c r="H345" t="inlineStr"/>
      <c r="I345" t="inlineStr">
        <is>
          <t>044152877000</t>
        </is>
      </c>
      <c r="K345" t="n">
        <v>2019</v>
      </c>
      <c r="L345" t="inlineStr"/>
      <c r="M345" t="inlineStr">
        <is>
          <t>County lists as 'Existing or Permitted'; year built 2019, building permit 2017-08-29</t>
        </is>
      </c>
      <c r="N345" t="inlineStr">
        <is>
          <t>https://logis.loudoun.gov/gis/rest/services/Projects/BuildOut_LandUse/MapServer/0/123904?f=html</t>
        </is>
      </c>
      <c r="O345" t="n">
        <v>38.999497</v>
      </c>
      <c r="P345" t="n">
        <v>-77.450148</v>
      </c>
    </row>
    <row r="346">
      <c r="A346" t="n">
        <v>345</v>
      </c>
      <c r="B346" t="inlineStr">
        <is>
          <t>Loudoun</t>
        </is>
      </c>
      <c r="C346" t="inlineStr">
        <is>
          <t>19540 COMPASS CREEK PKWY</t>
        </is>
      </c>
      <c r="D346" t="inlineStr">
        <is>
          <t>Under construction</t>
        </is>
      </c>
      <c r="E346" t="inlineStr">
        <is>
          <t>Under construction / permitted, not complete (inferred)</t>
        </is>
      </c>
      <c r="F346" t="inlineStr">
        <is>
          <t>inferred (county label "Existing or Permitted" + year built/permit)</t>
        </is>
      </c>
      <c r="G346" t="inlineStr"/>
      <c r="H346" t="inlineStr"/>
      <c r="I346" t="inlineStr">
        <is>
          <t>235297431000</t>
        </is>
      </c>
      <c r="L346" t="inlineStr"/>
      <c r="M346" t="inlineStr">
        <is>
          <t>County lists as 'Existing or Permitted'; year built is placeholder 1000 and building permit issued 2023-09-14 (no completion recorded as of 2025-07-01)</t>
        </is>
      </c>
      <c r="N346" t="inlineStr">
        <is>
          <t>https://logis.loudoun.gov/gis/rest/services/Projects/BuildOut_LandUse/MapServer/0/123937?f=html</t>
        </is>
      </c>
      <c r="O346" t="n">
        <v>39.07639</v>
      </c>
      <c r="P346" t="n">
        <v>-77.561131</v>
      </c>
    </row>
    <row r="347">
      <c r="A347" t="n">
        <v>346</v>
      </c>
      <c r="B347" t="inlineStr">
        <is>
          <t>Loudoun</t>
        </is>
      </c>
      <c r="C347" t="inlineStr">
        <is>
          <t>45905 MARIES RD</t>
        </is>
      </c>
      <c r="D347" t="inlineStr">
        <is>
          <t>Existing/Completed</t>
        </is>
      </c>
      <c r="E347" t="inlineStr">
        <is>
          <t>Existing / operating (inferred)</t>
        </is>
      </c>
      <c r="F347" t="inlineStr">
        <is>
          <t>inferred (county label "Existing or Permitted" + year built/permit)</t>
        </is>
      </c>
      <c r="G347" t="inlineStr"/>
      <c r="H347" t="inlineStr"/>
      <c r="I347" t="inlineStr">
        <is>
          <t>030296913000</t>
        </is>
      </c>
      <c r="K347" t="n">
        <v>2018</v>
      </c>
      <c r="L347" t="inlineStr"/>
      <c r="M347" t="inlineStr">
        <is>
          <t>County lists as 'Existing or Permitted'; year built 2018, building permit 2017-08-25</t>
        </is>
      </c>
      <c r="N347" t="inlineStr">
        <is>
          <t>https://logis.loudoun.gov/gis/rest/services/Projects/BuildOut_LandUse/MapServer/0/124137?f=html</t>
        </is>
      </c>
      <c r="O347" t="n">
        <v>39.021097</v>
      </c>
      <c r="P347" t="n">
        <v>-77.41324</v>
      </c>
    </row>
    <row r="348">
      <c r="A348" t="n">
        <v>347</v>
      </c>
      <c r="B348" t="inlineStr">
        <is>
          <t>Loudoun</t>
        </is>
      </c>
      <c r="C348" t="inlineStr">
        <is>
          <t>22945 INTERNATIONAL DR</t>
        </is>
      </c>
      <c r="D348" t="inlineStr">
        <is>
          <t>Existing/Completed</t>
        </is>
      </c>
      <c r="E348" t="inlineStr">
        <is>
          <t>Existing / operating (inferred)</t>
        </is>
      </c>
      <c r="F348" t="inlineStr">
        <is>
          <t>inferred (county label "Existing or Permitted" + year built/permit)</t>
        </is>
      </c>
      <c r="G348" t="inlineStr"/>
      <c r="H348" t="inlineStr"/>
      <c r="I348" t="inlineStr">
        <is>
          <t>034357851000</t>
        </is>
      </c>
      <c r="K348" t="n">
        <v>2018</v>
      </c>
      <c r="L348" t="inlineStr"/>
      <c r="M348" t="inlineStr">
        <is>
          <t>County lists as 'Existing or Permitted'; year built 2018, building permit 2018-06-22</t>
        </is>
      </c>
      <c r="N348" t="inlineStr">
        <is>
          <t>https://logis.loudoun.gov/gis/rest/services/Projects/BuildOut_LandUse/MapServer/0/124956?f=html</t>
        </is>
      </c>
      <c r="O348" t="n">
        <v>38.981629</v>
      </c>
      <c r="P348" t="n">
        <v>-77.42737700000001</v>
      </c>
    </row>
    <row r="349">
      <c r="A349" t="n">
        <v>348</v>
      </c>
      <c r="B349" t="inlineStr">
        <is>
          <t>Loudoun</t>
        </is>
      </c>
      <c r="C349" t="inlineStr">
        <is>
          <t>23005 INTERNATIONAL DR</t>
        </is>
      </c>
      <c r="D349" t="inlineStr">
        <is>
          <t>Existing/Completed</t>
        </is>
      </c>
      <c r="E349" t="inlineStr">
        <is>
          <t>Existing / operating (inferred)</t>
        </is>
      </c>
      <c r="F349" t="inlineStr">
        <is>
          <t>inferred (county label "Existing or Permitted" + year built/permit)</t>
        </is>
      </c>
      <c r="G349" t="inlineStr"/>
      <c r="H349" t="inlineStr"/>
      <c r="I349" t="inlineStr">
        <is>
          <t>034263373000</t>
        </is>
      </c>
      <c r="K349" t="n">
        <v>2020</v>
      </c>
      <c r="L349" t="inlineStr"/>
      <c r="M349" t="inlineStr">
        <is>
          <t>County lists as 'Existing or Permitted'; year built 2020, building permit 2019-12-16</t>
        </is>
      </c>
      <c r="N349" t="inlineStr">
        <is>
          <t>https://logis.loudoun.gov/gis/rest/services/Projects/BuildOut_LandUse/MapServer/0/124957?f=html</t>
        </is>
      </c>
      <c r="O349" t="n">
        <v>38.979902</v>
      </c>
      <c r="P349" t="n">
        <v>-77.42549200000001</v>
      </c>
    </row>
    <row r="350">
      <c r="A350" t="n">
        <v>349</v>
      </c>
      <c r="B350" t="inlineStr">
        <is>
          <t>Loudoun</t>
        </is>
      </c>
      <c r="C350" t="inlineStr">
        <is>
          <t>20935 LOUDOUN COUNTY PKWY</t>
        </is>
      </c>
      <c r="D350" t="inlineStr">
        <is>
          <t>Existing/Completed</t>
        </is>
      </c>
      <c r="E350" t="inlineStr">
        <is>
          <t>Existing / operating (inferred)</t>
        </is>
      </c>
      <c r="F350" t="inlineStr">
        <is>
          <t>inferred (county label "Existing or Permitted" + year built/permit)</t>
        </is>
      </c>
      <c r="G350" t="inlineStr"/>
      <c r="H350" t="inlineStr"/>
      <c r="I350" t="inlineStr">
        <is>
          <t>041352218000</t>
        </is>
      </c>
      <c r="K350" t="n">
        <v>2019</v>
      </c>
      <c r="L350" t="inlineStr"/>
      <c r="M350" t="inlineStr">
        <is>
          <t>County lists as 'Existing or Permitted'; year built 2019, building permit 2019-03-27</t>
        </is>
      </c>
      <c r="N350" t="inlineStr">
        <is>
          <t>https://logis.loudoun.gov/gis/rest/services/Projects/BuildOut_LandUse/MapServer/0/125232?f=html</t>
        </is>
      </c>
      <c r="O350" t="n">
        <v>39.036237</v>
      </c>
      <c r="P350" t="n">
        <v>-77.449744</v>
      </c>
    </row>
    <row r="351">
      <c r="A351" t="n">
        <v>350</v>
      </c>
      <c r="B351" t="inlineStr">
        <is>
          <t>Loudoun</t>
        </is>
      </c>
      <c r="C351" t="inlineStr">
        <is>
          <t>20945 LOUDOUN COUNTY PKWY</t>
        </is>
      </c>
      <c r="D351" t="inlineStr">
        <is>
          <t>Existing/Completed</t>
        </is>
      </c>
      <c r="E351" t="inlineStr">
        <is>
          <t>Existing / operating (inferred)</t>
        </is>
      </c>
      <c r="F351" t="inlineStr">
        <is>
          <t>inferred (county label "Existing or Permitted" + year built/permit)</t>
        </is>
      </c>
      <c r="G351" t="inlineStr"/>
      <c r="H351" t="inlineStr"/>
      <c r="I351" t="inlineStr">
        <is>
          <t>059309091000</t>
        </is>
      </c>
      <c r="K351" t="n">
        <v>2018</v>
      </c>
      <c r="L351" t="inlineStr"/>
      <c r="M351" t="inlineStr">
        <is>
          <t>County lists as 'Existing or Permitted'; year built 2018, building permit 2018-01-11</t>
        </is>
      </c>
      <c r="N351" t="inlineStr">
        <is>
          <t>https://logis.loudoun.gov/gis/rest/services/Projects/BuildOut_LandUse/MapServer/0/125234?f=html</t>
        </is>
      </c>
      <c r="O351" t="n">
        <v>39.035529</v>
      </c>
      <c r="P351" t="n">
        <v>-77.45071</v>
      </c>
    </row>
    <row r="352">
      <c r="A352" t="n">
        <v>351</v>
      </c>
      <c r="B352" t="inlineStr">
        <is>
          <t>Loudoun</t>
        </is>
      </c>
      <c r="C352" t="inlineStr">
        <is>
          <t>42311 THUNDERBALL DR</t>
        </is>
      </c>
      <c r="D352" t="inlineStr">
        <is>
          <t>Existing/Completed</t>
        </is>
      </c>
      <c r="E352" t="inlineStr">
        <is>
          <t>Existing / operating (inferred)</t>
        </is>
      </c>
      <c r="F352" t="inlineStr">
        <is>
          <t>inferred (county label "Existing or Permitted" + year built/permit)</t>
        </is>
      </c>
      <c r="G352" t="inlineStr"/>
      <c r="H352" t="inlineStr"/>
      <c r="I352" t="inlineStr">
        <is>
          <t>194103673000</t>
        </is>
      </c>
      <c r="K352" t="n">
        <v>2023</v>
      </c>
      <c r="L352" t="inlineStr"/>
      <c r="M352" t="inlineStr">
        <is>
          <t>County lists as 'Existing or Permitted'; year built 2023, building permit 2022-05-13</t>
        </is>
      </c>
      <c r="N352" t="inlineStr">
        <is>
          <t>https://logis.loudoun.gov/gis/rest/services/Projects/BuildOut_LandUse/MapServer/0/125475?f=html</t>
        </is>
      </c>
      <c r="O352" t="n">
        <v>39.042349</v>
      </c>
      <c r="P352" t="n">
        <v>-77.538105</v>
      </c>
    </row>
    <row r="353">
      <c r="A353" t="n">
        <v>352</v>
      </c>
      <c r="B353" t="inlineStr">
        <is>
          <t>Loudoun</t>
        </is>
      </c>
      <c r="C353" t="inlineStr">
        <is>
          <t>42310 THUNDERBALL DR</t>
        </is>
      </c>
      <c r="D353" t="inlineStr">
        <is>
          <t>Existing/Completed</t>
        </is>
      </c>
      <c r="E353" t="inlineStr">
        <is>
          <t>Existing / operating (inferred)</t>
        </is>
      </c>
      <c r="F353" t="inlineStr">
        <is>
          <t>inferred (county label "Existing or Permitted" + year built/permit)</t>
        </is>
      </c>
      <c r="G353" t="inlineStr"/>
      <c r="H353" t="inlineStr"/>
      <c r="I353" t="inlineStr">
        <is>
          <t>194103673000</t>
        </is>
      </c>
      <c r="K353" t="n">
        <v>2022</v>
      </c>
      <c r="L353" t="inlineStr"/>
      <c r="M353" t="inlineStr">
        <is>
          <t>County lists as 'Existing or Permitted'; year built 2022, building permit 2018-11-05</t>
        </is>
      </c>
      <c r="N353" t="inlineStr">
        <is>
          <t>https://logis.loudoun.gov/gis/rest/services/Projects/BuildOut_LandUse/MapServer/0/125476?f=html</t>
        </is>
      </c>
      <c r="O353" t="n">
        <v>39.044091</v>
      </c>
      <c r="P353" t="n">
        <v>-77.539714</v>
      </c>
    </row>
    <row r="354">
      <c r="A354" t="n">
        <v>353</v>
      </c>
      <c r="B354" t="inlineStr">
        <is>
          <t>Loudoun</t>
        </is>
      </c>
      <c r="C354" t="inlineStr">
        <is>
          <t>42255 THUNDERBALL DR</t>
        </is>
      </c>
      <c r="D354" t="inlineStr">
        <is>
          <t>Existing/Completed</t>
        </is>
      </c>
      <c r="E354" t="inlineStr">
        <is>
          <t>Existing / operating (inferred)</t>
        </is>
      </c>
      <c r="F354" t="inlineStr">
        <is>
          <t>inferred (county label "Existing or Permitted" + year built/permit)</t>
        </is>
      </c>
      <c r="G354" t="inlineStr"/>
      <c r="H354" t="inlineStr"/>
      <c r="I354" t="inlineStr">
        <is>
          <t>194103673000</t>
        </is>
      </c>
      <c r="K354" t="n">
        <v>2023</v>
      </c>
      <c r="L354" t="inlineStr"/>
      <c r="M354" t="inlineStr">
        <is>
          <t>County lists as 'Existing or Permitted'; year built 2023, building permit 2022-03-28</t>
        </is>
      </c>
      <c r="N354" t="inlineStr">
        <is>
          <t>https://logis.loudoun.gov/gis/rest/services/Projects/BuildOut_LandUse/MapServer/0/125477?f=html</t>
        </is>
      </c>
      <c r="O354" t="n">
        <v>39.041598</v>
      </c>
      <c r="P354" t="n">
        <v>-77.539185</v>
      </c>
    </row>
    <row r="355">
      <c r="A355" t="n">
        <v>354</v>
      </c>
      <c r="B355" t="inlineStr">
        <is>
          <t>Loudoun</t>
        </is>
      </c>
      <c r="C355" t="inlineStr">
        <is>
          <t>42254 THUNDERBALL DR</t>
        </is>
      </c>
      <c r="D355" t="inlineStr">
        <is>
          <t>Existing/Completed</t>
        </is>
      </c>
      <c r="E355" t="inlineStr">
        <is>
          <t>Existing / operating (inferred)</t>
        </is>
      </c>
      <c r="F355" t="inlineStr">
        <is>
          <t>inferred (county label "Existing or Permitted" + year built/permit)</t>
        </is>
      </c>
      <c r="G355" t="inlineStr"/>
      <c r="H355" t="inlineStr"/>
      <c r="I355" t="inlineStr">
        <is>
          <t>194103673000</t>
        </is>
      </c>
      <c r="K355" t="n">
        <v>2022</v>
      </c>
      <c r="L355" t="inlineStr"/>
      <c r="M355" t="inlineStr">
        <is>
          <t>County lists as 'Existing or Permitted'; year built 2022, building permit 2021-05-19</t>
        </is>
      </c>
      <c r="N355" t="inlineStr">
        <is>
          <t>https://logis.loudoun.gov/gis/rest/services/Projects/BuildOut_LandUse/MapServer/0/125478?f=html</t>
        </is>
      </c>
      <c r="O355" t="n">
        <v>39.043456</v>
      </c>
      <c r="P355" t="n">
        <v>-77.540893</v>
      </c>
    </row>
    <row r="356">
      <c r="A356" t="n">
        <v>355</v>
      </c>
      <c r="B356" t="inlineStr">
        <is>
          <t>Loudoun</t>
        </is>
      </c>
      <c r="C356" t="inlineStr">
        <is>
          <t>21955 LOUDOUN COUNTY PKWY</t>
        </is>
      </c>
      <c r="D356" t="inlineStr">
        <is>
          <t>Existing/Completed</t>
        </is>
      </c>
      <c r="E356" t="inlineStr">
        <is>
          <t>Existing / operating (inferred)</t>
        </is>
      </c>
      <c r="F356" t="inlineStr">
        <is>
          <t>inferred (county label "Existing or Permitted" + year built/permit)</t>
        </is>
      </c>
      <c r="G356" t="inlineStr"/>
      <c r="H356" t="inlineStr"/>
      <c r="I356" t="inlineStr">
        <is>
          <t>061177666000</t>
        </is>
      </c>
      <c r="K356" t="n">
        <v>2019</v>
      </c>
      <c r="L356" t="inlineStr"/>
      <c r="M356" t="inlineStr">
        <is>
          <t>County lists as 'Existing or Permitted'; year built 2019</t>
        </is>
      </c>
      <c r="N356" t="inlineStr">
        <is>
          <t>https://logis.loudoun.gov/gis/rest/services/Projects/BuildOut_LandUse/MapServer/0/125479?f=html</t>
        </is>
      </c>
      <c r="O356" t="n">
        <v>39.010429</v>
      </c>
      <c r="P356" t="n">
        <v>-77.463691</v>
      </c>
    </row>
    <row r="357">
      <c r="A357" t="n">
        <v>356</v>
      </c>
      <c r="B357" t="inlineStr">
        <is>
          <t>Loudoun</t>
        </is>
      </c>
      <c r="C357" t="inlineStr">
        <is>
          <t>24400 HOWLING ROOSTER LN</t>
        </is>
      </c>
      <c r="D357" t="inlineStr">
        <is>
          <t>Existing/Completed</t>
        </is>
      </c>
      <c r="E357" t="inlineStr">
        <is>
          <t>Existing / operating (inferred)</t>
        </is>
      </c>
      <c r="F357" t="inlineStr">
        <is>
          <t>inferred (county label "Existing or Permitted" + year built/permit)</t>
        </is>
      </c>
      <c r="G357" t="inlineStr"/>
      <c r="H357" t="inlineStr"/>
      <c r="I357" t="inlineStr">
        <is>
          <t>162176713000</t>
        </is>
      </c>
      <c r="K357" t="n">
        <v>2019</v>
      </c>
      <c r="L357" t="inlineStr"/>
      <c r="M357" t="inlineStr">
        <is>
          <t>County lists as 'Existing or Permitted'; year built 2019, building permit 2019-05-21</t>
        </is>
      </c>
      <c r="N357" t="inlineStr">
        <is>
          <t>https://logis.loudoun.gov/gis/rest/services/Projects/BuildOut_LandUse/MapServer/0/125520?f=html</t>
        </is>
      </c>
      <c r="O357" t="n">
        <v>38.943016</v>
      </c>
      <c r="P357" t="n">
        <v>-77.524242</v>
      </c>
    </row>
    <row r="358">
      <c r="A358" t="n">
        <v>357</v>
      </c>
      <c r="B358" t="inlineStr">
        <is>
          <t>Loudoun</t>
        </is>
      </c>
      <c r="C358" t="inlineStr">
        <is>
          <t>45200 VANTAGE DATA PLZ</t>
        </is>
      </c>
      <c r="D358" t="inlineStr">
        <is>
          <t>Existing/Completed</t>
        </is>
      </c>
      <c r="E358" t="inlineStr">
        <is>
          <t>Existing / operating (inferred)</t>
        </is>
      </c>
      <c r="F358" t="inlineStr">
        <is>
          <t>inferred (county label "Existing or Permitted" + year built/permit)</t>
        </is>
      </c>
      <c r="G358" t="inlineStr"/>
      <c r="H358" t="inlineStr"/>
      <c r="I358" t="inlineStr">
        <is>
          <t>044288975000</t>
        </is>
      </c>
      <c r="K358" t="n">
        <v>2019</v>
      </c>
      <c r="L358" t="inlineStr"/>
      <c r="M358" t="inlineStr">
        <is>
          <t>County lists as 'Existing or Permitted'; year built 2019, building permit 2018-05-23</t>
        </is>
      </c>
      <c r="N358" t="inlineStr">
        <is>
          <t>https://logis.loudoun.gov/gis/rest/services/Projects/BuildOut_LandUse/MapServer/0/125540?f=html</t>
        </is>
      </c>
      <c r="O358" t="n">
        <v>39.002398</v>
      </c>
      <c r="P358" t="n">
        <v>-77.43769500000001</v>
      </c>
    </row>
    <row r="359">
      <c r="A359" t="n">
        <v>358</v>
      </c>
      <c r="B359" t="inlineStr">
        <is>
          <t>Loudoun</t>
        </is>
      </c>
      <c r="C359" t="inlineStr">
        <is>
          <t>25430 SUTTON BAY PLZ</t>
        </is>
      </c>
      <c r="D359" t="inlineStr">
        <is>
          <t>Existing/Completed</t>
        </is>
      </c>
      <c r="E359" t="inlineStr">
        <is>
          <t>Existing / operating (inferred)</t>
        </is>
      </c>
      <c r="F359" t="inlineStr">
        <is>
          <t>inferred (county label "Existing or Permitted" + year built/permit)</t>
        </is>
      </c>
      <c r="G359" t="inlineStr"/>
      <c r="H359" t="inlineStr"/>
      <c r="I359" t="inlineStr">
        <is>
          <t>097398776000</t>
        </is>
      </c>
      <c r="K359" t="n">
        <v>2019</v>
      </c>
      <c r="L359" t="inlineStr"/>
      <c r="M359" t="inlineStr">
        <is>
          <t>County lists as 'Existing or Permitted'; year built 2019, building permit 2018-05-17</t>
        </is>
      </c>
      <c r="N359" t="inlineStr">
        <is>
          <t>https://logis.loudoun.gov/gis/rest/services/Projects/BuildOut_LandUse/MapServer/0/125597?f=html</t>
        </is>
      </c>
      <c r="O359" t="n">
        <v>38.916111</v>
      </c>
      <c r="P359" t="n">
        <v>-77.477244</v>
      </c>
    </row>
    <row r="360">
      <c r="A360" t="n">
        <v>359</v>
      </c>
      <c r="B360" t="inlineStr">
        <is>
          <t>Loudoun</t>
        </is>
      </c>
      <c r="C360" t="inlineStr">
        <is>
          <t>25420 SUTTON BAY PLZ</t>
        </is>
      </c>
      <c r="D360" t="inlineStr">
        <is>
          <t>Existing/Completed</t>
        </is>
      </c>
      <c r="E360" t="inlineStr">
        <is>
          <t>Existing / operating (inferred)</t>
        </is>
      </c>
      <c r="F360" t="inlineStr">
        <is>
          <t>inferred (county label "Existing or Permitted" + year built/permit)</t>
        </is>
      </c>
      <c r="G360" t="inlineStr"/>
      <c r="H360" t="inlineStr"/>
      <c r="I360" t="inlineStr">
        <is>
          <t>097398776000</t>
        </is>
      </c>
      <c r="K360" t="n">
        <v>2019</v>
      </c>
      <c r="L360" t="inlineStr"/>
      <c r="M360" t="inlineStr">
        <is>
          <t>County lists as 'Existing or Permitted'; year built 2019, building permit 2018-07-11</t>
        </is>
      </c>
      <c r="N360" t="inlineStr">
        <is>
          <t>https://logis.loudoun.gov/gis/rest/services/Projects/BuildOut_LandUse/MapServer/0/125598?f=html</t>
        </is>
      </c>
      <c r="O360" t="n">
        <v>38.916215</v>
      </c>
      <c r="P360" t="n">
        <v>-77.478616</v>
      </c>
    </row>
    <row r="361">
      <c r="A361" t="n">
        <v>360</v>
      </c>
      <c r="B361" t="inlineStr">
        <is>
          <t>Loudoun</t>
        </is>
      </c>
      <c r="C361" t="inlineStr">
        <is>
          <t>25390 SUTTON BAY PLZ</t>
        </is>
      </c>
      <c r="D361" t="inlineStr">
        <is>
          <t>Existing/Completed</t>
        </is>
      </c>
      <c r="E361" t="inlineStr">
        <is>
          <t>Existing / operating (inferred)</t>
        </is>
      </c>
      <c r="F361" t="inlineStr">
        <is>
          <t>inferred (county label "Existing or Permitted" + year built/permit)</t>
        </is>
      </c>
      <c r="G361" t="inlineStr"/>
      <c r="H361" t="inlineStr"/>
      <c r="I361" t="inlineStr">
        <is>
          <t>097398776000</t>
        </is>
      </c>
      <c r="K361" t="n">
        <v>2019</v>
      </c>
      <c r="L361" t="inlineStr"/>
      <c r="M361" t="inlineStr">
        <is>
          <t>County lists as 'Existing or Permitted'; year built 2019, building permit 2018-08-24</t>
        </is>
      </c>
      <c r="N361" t="inlineStr">
        <is>
          <t>https://logis.loudoun.gov/gis/rest/services/Projects/BuildOut_LandUse/MapServer/0/125599?f=html</t>
        </is>
      </c>
      <c r="O361" t="n">
        <v>38.916629</v>
      </c>
      <c r="P361" t="n">
        <v>-77.479659</v>
      </c>
    </row>
    <row r="362">
      <c r="A362" t="n">
        <v>361</v>
      </c>
      <c r="B362" t="inlineStr">
        <is>
          <t>Loudoun</t>
        </is>
      </c>
      <c r="C362" t="inlineStr">
        <is>
          <t>23845 ERINS RUN DR</t>
        </is>
      </c>
      <c r="D362" t="inlineStr">
        <is>
          <t>Existing/Completed</t>
        </is>
      </c>
      <c r="E362" t="inlineStr">
        <is>
          <t>Existing / operating (inferred)</t>
        </is>
      </c>
      <c r="F362" t="inlineStr">
        <is>
          <t>inferred (county label "Existing or Permitted" + year built/permit)</t>
        </is>
      </c>
      <c r="G362" t="inlineStr"/>
      <c r="H362" t="inlineStr"/>
      <c r="I362" t="inlineStr">
        <is>
          <t>124299328000</t>
        </is>
      </c>
      <c r="K362" t="n">
        <v>2020</v>
      </c>
      <c r="L362" t="inlineStr"/>
      <c r="M362" t="inlineStr">
        <is>
          <t>County lists as 'Existing or Permitted'; year built 2020, building permit 2018-08-03</t>
        </is>
      </c>
      <c r="N362" t="inlineStr">
        <is>
          <t>https://logis.loudoun.gov/gis/rest/services/Projects/BuildOut_LandUse/MapServer/0/125603?f=html</t>
        </is>
      </c>
      <c r="O362" t="n">
        <v>38.955829</v>
      </c>
      <c r="P362" t="n">
        <v>-77.49717200000001</v>
      </c>
    </row>
    <row r="363">
      <c r="A363" t="n">
        <v>362</v>
      </c>
      <c r="B363" t="inlineStr">
        <is>
          <t>Loudoun</t>
        </is>
      </c>
      <c r="C363" t="inlineStr">
        <is>
          <t>23835 ERINS RUN DR</t>
        </is>
      </c>
      <c r="D363" t="inlineStr">
        <is>
          <t>Existing/Completed</t>
        </is>
      </c>
      <c r="E363" t="inlineStr">
        <is>
          <t>Existing / operating (inferred)</t>
        </is>
      </c>
      <c r="F363" t="inlineStr">
        <is>
          <t>inferred (county label "Existing or Permitted" + year built/permit)</t>
        </is>
      </c>
      <c r="G363" t="inlineStr"/>
      <c r="H363" t="inlineStr"/>
      <c r="I363" t="inlineStr">
        <is>
          <t>124299328000</t>
        </is>
      </c>
      <c r="K363" t="n">
        <v>2019</v>
      </c>
      <c r="L363" t="inlineStr"/>
      <c r="M363" t="inlineStr">
        <is>
          <t>County lists as 'Existing or Permitted'; year built 2019, building permit 2018-07-13</t>
        </is>
      </c>
      <c r="N363" t="inlineStr">
        <is>
          <t>https://logis.loudoun.gov/gis/rest/services/Projects/BuildOut_LandUse/MapServer/0/125604?f=html</t>
        </is>
      </c>
      <c r="O363" t="n">
        <v>38.95677</v>
      </c>
      <c r="P363" t="n">
        <v>-77.49778000000001</v>
      </c>
    </row>
    <row r="364">
      <c r="A364" t="n">
        <v>363</v>
      </c>
      <c r="B364" t="inlineStr">
        <is>
          <t>Loudoun</t>
        </is>
      </c>
      <c r="C364" t="inlineStr">
        <is>
          <t>23825 ERINS RUN DR</t>
        </is>
      </c>
      <c r="D364" t="inlineStr">
        <is>
          <t>Existing/Completed</t>
        </is>
      </c>
      <c r="E364" t="inlineStr">
        <is>
          <t>Existing / operating (inferred)</t>
        </is>
      </c>
      <c r="F364" t="inlineStr">
        <is>
          <t>inferred (county label "Existing or Permitted" + year built/permit)</t>
        </is>
      </c>
      <c r="G364" t="inlineStr"/>
      <c r="H364" t="inlineStr"/>
      <c r="I364" t="inlineStr">
        <is>
          <t>124299328000</t>
        </is>
      </c>
      <c r="K364" t="n">
        <v>2018</v>
      </c>
      <c r="L364" t="inlineStr"/>
      <c r="M364" t="inlineStr">
        <is>
          <t>County lists as 'Existing or Permitted'; year built 2018, building permit 2018-05-02</t>
        </is>
      </c>
      <c r="N364" t="inlineStr">
        <is>
          <t>https://logis.loudoun.gov/gis/rest/services/Projects/BuildOut_LandUse/MapServer/0/125605?f=html</t>
        </is>
      </c>
      <c r="O364" t="n">
        <v>38.957888</v>
      </c>
      <c r="P364" t="n">
        <v>-77.498023</v>
      </c>
    </row>
    <row r="365">
      <c r="A365" t="n">
        <v>364</v>
      </c>
      <c r="B365" t="inlineStr">
        <is>
          <t>Loudoun</t>
        </is>
      </c>
      <c r="C365" t="inlineStr">
        <is>
          <t>22262 CLOUD PLZ</t>
        </is>
      </c>
      <c r="D365" t="inlineStr">
        <is>
          <t>Existing/Completed</t>
        </is>
      </c>
      <c r="E365" t="inlineStr">
        <is>
          <t>Existing / operating (inferred)</t>
        </is>
      </c>
      <c r="F365" t="inlineStr">
        <is>
          <t>inferred (county label "Existing or Permitted" + year built/permit)</t>
        </is>
      </c>
      <c r="G365" t="inlineStr"/>
      <c r="H365" t="inlineStr"/>
      <c r="I365" t="inlineStr">
        <is>
          <t>044282013000</t>
        </is>
      </c>
      <c r="K365" t="n">
        <v>2019</v>
      </c>
      <c r="L365" t="inlineStr"/>
      <c r="M365" t="inlineStr">
        <is>
          <t>County lists as 'Existing or Permitted'; year built 2019, building permit 2019-05-13</t>
        </is>
      </c>
      <c r="N365" t="inlineStr">
        <is>
          <t>https://logis.loudoun.gov/gis/rest/services/Projects/BuildOut_LandUse/MapServer/0/125612?f=html</t>
        </is>
      </c>
      <c r="O365" t="n">
        <v>39.000575</v>
      </c>
      <c r="P365" t="n">
        <v>-77.439764</v>
      </c>
    </row>
    <row r="366">
      <c r="A366" t="n">
        <v>365</v>
      </c>
      <c r="B366" t="inlineStr">
        <is>
          <t>Loudoun</t>
        </is>
      </c>
      <c r="C366" t="inlineStr">
        <is>
          <t>20491 GOOSE LANDING LN</t>
        </is>
      </c>
      <c r="D366" t="inlineStr">
        <is>
          <t>Existing/Completed</t>
        </is>
      </c>
      <c r="E366" t="inlineStr">
        <is>
          <t>Existing / operating (inferred)</t>
        </is>
      </c>
      <c r="F366" t="inlineStr">
        <is>
          <t>inferred (county label "Existing or Permitted" + year built/permit)</t>
        </is>
      </c>
      <c r="G366" t="inlineStr"/>
      <c r="H366" t="inlineStr"/>
      <c r="I366" t="inlineStr">
        <is>
          <t>194498227000</t>
        </is>
      </c>
      <c r="K366" t="n">
        <v>2021</v>
      </c>
      <c r="L366" t="inlineStr"/>
      <c r="M366" t="inlineStr">
        <is>
          <t>County lists as 'Existing or Permitted'; year built 2021, building permit 2020-02-11</t>
        </is>
      </c>
      <c r="N366" t="inlineStr">
        <is>
          <t>https://logis.loudoun.gov/gis/rest/services/Projects/BuildOut_LandUse/MapServer/0/126080?f=html</t>
        </is>
      </c>
      <c r="O366" t="n">
        <v>39.052612</v>
      </c>
      <c r="P366" t="n">
        <v>-77.539576</v>
      </c>
    </row>
    <row r="367">
      <c r="A367" t="n">
        <v>366</v>
      </c>
      <c r="B367" t="inlineStr">
        <is>
          <t>Loudoun</t>
        </is>
      </c>
      <c r="C367" t="inlineStr">
        <is>
          <t>44621 WAXPOOL RD</t>
        </is>
      </c>
      <c r="D367" t="inlineStr">
        <is>
          <t>Existing/Completed</t>
        </is>
      </c>
      <c r="E367" t="inlineStr">
        <is>
          <t>Existing / operating (inferred)</t>
        </is>
      </c>
      <c r="F367" t="inlineStr">
        <is>
          <t>inferred (county label "Existing or Permitted" + year built/permit)</t>
        </is>
      </c>
      <c r="G367" t="inlineStr"/>
      <c r="H367" t="inlineStr"/>
      <c r="I367" t="inlineStr">
        <is>
          <t>061275931000</t>
        </is>
      </c>
      <c r="K367" t="n">
        <v>2020</v>
      </c>
      <c r="L367" t="inlineStr"/>
      <c r="M367" t="inlineStr">
        <is>
          <t>County lists as 'Existing or Permitted'; year built 2020, building permit 2019-01-09</t>
        </is>
      </c>
      <c r="N367" t="inlineStr">
        <is>
          <t>https://logis.loudoun.gov/gis/rest/services/Projects/BuildOut_LandUse/MapServer/0/126082?f=html</t>
        </is>
      </c>
      <c r="O367" t="n">
        <v>39.011875</v>
      </c>
      <c r="P367" t="n">
        <v>-77.462653</v>
      </c>
    </row>
    <row r="368">
      <c r="A368" t="n">
        <v>367</v>
      </c>
      <c r="B368" t="inlineStr">
        <is>
          <t>Loudoun</t>
        </is>
      </c>
      <c r="C368" t="inlineStr">
        <is>
          <t>45761 MARIES RD</t>
        </is>
      </c>
      <c r="D368" t="inlineStr">
        <is>
          <t>Existing/Completed</t>
        </is>
      </c>
      <c r="E368" t="inlineStr">
        <is>
          <t>Existing / operating (inferred)</t>
        </is>
      </c>
      <c r="F368" t="inlineStr">
        <is>
          <t>inferred (county label "Existing or Permitted" + year built/permit)</t>
        </is>
      </c>
      <c r="G368" t="inlineStr"/>
      <c r="H368" t="inlineStr"/>
      <c r="I368" t="inlineStr">
        <is>
          <t>030382006000</t>
        </is>
      </c>
      <c r="K368" t="n">
        <v>2019</v>
      </c>
      <c r="L368" t="inlineStr"/>
      <c r="M368" t="inlineStr">
        <is>
          <t>County lists as 'Existing or Permitted'; year built 2019, building permit 2018-10-10</t>
        </is>
      </c>
      <c r="N368" t="inlineStr">
        <is>
          <t>https://logis.loudoun.gov/gis/rest/services/Projects/BuildOut_LandUse/MapServer/0/126134?f=html</t>
        </is>
      </c>
      <c r="O368" t="n">
        <v>39.02364</v>
      </c>
      <c r="P368" t="n">
        <v>-77.419083</v>
      </c>
    </row>
    <row r="369">
      <c r="A369" t="n">
        <v>368</v>
      </c>
      <c r="B369" t="inlineStr">
        <is>
          <t>Loudoun</t>
        </is>
      </c>
      <c r="C369" t="inlineStr">
        <is>
          <t>45771 MARIES RD</t>
        </is>
      </c>
      <c r="D369" t="inlineStr">
        <is>
          <t>Existing/Completed</t>
        </is>
      </c>
      <c r="E369" t="inlineStr">
        <is>
          <t>Existing / operating (inferred)</t>
        </is>
      </c>
      <c r="F369" t="inlineStr">
        <is>
          <t>inferred (county label "Existing or Permitted" + year built/permit)</t>
        </is>
      </c>
      <c r="G369" t="inlineStr"/>
      <c r="H369" t="inlineStr"/>
      <c r="I369" t="inlineStr">
        <is>
          <t>030382006000</t>
        </is>
      </c>
      <c r="K369" t="n">
        <v>2019</v>
      </c>
      <c r="L369" t="inlineStr"/>
      <c r="M369" t="inlineStr">
        <is>
          <t>County lists as 'Existing or Permitted'; year built 2019, building permit 2018-06-15</t>
        </is>
      </c>
      <c r="N369" t="inlineStr">
        <is>
          <t>https://logis.loudoun.gov/gis/rest/services/Projects/BuildOut_LandUse/MapServer/0/126136?f=html</t>
        </is>
      </c>
      <c r="O369" t="n">
        <v>39.024325</v>
      </c>
      <c r="P369" t="n">
        <v>-77.420435</v>
      </c>
    </row>
    <row r="370">
      <c r="A370" t="n">
        <v>369</v>
      </c>
      <c r="B370" t="inlineStr">
        <is>
          <t>Loudoun</t>
        </is>
      </c>
      <c r="C370" t="inlineStr">
        <is>
          <t>22165 BEAUMEADE CIR</t>
        </is>
      </c>
      <c r="D370" t="inlineStr">
        <is>
          <t>Existing/Completed</t>
        </is>
      </c>
      <c r="E370" t="inlineStr">
        <is>
          <t>Existing / operating (inferred)</t>
        </is>
      </c>
      <c r="F370" t="inlineStr">
        <is>
          <t>inferred (county label "Existing or Permitted" + year built/permit)</t>
        </is>
      </c>
      <c r="G370" t="inlineStr"/>
      <c r="H370" t="inlineStr"/>
      <c r="I370" t="inlineStr">
        <is>
          <t>061200160000</t>
        </is>
      </c>
      <c r="K370" t="n">
        <v>2024</v>
      </c>
      <c r="L370" t="inlineStr"/>
      <c r="M370" t="inlineStr">
        <is>
          <t>County lists as 'Existing or Permitted'; year built 2024, building permit 2024-05-29</t>
        </is>
      </c>
      <c r="N370" t="inlineStr">
        <is>
          <t>https://logis.loudoun.gov/gis/rest/services/Projects/BuildOut_LandUse/MapServer/0/126272?f=html</t>
        </is>
      </c>
      <c r="O370" t="n">
        <v>39.013837</v>
      </c>
      <c r="P370" t="n">
        <v>-77.453796</v>
      </c>
    </row>
    <row r="371">
      <c r="A371" t="n">
        <v>370</v>
      </c>
      <c r="B371" t="inlineStr">
        <is>
          <t>Loudoun</t>
        </is>
      </c>
      <c r="C371" t="inlineStr">
        <is>
          <t>22175 BEAUMEADE CIR</t>
        </is>
      </c>
      <c r="D371" t="inlineStr">
        <is>
          <t>Existing/Completed</t>
        </is>
      </c>
      <c r="E371" t="inlineStr">
        <is>
          <t>Existing / operating (inferred)</t>
        </is>
      </c>
      <c r="F371" t="inlineStr">
        <is>
          <t>inferred (county label "Existing or Permitted" + year built/permit)</t>
        </is>
      </c>
      <c r="G371" t="inlineStr"/>
      <c r="H371" t="inlineStr"/>
      <c r="I371" t="inlineStr">
        <is>
          <t>061200160000</t>
        </is>
      </c>
      <c r="K371" t="n">
        <v>2020</v>
      </c>
      <c r="L371" t="inlineStr"/>
      <c r="M371" t="inlineStr">
        <is>
          <t>County lists as 'Existing or Permitted'; year built 2020, building permit 2020-09-24</t>
        </is>
      </c>
      <c r="N371" t="inlineStr">
        <is>
          <t>https://logis.loudoun.gov/gis/rest/services/Projects/BuildOut_LandUse/MapServer/0/126274?f=html</t>
        </is>
      </c>
      <c r="O371" t="n">
        <v>39.011855</v>
      </c>
      <c r="P371" t="n">
        <v>-77.45447900000001</v>
      </c>
    </row>
    <row r="372">
      <c r="A372" t="n">
        <v>371</v>
      </c>
      <c r="B372" t="inlineStr">
        <is>
          <t>Loudoun</t>
        </is>
      </c>
      <c r="C372" t="inlineStr">
        <is>
          <t>21890 UUNET DR</t>
        </is>
      </c>
      <c r="D372" t="inlineStr">
        <is>
          <t>Existing/Completed</t>
        </is>
      </c>
      <c r="E372" t="inlineStr">
        <is>
          <t>Existing / operating (inferred)</t>
        </is>
      </c>
      <c r="F372" t="inlineStr">
        <is>
          <t>inferred (county label "Existing or Permitted" + year built/permit)</t>
        </is>
      </c>
      <c r="G372" t="inlineStr"/>
      <c r="H372" t="inlineStr"/>
      <c r="I372" t="inlineStr">
        <is>
          <t>061355894000</t>
        </is>
      </c>
      <c r="K372" t="n">
        <v>2019</v>
      </c>
      <c r="L372" t="inlineStr"/>
      <c r="M372" t="inlineStr">
        <is>
          <t>County lists as 'Existing or Permitted'; year built 2019, building permit 2018-11-30</t>
        </is>
      </c>
      <c r="N372" t="inlineStr">
        <is>
          <t>https://logis.loudoun.gov/gis/rest/services/Projects/BuildOut_LandUse/MapServer/0/127360?f=html</t>
        </is>
      </c>
      <c r="O372" t="n">
        <v>39.013597</v>
      </c>
      <c r="P372" t="n">
        <v>-77.470748</v>
      </c>
    </row>
    <row r="373">
      <c r="A373" t="n">
        <v>372</v>
      </c>
      <c r="B373" t="inlineStr">
        <is>
          <t>Loudoun</t>
        </is>
      </c>
      <c r="C373" t="inlineStr">
        <is>
          <t>21821 UUNET DR</t>
        </is>
      </c>
      <c r="D373" t="inlineStr">
        <is>
          <t>Existing/Completed</t>
        </is>
      </c>
      <c r="E373" t="inlineStr">
        <is>
          <t>Existing / operating (inferred)</t>
        </is>
      </c>
      <c r="F373" t="inlineStr">
        <is>
          <t>inferred (county label "Existing or Permitted" + year built/permit)</t>
        </is>
      </c>
      <c r="G373" t="inlineStr"/>
      <c r="H373" t="inlineStr"/>
      <c r="I373" t="inlineStr">
        <is>
          <t>088101859000</t>
        </is>
      </c>
      <c r="K373" t="n">
        <v>2021</v>
      </c>
      <c r="L373" t="inlineStr"/>
      <c r="M373" t="inlineStr">
        <is>
          <t>County lists as 'Existing or Permitted'; year built 2021, building permit 2020-07-27</t>
        </is>
      </c>
      <c r="N373" t="inlineStr">
        <is>
          <t>https://logis.loudoun.gov/gis/rest/services/Projects/BuildOut_LandUse/MapServer/0/127361?f=html</t>
        </is>
      </c>
      <c r="O373" t="n">
        <v>39.010562</v>
      </c>
      <c r="P373" t="n">
        <v>-77.475183</v>
      </c>
    </row>
    <row r="374">
      <c r="A374" t="n">
        <v>373</v>
      </c>
      <c r="B374" t="inlineStr">
        <is>
          <t>Loudoun</t>
        </is>
      </c>
      <c r="C374" t="inlineStr">
        <is>
          <t>20481 GOOSE LANDING LN</t>
        </is>
      </c>
      <c r="D374" t="inlineStr">
        <is>
          <t>Existing/Completed</t>
        </is>
      </c>
      <c r="E374" t="inlineStr">
        <is>
          <t>Existing / operating (inferred)</t>
        </is>
      </c>
      <c r="F374" t="inlineStr">
        <is>
          <t>inferred (county label "Existing or Permitted" + year built/permit)</t>
        </is>
      </c>
      <c r="G374" t="inlineStr"/>
      <c r="H374" t="inlineStr"/>
      <c r="I374" t="inlineStr">
        <is>
          <t>194498227000</t>
        </is>
      </c>
      <c r="K374" t="n">
        <v>2021</v>
      </c>
      <c r="L374" t="inlineStr"/>
      <c r="M374" t="inlineStr">
        <is>
          <t>County lists as 'Existing or Permitted'; year built 2021, building permit 2019-06-12</t>
        </is>
      </c>
      <c r="N374" t="inlineStr">
        <is>
          <t>https://logis.loudoun.gov/gis/rest/services/Projects/BuildOut_LandUse/MapServer/0/127810?f=html</t>
        </is>
      </c>
      <c r="O374" t="n">
        <v>39.05059</v>
      </c>
      <c r="P374" t="n">
        <v>-77.540029</v>
      </c>
    </row>
    <row r="375">
      <c r="A375" t="n">
        <v>374</v>
      </c>
      <c r="B375" t="inlineStr">
        <is>
          <t>Loudoun</t>
        </is>
      </c>
      <c r="C375" t="inlineStr">
        <is>
          <t>20471 GOOSE LANDING LN</t>
        </is>
      </c>
      <c r="D375" t="inlineStr">
        <is>
          <t>Existing/Completed</t>
        </is>
      </c>
      <c r="E375" t="inlineStr">
        <is>
          <t>Existing / operating (inferred)</t>
        </is>
      </c>
      <c r="F375" t="inlineStr">
        <is>
          <t>inferred (county label "Existing or Permitted" + year built/permit)</t>
        </is>
      </c>
      <c r="G375" t="inlineStr"/>
      <c r="H375" t="inlineStr"/>
      <c r="I375" t="inlineStr">
        <is>
          <t>194498227000</t>
        </is>
      </c>
      <c r="K375" t="n">
        <v>2022</v>
      </c>
      <c r="L375" t="inlineStr"/>
      <c r="M375" t="inlineStr">
        <is>
          <t>County lists as 'Existing or Permitted'; year built 2022, building permit 2020-12-29</t>
        </is>
      </c>
      <c r="N375" t="inlineStr">
        <is>
          <t>https://logis.loudoun.gov/gis/rest/services/Projects/BuildOut_LandUse/MapServer/0/127811?f=html</t>
        </is>
      </c>
      <c r="O375" t="n">
        <v>39.049294</v>
      </c>
      <c r="P375" t="n">
        <v>-77.539579</v>
      </c>
    </row>
    <row r="376">
      <c r="A376" t="n">
        <v>375</v>
      </c>
      <c r="B376" t="inlineStr">
        <is>
          <t>Loudoun</t>
        </is>
      </c>
      <c r="C376" t="inlineStr">
        <is>
          <t>45194 VANTAGE DATA PLZ</t>
        </is>
      </c>
      <c r="D376" t="inlineStr">
        <is>
          <t>Existing/Completed</t>
        </is>
      </c>
      <c r="E376" t="inlineStr">
        <is>
          <t>Existing / operating (inferred)</t>
        </is>
      </c>
      <c r="F376" t="inlineStr">
        <is>
          <t>inferred (county label "Existing or Permitted" + year built/permit)</t>
        </is>
      </c>
      <c r="G376" t="inlineStr"/>
      <c r="H376" t="inlineStr"/>
      <c r="I376" t="inlineStr">
        <is>
          <t>044288975000</t>
        </is>
      </c>
      <c r="K376" t="n">
        <v>2021</v>
      </c>
      <c r="L376" t="inlineStr"/>
      <c r="M376" t="inlineStr">
        <is>
          <t>County lists as 'Existing or Permitted'; year built 2021, building permit 2020-06-30</t>
        </is>
      </c>
      <c r="N376" t="inlineStr">
        <is>
          <t>https://logis.loudoun.gov/gis/rest/services/Projects/BuildOut_LandUse/MapServer/0/127820?f=html</t>
        </is>
      </c>
      <c r="O376" t="n">
        <v>39.001774</v>
      </c>
      <c r="P376" t="n">
        <v>-77.438067</v>
      </c>
    </row>
    <row r="377">
      <c r="A377" t="n">
        <v>376</v>
      </c>
      <c r="B377" t="inlineStr">
        <is>
          <t>Loudoun</t>
        </is>
      </c>
      <c r="C377" t="inlineStr">
        <is>
          <t>24214 QUAIL RIDGE LN</t>
        </is>
      </c>
      <c r="D377" t="inlineStr">
        <is>
          <t>Under construction</t>
        </is>
      </c>
      <c r="E377" t="inlineStr">
        <is>
          <t>Under construction / permitted, not complete (inferred)</t>
        </is>
      </c>
      <c r="F377" t="inlineStr">
        <is>
          <t>inferred (county label "Existing or Permitted" + year built/permit)</t>
        </is>
      </c>
      <c r="G377" t="inlineStr"/>
      <c r="H377" t="inlineStr"/>
      <c r="I377" t="inlineStr">
        <is>
          <t>246203645000</t>
        </is>
      </c>
      <c r="L377" t="inlineStr"/>
      <c r="M377" t="inlineStr">
        <is>
          <t>County lists as 'Existing or Permitted'; year built is placeholder 1000 and building permit issued 2023-05-25 (no completion recorded as of 2025-07-01)</t>
        </is>
      </c>
      <c r="N377" t="inlineStr">
        <is>
          <t>https://logis.loudoun.gov/gis/rest/services/Projects/BuildOut_LandUse/MapServer/0/127833?f=html</t>
        </is>
      </c>
      <c r="O377" t="n">
        <v>38.948026</v>
      </c>
      <c r="P377" t="n">
        <v>-77.559152</v>
      </c>
    </row>
    <row r="378">
      <c r="A378" t="n">
        <v>377</v>
      </c>
      <c r="B378" t="inlineStr">
        <is>
          <t>Loudoun</t>
        </is>
      </c>
      <c r="C378" t="inlineStr">
        <is>
          <t>24234 QUAIL RIDGE LN</t>
        </is>
      </c>
      <c r="D378" t="inlineStr">
        <is>
          <t>Under construction</t>
        </is>
      </c>
      <c r="E378" t="inlineStr">
        <is>
          <t>Under construction / permitted, not complete (inferred)</t>
        </is>
      </c>
      <c r="F378" t="inlineStr">
        <is>
          <t>inferred (county label "Existing or Permitted" + year built/permit)</t>
        </is>
      </c>
      <c r="G378" t="inlineStr"/>
      <c r="H378" t="inlineStr"/>
      <c r="I378" t="inlineStr">
        <is>
          <t>246203645000</t>
        </is>
      </c>
      <c r="L378" t="inlineStr"/>
      <c r="M378" t="inlineStr">
        <is>
          <t>County lists as 'Existing or Permitted'; year built is placeholder 1000 and building permit issued 2023-05-25 (no completion recorded as of 2025-07-01)</t>
        </is>
      </c>
      <c r="N378" t="inlineStr">
        <is>
          <t>https://logis.loudoun.gov/gis/rest/services/Projects/BuildOut_LandUse/MapServer/0/127834?f=html</t>
        </is>
      </c>
      <c r="O378" t="n">
        <v>38.949951</v>
      </c>
      <c r="P378" t="n">
        <v>-77.559029</v>
      </c>
    </row>
    <row r="379">
      <c r="A379" t="n">
        <v>378</v>
      </c>
      <c r="B379" t="inlineStr">
        <is>
          <t>Loudoun</t>
        </is>
      </c>
      <c r="C379" t="inlineStr">
        <is>
          <t>24244 QUAIL RIDGE LN</t>
        </is>
      </c>
      <c r="D379" t="inlineStr">
        <is>
          <t>Existing/Completed</t>
        </is>
      </c>
      <c r="E379" t="inlineStr">
        <is>
          <t>Existing / operating (inferred)</t>
        </is>
      </c>
      <c r="F379" t="inlineStr">
        <is>
          <t>inferred (county label "Existing or Permitted" + year built/permit)</t>
        </is>
      </c>
      <c r="G379" t="inlineStr"/>
      <c r="H379" t="inlineStr"/>
      <c r="I379" t="inlineStr">
        <is>
          <t>246200886000</t>
        </is>
      </c>
      <c r="K379" t="n">
        <v>2020</v>
      </c>
      <c r="L379" t="inlineStr"/>
      <c r="M379" t="inlineStr">
        <is>
          <t>County lists as 'Existing or Permitted'; year built 2020, building permit 2019-09-26</t>
        </is>
      </c>
      <c r="N379" t="inlineStr">
        <is>
          <t>https://logis.loudoun.gov/gis/rest/services/Projects/BuildOut_LandUse/MapServer/0/127836?f=html</t>
        </is>
      </c>
      <c r="O379" t="n">
        <v>38.949851</v>
      </c>
      <c r="P379" t="n">
        <v>-77.56032</v>
      </c>
    </row>
    <row r="380">
      <c r="A380" t="n">
        <v>379</v>
      </c>
      <c r="B380" t="inlineStr">
        <is>
          <t>Loudoun</t>
        </is>
      </c>
      <c r="C380" t="inlineStr">
        <is>
          <t>24224 QUAIL RIDGE LN</t>
        </is>
      </c>
      <c r="D380" t="inlineStr">
        <is>
          <t>Existing/Completed</t>
        </is>
      </c>
      <c r="E380" t="inlineStr">
        <is>
          <t>Existing / operating (inferred)</t>
        </is>
      </c>
      <c r="F380" t="inlineStr">
        <is>
          <t>inferred (county label "Existing or Permitted" + year built/permit)</t>
        </is>
      </c>
      <c r="G380" t="inlineStr"/>
      <c r="H380" t="inlineStr"/>
      <c r="I380" t="inlineStr">
        <is>
          <t>246200886000</t>
        </is>
      </c>
      <c r="K380" t="n">
        <v>2020</v>
      </c>
      <c r="L380" t="inlineStr"/>
      <c r="M380" t="inlineStr">
        <is>
          <t>County lists as 'Existing or Permitted'; year built 2020, building permit 2019-12-02</t>
        </is>
      </c>
      <c r="N380" t="inlineStr">
        <is>
          <t>https://logis.loudoun.gov/gis/rest/services/Projects/BuildOut_LandUse/MapServer/0/127837?f=html</t>
        </is>
      </c>
      <c r="O380" t="n">
        <v>38.948043</v>
      </c>
      <c r="P380" t="n">
        <v>-77.56041500000001</v>
      </c>
    </row>
    <row r="381">
      <c r="A381" t="n">
        <v>380</v>
      </c>
      <c r="B381" t="inlineStr">
        <is>
          <t>Loudoun</t>
        </is>
      </c>
      <c r="C381" t="inlineStr">
        <is>
          <t>22125 BRODERICK DR</t>
        </is>
      </c>
      <c r="D381" t="inlineStr">
        <is>
          <t>Existing/Completed</t>
        </is>
      </c>
      <c r="E381" t="inlineStr">
        <is>
          <t>Existing / operating (inferred)</t>
        </is>
      </c>
      <c r="F381" t="inlineStr">
        <is>
          <t>inferred (county label "Existing or Permitted" + year built/permit)</t>
        </is>
      </c>
      <c r="G381" t="inlineStr"/>
      <c r="H381" t="inlineStr"/>
      <c r="I381" t="inlineStr">
        <is>
          <t>044370416000</t>
        </is>
      </c>
      <c r="K381" t="n">
        <v>2021</v>
      </c>
      <c r="L381" t="inlineStr"/>
      <c r="M381" t="inlineStr">
        <is>
          <t>County lists as 'Existing or Permitted'; year built 2021, building permit 2020-03-25</t>
        </is>
      </c>
      <c r="N381" t="inlineStr">
        <is>
          <t>https://logis.loudoun.gov/gis/rest/services/Projects/BuildOut_LandUse/MapServer/0/127850?f=html</t>
        </is>
      </c>
      <c r="O381" t="n">
        <v>39.005776</v>
      </c>
      <c r="P381" t="n">
        <v>-77.449335</v>
      </c>
    </row>
    <row r="382">
      <c r="A382" t="n">
        <v>381</v>
      </c>
      <c r="B382" t="inlineStr">
        <is>
          <t>Loudoun</t>
        </is>
      </c>
      <c r="C382" t="inlineStr">
        <is>
          <t>43290 OLD OX RD</t>
        </is>
      </c>
      <c r="D382" t="inlineStr">
        <is>
          <t>Existing/Completed</t>
        </is>
      </c>
      <c r="E382" t="inlineStr">
        <is>
          <t>Existing / operating (inferred)</t>
        </is>
      </c>
      <c r="F382" t="inlineStr">
        <is>
          <t>inferred (county label "Existing or Permitted" + year built/permit)</t>
        </is>
      </c>
      <c r="G382" t="inlineStr"/>
      <c r="H382" t="inlineStr"/>
      <c r="I382" t="inlineStr">
        <is>
          <t>124369522000</t>
        </is>
      </c>
      <c r="K382" t="n">
        <v>2021</v>
      </c>
      <c r="L382" t="inlineStr"/>
      <c r="M382" t="inlineStr">
        <is>
          <t>County lists as 'Existing or Permitted'; year built 2021, building permit 2020-11-19</t>
        </is>
      </c>
      <c r="N382" t="inlineStr">
        <is>
          <t>https://logis.loudoun.gov/gis/rest/services/Projects/BuildOut_LandUse/MapServer/0/127856?f=html</t>
        </is>
      </c>
      <c r="O382" t="n">
        <v>38.957906</v>
      </c>
      <c r="P382" t="n">
        <v>-77.505498</v>
      </c>
    </row>
    <row r="383">
      <c r="A383" t="n">
        <v>382</v>
      </c>
      <c r="B383" t="inlineStr">
        <is>
          <t>Loudoun</t>
        </is>
      </c>
      <c r="C383" t="inlineStr">
        <is>
          <t>44820 PRENTICE DR</t>
        </is>
      </c>
      <c r="D383" t="inlineStr">
        <is>
          <t>Existing/Completed</t>
        </is>
      </c>
      <c r="E383" t="inlineStr">
        <is>
          <t>Existing / operating (inferred)</t>
        </is>
      </c>
      <c r="F383" t="inlineStr">
        <is>
          <t>inferred (county label "Existing or Permitted" + year built/permit)</t>
        </is>
      </c>
      <c r="G383" t="inlineStr"/>
      <c r="H383" t="inlineStr"/>
      <c r="I383" t="inlineStr">
        <is>
          <t>044370416000</t>
        </is>
      </c>
      <c r="K383" t="n">
        <v>2024</v>
      </c>
      <c r="L383" t="inlineStr"/>
      <c r="M383" t="inlineStr">
        <is>
          <t>County lists as 'Existing or Permitted'; year built 2024, building permit 2023-08-28</t>
        </is>
      </c>
      <c r="N383" t="inlineStr">
        <is>
          <t>https://logis.loudoun.gov/gis/rest/services/Projects/BuildOut_LandUse/MapServer/0/127864?f=html</t>
        </is>
      </c>
      <c r="O383" t="n">
        <v>39.001764</v>
      </c>
      <c r="P383" t="n">
        <v>-77.45269999999999</v>
      </c>
    </row>
    <row r="384">
      <c r="A384" t="n">
        <v>383</v>
      </c>
      <c r="B384" t="inlineStr">
        <is>
          <t>Loudoun</t>
        </is>
      </c>
      <c r="C384" t="inlineStr">
        <is>
          <t>22370 KIPPER DR</t>
        </is>
      </c>
      <c r="D384" t="inlineStr">
        <is>
          <t>Existing/Completed</t>
        </is>
      </c>
      <c r="E384" t="inlineStr">
        <is>
          <t>Existing / operating (inferred)</t>
        </is>
      </c>
      <c r="F384" t="inlineStr">
        <is>
          <t>inferred (county label "Existing or Permitted" + year built/permit)</t>
        </is>
      </c>
      <c r="G384" t="inlineStr"/>
      <c r="H384" t="inlineStr"/>
      <c r="I384" t="inlineStr">
        <is>
          <t>044193385000</t>
        </is>
      </c>
      <c r="K384" t="n">
        <v>2020</v>
      </c>
      <c r="L384" t="inlineStr"/>
      <c r="M384" t="inlineStr">
        <is>
          <t>County lists as 'Existing or Permitted'; year built 2020, building permit 2019-08-02</t>
        </is>
      </c>
      <c r="N384" t="inlineStr">
        <is>
          <t>https://logis.loudoun.gov/gis/rest/services/Projects/BuildOut_LandUse/MapServer/0/127912?f=html</t>
        </is>
      </c>
      <c r="O384" t="n">
        <v>38.996703</v>
      </c>
      <c r="P384" t="n">
        <v>-77.435596</v>
      </c>
    </row>
    <row r="385">
      <c r="A385" t="n">
        <v>384</v>
      </c>
      <c r="B385" t="inlineStr">
        <is>
          <t>Loudoun</t>
        </is>
      </c>
      <c r="C385" t="inlineStr">
        <is>
          <t>21641 CHARLES VIEW DR</t>
        </is>
      </c>
      <c r="D385" t="inlineStr">
        <is>
          <t>Existing/Completed</t>
        </is>
      </c>
      <c r="E385" t="inlineStr">
        <is>
          <t>Existing / operating (inferred)</t>
        </is>
      </c>
      <c r="F385" t="inlineStr">
        <is>
          <t>inferred (county label "Existing or Permitted" + year built/permit)</t>
        </is>
      </c>
      <c r="G385" t="inlineStr"/>
      <c r="H385" t="inlineStr"/>
      <c r="I385" t="inlineStr">
        <is>
          <t>043482656000</t>
        </is>
      </c>
      <c r="K385" t="n">
        <v>2020</v>
      </c>
      <c r="L385" t="inlineStr"/>
      <c r="M385" t="inlineStr">
        <is>
          <t>County lists as 'Existing or Permitted'; year built 2020, building permit 2019-08-01</t>
        </is>
      </c>
      <c r="N385" t="inlineStr">
        <is>
          <t>https://logis.loudoun.gov/gis/rest/services/Projects/BuildOut_LandUse/MapServer/0/127914?f=html</t>
        </is>
      </c>
      <c r="O385" t="n">
        <v>39.018496</v>
      </c>
      <c r="P385" t="n">
        <v>-77.43888099999999</v>
      </c>
    </row>
    <row r="386">
      <c r="A386" t="n">
        <v>385</v>
      </c>
      <c r="B386" t="inlineStr">
        <is>
          <t>Loudoun</t>
        </is>
      </c>
      <c r="C386" t="inlineStr">
        <is>
          <t>22900 PLATFORM PLZ</t>
        </is>
      </c>
      <c r="D386" t="inlineStr">
        <is>
          <t>Existing/Completed</t>
        </is>
      </c>
      <c r="E386" t="inlineStr">
        <is>
          <t>Existing / operating (inferred)</t>
        </is>
      </c>
      <c r="F386" t="inlineStr">
        <is>
          <t>inferred (county label "Existing or Permitted" + year built/permit)</t>
        </is>
      </c>
      <c r="G386" t="inlineStr"/>
      <c r="H386" t="inlineStr"/>
      <c r="I386" t="inlineStr">
        <is>
          <t>034385918000</t>
        </is>
      </c>
      <c r="K386" t="n">
        <v>2020</v>
      </c>
      <c r="L386" t="inlineStr"/>
      <c r="M386" t="inlineStr">
        <is>
          <t>County lists as 'Existing or Permitted'; year built 2020, building permit 2019-07-17</t>
        </is>
      </c>
      <c r="N386" t="inlineStr">
        <is>
          <t>https://logis.loudoun.gov/gis/rest/services/Projects/BuildOut_LandUse/MapServer/0/127919?f=html</t>
        </is>
      </c>
      <c r="O386" t="n">
        <v>38.981421</v>
      </c>
      <c r="P386" t="n">
        <v>-77.41740900000001</v>
      </c>
    </row>
    <row r="387">
      <c r="A387" t="n">
        <v>386</v>
      </c>
      <c r="B387" t="inlineStr">
        <is>
          <t>Loudoun</t>
        </is>
      </c>
      <c r="C387" t="inlineStr">
        <is>
          <t>22890 PLATFORM PLZ</t>
        </is>
      </c>
      <c r="D387" t="inlineStr">
        <is>
          <t>Existing/Completed</t>
        </is>
      </c>
      <c r="E387" t="inlineStr">
        <is>
          <t>Existing / operating (inferred)</t>
        </is>
      </c>
      <c r="F387" t="inlineStr">
        <is>
          <t>inferred (county label "Existing or Permitted" + year built/permit)</t>
        </is>
      </c>
      <c r="G387" t="inlineStr"/>
      <c r="H387" t="inlineStr"/>
      <c r="I387" t="inlineStr">
        <is>
          <t>034385918000</t>
        </is>
      </c>
      <c r="K387" t="n">
        <v>2020</v>
      </c>
      <c r="L387" t="inlineStr"/>
      <c r="M387" t="inlineStr">
        <is>
          <t>County lists as 'Existing or Permitted'; year built 2020, building permit 2019-08-23</t>
        </is>
      </c>
      <c r="N387" t="inlineStr">
        <is>
          <t>https://logis.loudoun.gov/gis/rest/services/Projects/BuildOut_LandUse/MapServer/0/127920?f=html</t>
        </is>
      </c>
      <c r="O387" t="n">
        <v>38.982388</v>
      </c>
      <c r="P387" t="n">
        <v>-77.416792</v>
      </c>
    </row>
    <row r="388">
      <c r="A388" t="n">
        <v>387</v>
      </c>
      <c r="B388" t="inlineStr">
        <is>
          <t>Loudoun</t>
        </is>
      </c>
      <c r="C388" t="inlineStr">
        <is>
          <t>21710 CHARLES VIEW DR</t>
        </is>
      </c>
      <c r="D388" t="inlineStr">
        <is>
          <t>Existing/Completed</t>
        </is>
      </c>
      <c r="E388" t="inlineStr">
        <is>
          <t>Existing / operating (inferred)</t>
        </is>
      </c>
      <c r="F388" t="inlineStr">
        <is>
          <t>inferred (county label "Existing or Permitted" + year built/permit)</t>
        </is>
      </c>
      <c r="G388" t="inlineStr"/>
      <c r="H388" t="inlineStr"/>
      <c r="I388" t="inlineStr">
        <is>
          <t>043482656000</t>
        </is>
      </c>
      <c r="K388" t="n">
        <v>2020</v>
      </c>
      <c r="L388" t="inlineStr"/>
      <c r="M388" t="inlineStr">
        <is>
          <t>County lists as 'Existing or Permitted'; year built 2020, building permit 2020-01-24</t>
        </is>
      </c>
      <c r="N388" t="inlineStr">
        <is>
          <t>https://logis.loudoun.gov/gis/rest/services/Projects/BuildOut_LandUse/MapServer/0/128429?f=html</t>
        </is>
      </c>
      <c r="O388" t="n">
        <v>39.016043</v>
      </c>
      <c r="P388" t="n">
        <v>-77.438412</v>
      </c>
    </row>
    <row r="389">
      <c r="A389" t="n">
        <v>388</v>
      </c>
      <c r="B389" t="inlineStr">
        <is>
          <t>Loudoun</t>
        </is>
      </c>
      <c r="C389" t="inlineStr">
        <is>
          <t>21645 CHARLES VIEW DR</t>
        </is>
      </c>
      <c r="D389" t="inlineStr">
        <is>
          <t>Existing/Completed</t>
        </is>
      </c>
      <c r="E389" t="inlineStr">
        <is>
          <t>Existing / operating (inferred)</t>
        </is>
      </c>
      <c r="F389" t="inlineStr">
        <is>
          <t>inferred (county label "Existing or Permitted" + year built/permit)</t>
        </is>
      </c>
      <c r="G389" t="inlineStr"/>
      <c r="H389" t="inlineStr"/>
      <c r="I389" t="inlineStr">
        <is>
          <t>043482656000</t>
        </is>
      </c>
      <c r="K389" t="n">
        <v>2020</v>
      </c>
      <c r="L389" t="inlineStr"/>
      <c r="M389" t="inlineStr">
        <is>
          <t>County lists as 'Existing or Permitted'; year built 2020, building permit 2019-11-12</t>
        </is>
      </c>
      <c r="N389" t="inlineStr">
        <is>
          <t>https://logis.loudoun.gov/gis/rest/services/Projects/BuildOut_LandUse/MapServer/0/128430?f=html</t>
        </is>
      </c>
      <c r="O389" t="n">
        <v>39.016965</v>
      </c>
      <c r="P389" t="n">
        <v>-77.43932100000001</v>
      </c>
    </row>
    <row r="390">
      <c r="A390" t="n">
        <v>389</v>
      </c>
      <c r="B390" t="inlineStr">
        <is>
          <t>Loudoun</t>
        </is>
      </c>
      <c r="C390" t="inlineStr">
        <is>
          <t>22420 KIPPER DR</t>
        </is>
      </c>
      <c r="D390" t="inlineStr">
        <is>
          <t>Existing/Completed</t>
        </is>
      </c>
      <c r="E390" t="inlineStr">
        <is>
          <t>Existing / operating (inferred)</t>
        </is>
      </c>
      <c r="F390" t="inlineStr">
        <is>
          <t>inferred (county label "Existing or Permitted" + year built/permit)</t>
        </is>
      </c>
      <c r="G390" t="inlineStr"/>
      <c r="H390" t="inlineStr"/>
      <c r="I390" t="inlineStr">
        <is>
          <t>045494813000</t>
        </is>
      </c>
      <c r="K390" t="n">
        <v>2020</v>
      </c>
      <c r="L390" t="inlineStr"/>
      <c r="M390" t="inlineStr">
        <is>
          <t>County lists as 'Existing or Permitted'; year built 2020, building permit 2020-01-28</t>
        </is>
      </c>
      <c r="N390" t="inlineStr">
        <is>
          <t>https://logis.loudoun.gov/gis/rest/services/Projects/BuildOut_LandUse/MapServer/0/128446?f=html</t>
        </is>
      </c>
      <c r="O390" t="n">
        <v>38.995006</v>
      </c>
      <c r="P390" t="n">
        <v>-77.435345</v>
      </c>
    </row>
    <row r="391">
      <c r="A391" t="n">
        <v>390</v>
      </c>
      <c r="B391" t="inlineStr">
        <is>
          <t>Loudoun</t>
        </is>
      </c>
      <c r="C391" t="inlineStr">
        <is>
          <t>21340 PACIFIC BLVD</t>
        </is>
      </c>
      <c r="D391" t="inlineStr">
        <is>
          <t>Existing/Completed</t>
        </is>
      </c>
      <c r="E391" t="inlineStr">
        <is>
          <t>Existing / operating (inferred)</t>
        </is>
      </c>
      <c r="F391" t="inlineStr">
        <is>
          <t>inferred (county label "Existing or Permitted" + year built/permit)</t>
        </is>
      </c>
      <c r="G391" t="inlineStr"/>
      <c r="H391" t="inlineStr"/>
      <c r="I391" t="inlineStr">
        <is>
          <t>042394385000</t>
        </is>
      </c>
      <c r="K391" t="n">
        <v>2020</v>
      </c>
      <c r="L391" t="inlineStr"/>
      <c r="M391" t="inlineStr">
        <is>
          <t>County lists as 'Existing or Permitted'; year built 2020, building permit 2019-11-18</t>
        </is>
      </c>
      <c r="N391" t="inlineStr">
        <is>
          <t>https://logis.loudoun.gov/gis/rest/services/Projects/BuildOut_LandUse/MapServer/0/128468?f=html</t>
        </is>
      </c>
      <c r="O391" t="n">
        <v>39.02634</v>
      </c>
      <c r="P391" t="n">
        <v>-77.434031</v>
      </c>
    </row>
    <row r="392">
      <c r="A392" t="n">
        <v>391</v>
      </c>
      <c r="B392" t="inlineStr">
        <is>
          <t>Loudoun</t>
        </is>
      </c>
      <c r="C392" t="inlineStr">
        <is>
          <t>19525 COMPASS CREEK PKWY</t>
        </is>
      </c>
      <c r="D392" t="inlineStr">
        <is>
          <t>Existing/Completed</t>
        </is>
      </c>
      <c r="E392" t="inlineStr">
        <is>
          <t>Existing / operating (inferred)</t>
        </is>
      </c>
      <c r="F392" t="inlineStr">
        <is>
          <t>inferred (county label "Existing or Permitted" + year built/permit)</t>
        </is>
      </c>
      <c r="G392" t="inlineStr"/>
      <c r="H392" t="inlineStr"/>
      <c r="I392" t="inlineStr">
        <is>
          <t>235297431000</t>
        </is>
      </c>
      <c r="K392" t="n">
        <v>2022</v>
      </c>
      <c r="L392" t="inlineStr"/>
      <c r="M392" t="inlineStr">
        <is>
          <t>County lists as 'Existing or Permitted'; year built 2022, building permit 2020-08-24</t>
        </is>
      </c>
      <c r="N392" t="inlineStr">
        <is>
          <t>https://logis.loudoun.gov/gis/rest/services/Projects/BuildOut_LandUse/MapServer/0/128773?f=html</t>
        </is>
      </c>
      <c r="O392" t="n">
        <v>39.075502</v>
      </c>
      <c r="P392" t="n">
        <v>-77.563014</v>
      </c>
    </row>
    <row r="393">
      <c r="A393" t="n">
        <v>392</v>
      </c>
      <c r="B393" t="inlineStr">
        <is>
          <t>Loudoun</t>
        </is>
      </c>
      <c r="C393" t="inlineStr">
        <is>
          <t>19515 COMPASS CREEK PKWY</t>
        </is>
      </c>
      <c r="D393" t="inlineStr">
        <is>
          <t>Existing/Completed</t>
        </is>
      </c>
      <c r="E393" t="inlineStr">
        <is>
          <t>Existing / operating (inferred)</t>
        </is>
      </c>
      <c r="F393" t="inlineStr">
        <is>
          <t>inferred (county label "Existing or Permitted" + year built/permit)</t>
        </is>
      </c>
      <c r="G393" t="inlineStr"/>
      <c r="H393" t="inlineStr"/>
      <c r="I393" t="inlineStr">
        <is>
          <t>235297431000</t>
        </is>
      </c>
      <c r="K393" t="n">
        <v>2021</v>
      </c>
      <c r="L393" t="inlineStr"/>
      <c r="M393" t="inlineStr">
        <is>
          <t>County lists as 'Existing or Permitted'; year built 2021, building permit 2020-08-24</t>
        </is>
      </c>
      <c r="N393" t="inlineStr">
        <is>
          <t>https://logis.loudoun.gov/gis/rest/services/Projects/BuildOut_LandUse/MapServer/0/128774?f=html</t>
        </is>
      </c>
      <c r="O393" t="n">
        <v>39.074775</v>
      </c>
      <c r="P393" t="n">
        <v>-77.564115</v>
      </c>
    </row>
    <row r="394">
      <c r="A394" t="n">
        <v>393</v>
      </c>
      <c r="B394" t="inlineStr">
        <is>
          <t>Loudoun</t>
        </is>
      </c>
      <c r="C394" t="inlineStr">
        <is>
          <t>21660 CHARLES VIEW DR</t>
        </is>
      </c>
      <c r="D394" t="inlineStr">
        <is>
          <t>Existing/Completed</t>
        </is>
      </c>
      <c r="E394" t="inlineStr">
        <is>
          <t>Existing / operating (inferred)</t>
        </is>
      </c>
      <c r="F394" t="inlineStr">
        <is>
          <t>inferred (county label "Existing or Permitted" + year built/permit)</t>
        </is>
      </c>
      <c r="G394" t="inlineStr"/>
      <c r="H394" t="inlineStr"/>
      <c r="I394" t="inlineStr">
        <is>
          <t>043482656000</t>
        </is>
      </c>
      <c r="K394" t="n">
        <v>2020</v>
      </c>
      <c r="L394" t="inlineStr"/>
      <c r="M394" t="inlineStr">
        <is>
          <t>County lists as 'Existing or Permitted'; year built 2020, building permit 2020-04-27</t>
        </is>
      </c>
      <c r="N394" t="inlineStr">
        <is>
          <t>https://logis.loudoun.gov/gis/rest/services/Projects/BuildOut_LandUse/MapServer/0/129156?f=html</t>
        </is>
      </c>
      <c r="O394" t="n">
        <v>39.015273</v>
      </c>
      <c r="P394" t="n">
        <v>-77.437787</v>
      </c>
    </row>
    <row r="395">
      <c r="A395" t="n">
        <v>394</v>
      </c>
      <c r="B395" t="inlineStr">
        <is>
          <t>Loudoun</t>
        </is>
      </c>
      <c r="C395" t="inlineStr">
        <is>
          <t>44351 IMPORT PLZ</t>
        </is>
      </c>
      <c r="D395" t="inlineStr">
        <is>
          <t>Existing/Completed</t>
        </is>
      </c>
      <c r="E395" t="inlineStr">
        <is>
          <t>Existing / operating (inferred)</t>
        </is>
      </c>
      <c r="F395" t="inlineStr">
        <is>
          <t>inferred (county label "Existing or Permitted" + year built/permit)</t>
        </is>
      </c>
      <c r="G395" t="inlineStr"/>
      <c r="H395" t="inlineStr"/>
      <c r="I395" t="inlineStr">
        <is>
          <t>062159785000</t>
        </is>
      </c>
      <c r="K395" t="n">
        <v>2022</v>
      </c>
      <c r="L395" t="inlineStr"/>
      <c r="M395" t="inlineStr">
        <is>
          <t>County lists as 'Existing or Permitted'; year built 2022, building permit 2022-04-14</t>
        </is>
      </c>
      <c r="N395" t="inlineStr">
        <is>
          <t>https://logis.loudoun.gov/gis/rest/services/Projects/BuildOut_LandUse/MapServer/0/129158?f=html</t>
        </is>
      </c>
      <c r="O395" t="n">
        <v>38.99513</v>
      </c>
      <c r="P395" t="n">
        <v>-77.47091899999999</v>
      </c>
    </row>
    <row r="396">
      <c r="A396" t="n">
        <v>395</v>
      </c>
      <c r="B396" t="inlineStr">
        <is>
          <t>Loudoun</t>
        </is>
      </c>
      <c r="C396" t="inlineStr">
        <is>
          <t>44305 IMPORT PLZ</t>
        </is>
      </c>
      <c r="D396" t="inlineStr">
        <is>
          <t>Existing/Completed</t>
        </is>
      </c>
      <c r="E396" t="inlineStr">
        <is>
          <t>Existing / operating (inferred)</t>
        </is>
      </c>
      <c r="F396" t="inlineStr">
        <is>
          <t>inferred (county label "Existing or Permitted" + year built/permit)</t>
        </is>
      </c>
      <c r="G396" t="inlineStr"/>
      <c r="H396" t="inlineStr"/>
      <c r="I396" t="inlineStr">
        <is>
          <t>062159785000</t>
        </is>
      </c>
      <c r="K396" t="n">
        <v>2021</v>
      </c>
      <c r="L396" t="inlineStr"/>
      <c r="M396" t="inlineStr">
        <is>
          <t>County lists as 'Existing or Permitted'; year built 2021, building permit 2020-08-10</t>
        </is>
      </c>
      <c r="N396" t="inlineStr">
        <is>
          <t>https://logis.loudoun.gov/gis/rest/services/Projects/BuildOut_LandUse/MapServer/0/129159?f=html</t>
        </is>
      </c>
      <c r="O396" t="n">
        <v>38.995853</v>
      </c>
      <c r="P396" t="n">
        <v>-77.47127399999999</v>
      </c>
    </row>
    <row r="397">
      <c r="A397" t="n">
        <v>396</v>
      </c>
      <c r="B397" t="inlineStr">
        <is>
          <t>Loudoun</t>
        </is>
      </c>
      <c r="C397" t="inlineStr">
        <is>
          <t>44254 IMPORT PLZ</t>
        </is>
      </c>
      <c r="D397" t="inlineStr">
        <is>
          <t>Existing/Completed</t>
        </is>
      </c>
      <c r="E397" t="inlineStr">
        <is>
          <t>Existing / operating (inferred)</t>
        </is>
      </c>
      <c r="F397" t="inlineStr">
        <is>
          <t>inferred (county label "Existing or Permitted" + year built/permit)</t>
        </is>
      </c>
      <c r="G397" t="inlineStr"/>
      <c r="H397" t="inlineStr"/>
      <c r="I397" t="inlineStr">
        <is>
          <t>062159785000</t>
        </is>
      </c>
      <c r="K397" t="n">
        <v>2021</v>
      </c>
      <c r="L397" t="inlineStr"/>
      <c r="M397" t="inlineStr">
        <is>
          <t>County lists as 'Existing or Permitted'; year built 2021, building permit 2020-06-16</t>
        </is>
      </c>
      <c r="N397" t="inlineStr">
        <is>
          <t>https://logis.loudoun.gov/gis/rest/services/Projects/BuildOut_LandUse/MapServer/0/129160?f=html</t>
        </is>
      </c>
      <c r="O397" t="n">
        <v>38.99664</v>
      </c>
      <c r="P397" t="n">
        <v>-77.473232</v>
      </c>
    </row>
    <row r="398">
      <c r="A398" t="n">
        <v>397</v>
      </c>
      <c r="B398" t="inlineStr">
        <is>
          <t>Loudoun</t>
        </is>
      </c>
      <c r="C398" t="inlineStr">
        <is>
          <t>22940 PLATFORM PLZ</t>
        </is>
      </c>
      <c r="D398" t="inlineStr">
        <is>
          <t>Existing/Completed</t>
        </is>
      </c>
      <c r="E398" t="inlineStr">
        <is>
          <t>Existing / operating (inferred)</t>
        </is>
      </c>
      <c r="F398" t="inlineStr">
        <is>
          <t>inferred (county label "Existing or Permitted" + year built/permit)</t>
        </is>
      </c>
      <c r="G398" t="inlineStr"/>
      <c r="H398" t="inlineStr"/>
      <c r="I398" t="inlineStr">
        <is>
          <t>034385918000</t>
        </is>
      </c>
      <c r="K398" t="n">
        <v>2020</v>
      </c>
      <c r="L398" t="inlineStr"/>
      <c r="M398" t="inlineStr">
        <is>
          <t>County lists as 'Existing or Permitted'; year built 2020, building permit 2020-07-08</t>
        </is>
      </c>
      <c r="N398" t="inlineStr">
        <is>
          <t>https://logis.loudoun.gov/gis/rest/services/Projects/BuildOut_LandUse/MapServer/0/129303?f=html</t>
        </is>
      </c>
      <c r="O398" t="n">
        <v>38.981559</v>
      </c>
      <c r="P398" t="n">
        <v>-77.419383</v>
      </c>
    </row>
    <row r="399">
      <c r="A399" t="n">
        <v>398</v>
      </c>
      <c r="B399" t="inlineStr">
        <is>
          <t>Loudoun</t>
        </is>
      </c>
      <c r="C399" t="inlineStr">
        <is>
          <t>22291 SHELLHORN RD</t>
        </is>
      </c>
      <c r="D399" t="inlineStr">
        <is>
          <t>Existing/Completed</t>
        </is>
      </c>
      <c r="E399" t="inlineStr">
        <is>
          <t>Existing / operating (inferred)</t>
        </is>
      </c>
      <c r="F399" t="inlineStr">
        <is>
          <t>inferred (county label "Existing or Permitted" + year built/permit)</t>
        </is>
      </c>
      <c r="G399" t="inlineStr"/>
      <c r="H399" t="inlineStr"/>
      <c r="I399" t="inlineStr">
        <is>
          <t>089100937000</t>
        </is>
      </c>
      <c r="K399" t="n">
        <v>2021</v>
      </c>
      <c r="L399" t="inlineStr"/>
      <c r="M399" t="inlineStr">
        <is>
          <t>County lists as 'Existing or Permitted'; year built 2021, building permit 2020-07-22</t>
        </is>
      </c>
      <c r="N399" t="inlineStr">
        <is>
          <t>https://logis.loudoun.gov/gis/rest/services/Projects/BuildOut_LandUse/MapServer/0/129639?f=html</t>
        </is>
      </c>
      <c r="O399" t="n">
        <v>38.998021</v>
      </c>
      <c r="P399" t="n">
        <v>-77.475549</v>
      </c>
    </row>
    <row r="400">
      <c r="A400" t="n">
        <v>399</v>
      </c>
      <c r="B400" t="inlineStr">
        <is>
          <t>Loudoun</t>
        </is>
      </c>
      <c r="C400" t="inlineStr">
        <is>
          <t>22271 SHELLHORN RD</t>
        </is>
      </c>
      <c r="D400" t="inlineStr">
        <is>
          <t>Existing/Completed</t>
        </is>
      </c>
      <c r="E400" t="inlineStr">
        <is>
          <t>Existing / operating (inferred)</t>
        </is>
      </c>
      <c r="F400" t="inlineStr">
        <is>
          <t>inferred (county label "Existing or Permitted" + year built/permit)</t>
        </is>
      </c>
      <c r="G400" t="inlineStr"/>
      <c r="H400" t="inlineStr"/>
      <c r="I400" t="inlineStr">
        <is>
          <t>089104437000</t>
        </is>
      </c>
      <c r="K400" t="n">
        <v>2022</v>
      </c>
      <c r="L400" t="inlineStr"/>
      <c r="M400" t="inlineStr">
        <is>
          <t>County lists as 'Existing or Permitted'; year built 2022, building permit 2021-08-27</t>
        </is>
      </c>
      <c r="N400" t="inlineStr">
        <is>
          <t>https://logis.loudoun.gov/gis/rest/services/Projects/BuildOut_LandUse/MapServer/0/129640?f=html</t>
        </is>
      </c>
      <c r="O400" t="n">
        <v>38.998839</v>
      </c>
      <c r="P400" t="n">
        <v>-77.47419499999999</v>
      </c>
    </row>
    <row r="401">
      <c r="A401" t="n">
        <v>400</v>
      </c>
      <c r="B401" t="inlineStr">
        <is>
          <t>Loudoun</t>
        </is>
      </c>
      <c r="C401" t="inlineStr">
        <is>
          <t>24141 UPPER WOODSIDE LN</t>
        </is>
      </c>
      <c r="D401" t="inlineStr">
        <is>
          <t>Existing/Completed</t>
        </is>
      </c>
      <c r="E401" t="inlineStr">
        <is>
          <t>Existing / operating (inferred)</t>
        </is>
      </c>
      <c r="F401" t="inlineStr">
        <is>
          <t>inferred (county label "Existing or Permitted" + year built/permit)</t>
        </is>
      </c>
      <c r="G401" t="inlineStr"/>
      <c r="H401" t="inlineStr"/>
      <c r="I401" t="inlineStr">
        <is>
          <t>162392026000</t>
        </is>
      </c>
      <c r="K401" t="n">
        <v>2021</v>
      </c>
      <c r="L401" t="inlineStr"/>
      <c r="M401" t="inlineStr">
        <is>
          <t>County lists as 'Existing or Permitted'; year built 2021, building permit 2020-12-11</t>
        </is>
      </c>
      <c r="N401" t="inlineStr">
        <is>
          <t>https://logis.loudoun.gov/gis/rest/services/Projects/BuildOut_LandUse/MapServer/0/129651?f=html</t>
        </is>
      </c>
      <c r="O401" t="n">
        <v>38.949126</v>
      </c>
      <c r="P401" t="n">
        <v>-77.52354200000001</v>
      </c>
    </row>
    <row r="402">
      <c r="A402" t="n">
        <v>401</v>
      </c>
      <c r="B402" t="inlineStr">
        <is>
          <t>Loudoun</t>
        </is>
      </c>
      <c r="C402" t="inlineStr">
        <is>
          <t>44540 ROUND TABLE PLZ</t>
        </is>
      </c>
      <c r="D402" t="inlineStr">
        <is>
          <t>Existing/Completed</t>
        </is>
      </c>
      <c r="E402" t="inlineStr">
        <is>
          <t>Existing / operating (inferred)</t>
        </is>
      </c>
      <c r="F402" t="inlineStr">
        <is>
          <t>inferred (county label "Existing or Permitted" + year built/permit)</t>
        </is>
      </c>
      <c r="G402" t="inlineStr"/>
      <c r="H402" t="inlineStr"/>
      <c r="I402" t="inlineStr">
        <is>
          <t>062462761000</t>
        </is>
      </c>
      <c r="K402" t="n">
        <v>2023</v>
      </c>
      <c r="L402" t="inlineStr"/>
      <c r="M402" t="inlineStr">
        <is>
          <t>County lists as 'Existing or Permitted'; year built 2023, building permit 2022-01-19</t>
        </is>
      </c>
      <c r="N402" t="inlineStr">
        <is>
          <t>https://logis.loudoun.gov/gis/rest/services/Projects/BuildOut_LandUse/MapServer/0/129664?f=html</t>
        </is>
      </c>
      <c r="O402" t="n">
        <v>39.006621</v>
      </c>
      <c r="P402" t="n">
        <v>-77.466193</v>
      </c>
    </row>
    <row r="403">
      <c r="A403" t="n">
        <v>402</v>
      </c>
      <c r="B403" t="inlineStr">
        <is>
          <t>Loudoun</t>
        </is>
      </c>
      <c r="C403" t="inlineStr">
        <is>
          <t>21215 ATLANTIC BLVD</t>
        </is>
      </c>
      <c r="D403" t="inlineStr">
        <is>
          <t>Existing/Completed</t>
        </is>
      </c>
      <c r="E403" t="inlineStr">
        <is>
          <t>Existing / operating (inferred)</t>
        </is>
      </c>
      <c r="F403" t="inlineStr">
        <is>
          <t>inferred (county label "Existing or Permitted" + year built/permit)</t>
        </is>
      </c>
      <c r="G403" t="inlineStr"/>
      <c r="H403" t="inlineStr"/>
      <c r="I403" t="inlineStr">
        <is>
          <t>030455548000</t>
        </is>
      </c>
      <c r="K403" t="n">
        <v>2022</v>
      </c>
      <c r="L403" t="inlineStr"/>
      <c r="M403" t="inlineStr">
        <is>
          <t>County lists as 'Existing or Permitted'; year built 2022, building permit 2021-02-23</t>
        </is>
      </c>
      <c r="N403" t="inlineStr">
        <is>
          <t>https://logis.loudoun.gov/gis/rest/services/Projects/BuildOut_LandUse/MapServer/0/130026?f=html</t>
        </is>
      </c>
      <c r="O403" t="n">
        <v>39.028918</v>
      </c>
      <c r="P403" t="n">
        <v>-77.427526</v>
      </c>
    </row>
    <row r="404">
      <c r="A404" t="n">
        <v>403</v>
      </c>
      <c r="B404" t="inlineStr">
        <is>
          <t>Loudoun</t>
        </is>
      </c>
      <c r="C404" t="inlineStr">
        <is>
          <t>21205 ATLANTIC BLVD</t>
        </is>
      </c>
      <c r="D404" t="inlineStr">
        <is>
          <t>Existing/Completed</t>
        </is>
      </c>
      <c r="E404" t="inlineStr">
        <is>
          <t>Existing / operating (inferred)</t>
        </is>
      </c>
      <c r="F404" t="inlineStr">
        <is>
          <t>inferred (county label "Existing or Permitted" + year built/permit)</t>
        </is>
      </c>
      <c r="G404" t="inlineStr"/>
      <c r="H404" t="inlineStr"/>
      <c r="I404" t="inlineStr">
        <is>
          <t>029151508000</t>
        </is>
      </c>
      <c r="K404" t="n">
        <v>2022</v>
      </c>
      <c r="L404" t="inlineStr"/>
      <c r="M404" t="inlineStr">
        <is>
          <t>County lists as 'Existing or Permitted'; year built 2022, building permit 2020-12-11</t>
        </is>
      </c>
      <c r="N404" t="inlineStr">
        <is>
          <t>https://logis.loudoun.gov/gis/rest/services/Projects/BuildOut_LandUse/MapServer/0/130027?f=html</t>
        </is>
      </c>
      <c r="O404" t="n">
        <v>39.030449</v>
      </c>
      <c r="P404" t="n">
        <v>-77.428905</v>
      </c>
    </row>
    <row r="405">
      <c r="A405" t="n">
        <v>404</v>
      </c>
      <c r="B405" t="inlineStr">
        <is>
          <t>Loudoun</t>
        </is>
      </c>
      <c r="C405" t="inlineStr">
        <is>
          <t>21195 ATLANTIC BLVD</t>
        </is>
      </c>
      <c r="D405" t="inlineStr">
        <is>
          <t>Existing/Completed</t>
        </is>
      </c>
      <c r="E405" t="inlineStr">
        <is>
          <t>Existing / operating (inferred)</t>
        </is>
      </c>
      <c r="F405" t="inlineStr">
        <is>
          <t>inferred (county label "Existing or Permitted" + year built/permit)</t>
        </is>
      </c>
      <c r="G405" t="inlineStr"/>
      <c r="H405" t="inlineStr"/>
      <c r="I405" t="inlineStr">
        <is>
          <t>041108666000</t>
        </is>
      </c>
      <c r="K405" t="n">
        <v>2021</v>
      </c>
      <c r="L405" t="inlineStr"/>
      <c r="M405" t="inlineStr">
        <is>
          <t>County lists as 'Existing or Permitted'; year built 2021, building permit 2020-11-12</t>
        </is>
      </c>
      <c r="N405" t="inlineStr">
        <is>
          <t>https://logis.loudoun.gov/gis/rest/services/Projects/BuildOut_LandUse/MapServer/0/130028?f=html</t>
        </is>
      </c>
      <c r="O405" t="n">
        <v>39.032285</v>
      </c>
      <c r="P405" t="n">
        <v>-77.42971</v>
      </c>
    </row>
    <row r="406">
      <c r="A406" t="n">
        <v>405</v>
      </c>
      <c r="B406" t="inlineStr">
        <is>
          <t>Loudoun</t>
        </is>
      </c>
      <c r="C406" t="inlineStr">
        <is>
          <t>21745 BEAUMEADE CIR</t>
        </is>
      </c>
      <c r="D406" t="inlineStr">
        <is>
          <t>Existing/Completed</t>
        </is>
      </c>
      <c r="E406" t="inlineStr">
        <is>
          <t>Existing / operating (inferred)</t>
        </is>
      </c>
      <c r="F406" t="inlineStr">
        <is>
          <t>inferred (county label "Existing or Permitted" + year built/permit)</t>
        </is>
      </c>
      <c r="G406" t="inlineStr"/>
      <c r="H406" t="inlineStr"/>
      <c r="I406" t="inlineStr">
        <is>
          <t>060189720000</t>
        </is>
      </c>
      <c r="K406" t="n">
        <v>2023</v>
      </c>
      <c r="L406" t="inlineStr"/>
      <c r="M406" t="inlineStr">
        <is>
          <t>County lists as 'Existing or Permitted'; year built 2023, building permit 2022-09-13</t>
        </is>
      </c>
      <c r="N406" t="inlineStr">
        <is>
          <t>https://logis.loudoun.gov/gis/rest/services/Projects/BuildOut_LandUse/MapServer/0/130054?f=html</t>
        </is>
      </c>
      <c r="O406" t="n">
        <v>39.018005</v>
      </c>
      <c r="P406" t="n">
        <v>-77.459315</v>
      </c>
    </row>
    <row r="407">
      <c r="A407" t="n">
        <v>406</v>
      </c>
      <c r="B407" t="inlineStr">
        <is>
          <t>Loudoun</t>
        </is>
      </c>
      <c r="C407" t="inlineStr">
        <is>
          <t>44710 PERFORMANCE CIR</t>
        </is>
      </c>
      <c r="D407" t="inlineStr">
        <is>
          <t>Under construction</t>
        </is>
      </c>
      <c r="E407" t="inlineStr">
        <is>
          <t>Under construction / permitted, not complete (inferred)</t>
        </is>
      </c>
      <c r="F407" t="inlineStr">
        <is>
          <t>inferred (county label "Existing or Permitted" + year built/permit)</t>
        </is>
      </c>
      <c r="G407" t="inlineStr"/>
      <c r="H407" t="inlineStr"/>
      <c r="I407" t="inlineStr">
        <is>
          <t>060209652000</t>
        </is>
      </c>
      <c r="L407" t="inlineStr"/>
      <c r="M407" t="inlineStr">
        <is>
          <t>County lists as 'Existing or Permitted'; year built is placeholder 1000 and building permit issued 2025-05-02 (no completion recorded as of 2025-07-01)</t>
        </is>
      </c>
      <c r="N407" t="inlineStr">
        <is>
          <t>https://logis.loudoun.gov/gis/rest/services/Projects/BuildOut_LandUse/MapServer/0/130069?f=html</t>
        </is>
      </c>
      <c r="O407" t="n">
        <v>39.024918</v>
      </c>
      <c r="P407" t="n">
        <v>-77.453407</v>
      </c>
    </row>
    <row r="408">
      <c r="A408" t="n">
        <v>407</v>
      </c>
      <c r="B408" t="inlineStr">
        <is>
          <t>Loudoun</t>
        </is>
      </c>
      <c r="C408" t="inlineStr">
        <is>
          <t>44740 PERFORMANCE CIR</t>
        </is>
      </c>
      <c r="D408" t="inlineStr">
        <is>
          <t>Existing/Completed</t>
        </is>
      </c>
      <c r="E408" t="inlineStr">
        <is>
          <t>Existing / operating (inferred)</t>
        </is>
      </c>
      <c r="F408" t="inlineStr">
        <is>
          <t>inferred (county label "Existing or Permitted" + year built/permit)</t>
        </is>
      </c>
      <c r="G408" t="inlineStr"/>
      <c r="H408" t="inlineStr"/>
      <c r="I408" t="inlineStr">
        <is>
          <t>060209652000</t>
        </is>
      </c>
      <c r="K408" t="n">
        <v>2023</v>
      </c>
      <c r="L408" t="inlineStr"/>
      <c r="M408" t="inlineStr">
        <is>
          <t>County lists as 'Existing or Permitted'; year built 2023, building permit 2023-04-05</t>
        </is>
      </c>
      <c r="N408" t="inlineStr">
        <is>
          <t>https://logis.loudoun.gov/gis/rest/services/Projects/BuildOut_LandUse/MapServer/0/130070?f=html</t>
        </is>
      </c>
      <c r="O408" t="n">
        <v>39.024202</v>
      </c>
      <c r="P408" t="n">
        <v>-77.452282</v>
      </c>
    </row>
    <row r="409">
      <c r="A409" t="n">
        <v>408</v>
      </c>
      <c r="B409" t="inlineStr">
        <is>
          <t>Loudoun</t>
        </is>
      </c>
      <c r="C409" t="inlineStr">
        <is>
          <t>43764 CLUBBER LN</t>
        </is>
      </c>
      <c r="D409" t="inlineStr">
        <is>
          <t>Existing/Completed</t>
        </is>
      </c>
      <c r="E409" t="inlineStr">
        <is>
          <t>Existing / operating (inferred)</t>
        </is>
      </c>
      <c r="F409" t="inlineStr">
        <is>
          <t>inferred (county label "Existing or Permitted" + year built/permit)</t>
        </is>
      </c>
      <c r="G409" t="inlineStr"/>
      <c r="H409" t="inlineStr"/>
      <c r="I409" t="inlineStr">
        <is>
          <t>097354183000</t>
        </is>
      </c>
      <c r="K409" t="n">
        <v>2023</v>
      </c>
      <c r="L409" t="inlineStr"/>
      <c r="M409" t="inlineStr">
        <is>
          <t>County lists as 'Existing or Permitted'; year built 2023, building permit 2021-06-21</t>
        </is>
      </c>
      <c r="N409" t="inlineStr">
        <is>
          <t>https://logis.loudoun.gov/gis/rest/services/Projects/BuildOut_LandUse/MapServer/0/130355?f=html</t>
        </is>
      </c>
      <c r="O409" t="n">
        <v>38.914982</v>
      </c>
      <c r="P409" t="n">
        <v>-77.49095199999999</v>
      </c>
    </row>
    <row r="410">
      <c r="A410" t="n">
        <v>409</v>
      </c>
      <c r="B410" t="inlineStr">
        <is>
          <t>Loudoun</t>
        </is>
      </c>
      <c r="C410" t="inlineStr">
        <is>
          <t>43774 CLUBBER LN</t>
        </is>
      </c>
      <c r="D410" t="inlineStr">
        <is>
          <t>Existing/Completed</t>
        </is>
      </c>
      <c r="E410" t="inlineStr">
        <is>
          <t>Existing / operating (inferred)</t>
        </is>
      </c>
      <c r="F410" t="inlineStr">
        <is>
          <t>inferred (county label "Existing or Permitted" + year built/permit)</t>
        </is>
      </c>
      <c r="G410" t="inlineStr"/>
      <c r="H410" t="inlineStr"/>
      <c r="I410" t="inlineStr">
        <is>
          <t>097354183000</t>
        </is>
      </c>
      <c r="K410" t="n">
        <v>2022</v>
      </c>
      <c r="L410" t="inlineStr"/>
      <c r="M410" t="inlineStr">
        <is>
          <t>County lists as 'Existing or Permitted'; year built 2022, building permit 2021-05-12</t>
        </is>
      </c>
      <c r="N410" t="inlineStr">
        <is>
          <t>https://logis.loudoun.gov/gis/rest/services/Projects/BuildOut_LandUse/MapServer/0/130356?f=html</t>
        </is>
      </c>
      <c r="O410" t="n">
        <v>38.915895</v>
      </c>
      <c r="P410" t="n">
        <v>-77.490542</v>
      </c>
    </row>
    <row r="411">
      <c r="A411" t="n">
        <v>410</v>
      </c>
      <c r="B411" t="inlineStr">
        <is>
          <t>Loudoun</t>
        </is>
      </c>
      <c r="C411" t="inlineStr">
        <is>
          <t>21310 BEAUMEADE CIR</t>
        </is>
      </c>
      <c r="D411" t="inlineStr">
        <is>
          <t>Existing/Completed</t>
        </is>
      </c>
      <c r="E411" t="inlineStr">
        <is>
          <t>Existing / operating (inferred)</t>
        </is>
      </c>
      <c r="F411" t="inlineStr">
        <is>
          <t>inferred (county label "Existing or Permitted" + year built/permit)</t>
        </is>
      </c>
      <c r="G411" t="inlineStr"/>
      <c r="H411" t="inlineStr"/>
      <c r="I411" t="inlineStr">
        <is>
          <t>061303369000</t>
        </is>
      </c>
      <c r="K411" t="n">
        <v>2022</v>
      </c>
      <c r="L411" t="inlineStr"/>
      <c r="M411" t="inlineStr">
        <is>
          <t>County lists as 'Existing or Permitted'; year built 2022, building permit 2021-04-19</t>
        </is>
      </c>
      <c r="N411" t="inlineStr">
        <is>
          <t>https://logis.loudoun.gov/gis/rest/services/Projects/BuildOut_LandUse/MapServer/0/130411?f=html</t>
        </is>
      </c>
      <c r="O411" t="n">
        <v>39.015851</v>
      </c>
      <c r="P411" t="n">
        <v>-77.45314500000001</v>
      </c>
    </row>
    <row r="412">
      <c r="A412" t="n">
        <v>411</v>
      </c>
      <c r="B412" t="inlineStr">
        <is>
          <t>Loudoun</t>
        </is>
      </c>
      <c r="C412" t="inlineStr">
        <is>
          <t>21320 BEAUMEADE CIR</t>
        </is>
      </c>
      <c r="D412" t="inlineStr">
        <is>
          <t>Existing/Completed</t>
        </is>
      </c>
      <c r="E412" t="inlineStr">
        <is>
          <t>Existing / operating (inferred)</t>
        </is>
      </c>
      <c r="F412" t="inlineStr">
        <is>
          <t>inferred (county label "Existing or Permitted" + year built/permit)</t>
        </is>
      </c>
      <c r="G412" t="inlineStr"/>
      <c r="H412" t="inlineStr"/>
      <c r="I412" t="inlineStr">
        <is>
          <t>061407107000</t>
        </is>
      </c>
      <c r="K412" t="n">
        <v>2022</v>
      </c>
      <c r="L412" t="inlineStr"/>
      <c r="M412" t="inlineStr">
        <is>
          <t>County lists as 'Existing or Permitted'; year built 2022, building permit 2021-04-19</t>
        </is>
      </c>
      <c r="N412" t="inlineStr">
        <is>
          <t>https://logis.loudoun.gov/gis/rest/services/Projects/BuildOut_LandUse/MapServer/0/130413?f=html</t>
        </is>
      </c>
      <c r="O412" t="n">
        <v>39.016767</v>
      </c>
      <c r="P412" t="n">
        <v>-77.452061</v>
      </c>
    </row>
    <row r="413">
      <c r="A413" t="n">
        <v>412</v>
      </c>
      <c r="B413" t="inlineStr">
        <is>
          <t>Loudoun</t>
        </is>
      </c>
      <c r="C413" t="inlineStr">
        <is>
          <t>24550 HOWLING ROOSTER LN</t>
        </is>
      </c>
      <c r="D413" t="inlineStr">
        <is>
          <t>Existing/Completed</t>
        </is>
      </c>
      <c r="E413" t="inlineStr">
        <is>
          <t>Existing / operating (inferred)</t>
        </is>
      </c>
      <c r="F413" t="inlineStr">
        <is>
          <t>inferred (county label "Existing or Permitted" + year built/permit)</t>
        </is>
      </c>
      <c r="G413" t="inlineStr"/>
      <c r="H413" t="inlineStr"/>
      <c r="I413" t="inlineStr">
        <is>
          <t>162176713000</t>
        </is>
      </c>
      <c r="K413" t="n">
        <v>2022</v>
      </c>
      <c r="L413" t="inlineStr"/>
      <c r="M413" t="inlineStr">
        <is>
          <t>County lists as 'Existing or Permitted'; year built 2022, building permit 2021-03-19</t>
        </is>
      </c>
      <c r="N413" t="inlineStr">
        <is>
          <t>https://logis.loudoun.gov/gis/rest/services/Projects/BuildOut_LandUse/MapServer/0/130450?f=html</t>
        </is>
      </c>
      <c r="O413" t="n">
        <v>38.941767</v>
      </c>
      <c r="P413" t="n">
        <v>-77.527479</v>
      </c>
    </row>
    <row r="414">
      <c r="A414" t="n">
        <v>413</v>
      </c>
      <c r="B414" t="inlineStr">
        <is>
          <t>Loudoun</t>
        </is>
      </c>
      <c r="C414" t="inlineStr">
        <is>
          <t>45070 VANTAGE DATA PLZ</t>
        </is>
      </c>
      <c r="D414" t="inlineStr">
        <is>
          <t>Existing/Completed</t>
        </is>
      </c>
      <c r="E414" t="inlineStr">
        <is>
          <t>Existing / operating (inferred)</t>
        </is>
      </c>
      <c r="F414" t="inlineStr">
        <is>
          <t>inferred (county label "Existing or Permitted" + year built/permit)</t>
        </is>
      </c>
      <c r="G414" t="inlineStr"/>
      <c r="H414" t="inlineStr"/>
      <c r="I414" t="inlineStr">
        <is>
          <t>044381108000</t>
        </is>
      </c>
      <c r="K414" t="n">
        <v>2022</v>
      </c>
      <c r="L414" t="inlineStr"/>
      <c r="M414" t="inlineStr">
        <is>
          <t>County lists as 'Existing or Permitted'; year built 2022, building permit 2021-08-05</t>
        </is>
      </c>
      <c r="N414" t="inlineStr">
        <is>
          <t>https://logis.loudoun.gov/gis/rest/services/Projects/BuildOut_LandUse/MapServer/0/131107?f=html</t>
        </is>
      </c>
      <c r="O414" t="n">
        <v>39.003281</v>
      </c>
      <c r="P414" t="n">
        <v>-77.44021100000001</v>
      </c>
    </row>
    <row r="415">
      <c r="A415" t="n">
        <v>414</v>
      </c>
      <c r="B415" t="inlineStr">
        <is>
          <t>Loudoun</t>
        </is>
      </c>
      <c r="C415" t="inlineStr">
        <is>
          <t>42090 REEDS FARM LN</t>
        </is>
      </c>
      <c r="D415" t="inlineStr">
        <is>
          <t>Under construction</t>
        </is>
      </c>
      <c r="E415" t="inlineStr">
        <is>
          <t>Under construction / permitted, not complete (inferred)</t>
        </is>
      </c>
      <c r="F415" t="inlineStr">
        <is>
          <t>inferred (county label "Existing or Permitted" + year built/permit)</t>
        </is>
      </c>
      <c r="G415" t="inlineStr"/>
      <c r="H415" t="inlineStr"/>
      <c r="I415" t="inlineStr">
        <is>
          <t>203170856000</t>
        </is>
      </c>
      <c r="L415" t="inlineStr"/>
      <c r="M415" t="inlineStr">
        <is>
          <t>County lists as 'Existing or Permitted'; year built is placeholder 1000 and building permit issued 2025-05-06 (no completion recorded as of 2025-07-01)</t>
        </is>
      </c>
      <c r="N415" t="inlineStr">
        <is>
          <t>https://logis.loudoun.gov/gis/rest/services/Projects/BuildOut_LandUse/MapServer/0/131267?f=html</t>
        </is>
      </c>
      <c r="O415" t="n">
        <v>38.94445</v>
      </c>
      <c r="P415" t="n">
        <v>-77.549358</v>
      </c>
    </row>
    <row r="416">
      <c r="A416" t="n">
        <v>415</v>
      </c>
      <c r="B416" t="inlineStr">
        <is>
          <t>Loudoun</t>
        </is>
      </c>
      <c r="C416" t="inlineStr">
        <is>
          <t>45795 OPTICS PLZ</t>
        </is>
      </c>
      <c r="D416" t="inlineStr">
        <is>
          <t>Existing/Completed</t>
        </is>
      </c>
      <c r="E416" t="inlineStr">
        <is>
          <t>Existing / operating (inferred)</t>
        </is>
      </c>
      <c r="F416" t="inlineStr">
        <is>
          <t>inferred (county label "Existing or Permitted" + year built/permit)</t>
        </is>
      </c>
      <c r="G416" t="inlineStr"/>
      <c r="H416" t="inlineStr"/>
      <c r="I416" t="inlineStr">
        <is>
          <t>034385918000</t>
        </is>
      </c>
      <c r="K416" t="n">
        <v>2023</v>
      </c>
      <c r="L416" t="inlineStr"/>
      <c r="M416" t="inlineStr">
        <is>
          <t>County lists as 'Existing or Permitted'; year built 2023, building permit 2022-03-31</t>
        </is>
      </c>
      <c r="N416" t="inlineStr">
        <is>
          <t>https://logis.loudoun.gov/gis/rest/services/Projects/BuildOut_LandUse/MapServer/0/131271?f=html</t>
        </is>
      </c>
      <c r="O416" t="n">
        <v>38.979148</v>
      </c>
      <c r="P416" t="n">
        <v>-77.419935</v>
      </c>
    </row>
    <row r="417">
      <c r="A417" t="n">
        <v>416</v>
      </c>
      <c r="B417" t="inlineStr">
        <is>
          <t>Loudoun</t>
        </is>
      </c>
      <c r="C417" t="inlineStr">
        <is>
          <t>45775 OPTICS PLZ</t>
        </is>
      </c>
      <c r="D417" t="inlineStr">
        <is>
          <t>Existing/Completed</t>
        </is>
      </c>
      <c r="E417" t="inlineStr">
        <is>
          <t>Existing / operating (inferred)</t>
        </is>
      </c>
      <c r="F417" t="inlineStr">
        <is>
          <t>inferred (county label "Existing or Permitted" + year built/permit)</t>
        </is>
      </c>
      <c r="G417" t="inlineStr"/>
      <c r="H417" t="inlineStr"/>
      <c r="I417" t="inlineStr">
        <is>
          <t>034385918000</t>
        </is>
      </c>
      <c r="K417" t="n">
        <v>2022</v>
      </c>
      <c r="L417" t="inlineStr"/>
      <c r="M417" t="inlineStr">
        <is>
          <t>County lists as 'Existing or Permitted'; year built 2022, building permit 2021-06-07</t>
        </is>
      </c>
      <c r="N417" t="inlineStr">
        <is>
          <t>https://logis.loudoun.gov/gis/rest/services/Projects/BuildOut_LandUse/MapServer/0/131272?f=html</t>
        </is>
      </c>
      <c r="O417" t="n">
        <v>38.979524</v>
      </c>
      <c r="P417" t="n">
        <v>-77.417491</v>
      </c>
    </row>
    <row r="418">
      <c r="A418" t="n">
        <v>417</v>
      </c>
      <c r="B418" t="inlineStr">
        <is>
          <t>Loudoun</t>
        </is>
      </c>
      <c r="C418" t="inlineStr">
        <is>
          <t>22285 LOCKRIDGE RD</t>
        </is>
      </c>
      <c r="D418" t="inlineStr">
        <is>
          <t>Under construction</t>
        </is>
      </c>
      <c r="E418" t="inlineStr">
        <is>
          <t>Under construction / permitted, not complete (inferred)</t>
        </is>
      </c>
      <c r="F418" t="inlineStr">
        <is>
          <t>inferred (county label "Existing or Permitted" + year built/permit)</t>
        </is>
      </c>
      <c r="G418" t="inlineStr"/>
      <c r="H418" t="inlineStr"/>
      <c r="I418" t="inlineStr">
        <is>
          <t>062275493000</t>
        </is>
      </c>
      <c r="L418" t="inlineStr"/>
      <c r="M418" t="inlineStr">
        <is>
          <t>County lists as 'Existing or Permitted'; year built is placeholder 1000 and building permit issued 2023-07-19 (no completion recorded as of 2025-07-01)</t>
        </is>
      </c>
      <c r="N418" t="inlineStr">
        <is>
          <t>https://logis.loudoun.gov/gis/rest/services/Projects/BuildOut_LandUse/MapServer/0/131703?f=html</t>
        </is>
      </c>
      <c r="O418" t="n">
        <v>39.000422</v>
      </c>
      <c r="P418" t="n">
        <v>-77.460733</v>
      </c>
    </row>
    <row r="419">
      <c r="A419" t="n">
        <v>418</v>
      </c>
      <c r="B419" t="inlineStr">
        <is>
          <t>Loudoun</t>
        </is>
      </c>
      <c r="C419" t="inlineStr">
        <is>
          <t>22275 LOCKRIDGE RD</t>
        </is>
      </c>
      <c r="D419" t="inlineStr">
        <is>
          <t>Under construction</t>
        </is>
      </c>
      <c r="E419" t="inlineStr">
        <is>
          <t>Under construction / permitted, not complete (inferred)</t>
        </is>
      </c>
      <c r="F419" t="inlineStr">
        <is>
          <t>inferred (county label "Existing or Permitted" + year built/permit)</t>
        </is>
      </c>
      <c r="G419" t="inlineStr"/>
      <c r="H419" t="inlineStr"/>
      <c r="I419" t="inlineStr">
        <is>
          <t>062275493000</t>
        </is>
      </c>
      <c r="L419" t="inlineStr"/>
      <c r="M419" t="inlineStr">
        <is>
          <t>County lists as 'Existing or Permitted'; year built is placeholder 1000 and building permit issued 2023-07-09 (no completion recorded as of 2025-07-01)</t>
        </is>
      </c>
      <c r="N419" t="inlineStr">
        <is>
          <t>https://logis.loudoun.gov/gis/rest/services/Projects/BuildOut_LandUse/MapServer/0/131704?f=html</t>
        </is>
      </c>
      <c r="O419" t="n">
        <v>38.99912</v>
      </c>
      <c r="P419" t="n">
        <v>-77.460796</v>
      </c>
    </row>
    <row r="420">
      <c r="A420" t="n">
        <v>419</v>
      </c>
      <c r="B420" t="inlineStr">
        <is>
          <t>Loudoun</t>
        </is>
      </c>
      <c r="C420" t="inlineStr">
        <is>
          <t>43714 EFFICIENCY DR</t>
        </is>
      </c>
      <c r="D420" t="inlineStr">
        <is>
          <t>Under construction</t>
        </is>
      </c>
      <c r="E420" t="inlineStr">
        <is>
          <t>Under construction / permitted, not complete (inferred)</t>
        </is>
      </c>
      <c r="F420" t="inlineStr">
        <is>
          <t>inferred (county label "Existing or Permitted" + year built/permit)</t>
        </is>
      </c>
      <c r="G420" t="inlineStr"/>
      <c r="H420" t="inlineStr"/>
      <c r="I420" t="inlineStr">
        <is>
          <t>093365404000</t>
        </is>
      </c>
      <c r="L420" t="inlineStr"/>
      <c r="M420" t="inlineStr">
        <is>
          <t>County lists as 'Existing or Permitted'; year built is placeholder 1000 and building permit issued 2024-03-20 (no completion recorded as of 2025-07-01)</t>
        </is>
      </c>
      <c r="N420" t="inlineStr">
        <is>
          <t>https://logis.loudoun.gov/gis/rest/services/Projects/BuildOut_LandUse/MapServer/0/131776?f=html</t>
        </is>
      </c>
      <c r="O420" t="n">
        <v>38.962538</v>
      </c>
      <c r="P420" t="n">
        <v>-77.490038</v>
      </c>
    </row>
    <row r="421">
      <c r="A421" t="n">
        <v>420</v>
      </c>
      <c r="B421" t="inlineStr">
        <is>
          <t>Loudoun</t>
        </is>
      </c>
      <c r="C421" t="inlineStr">
        <is>
          <t>43704 EFFICIENCY DR</t>
        </is>
      </c>
      <c r="D421" t="inlineStr">
        <is>
          <t>Existing/Completed</t>
        </is>
      </c>
      <c r="E421" t="inlineStr">
        <is>
          <t>Existing / operating (inferred)</t>
        </is>
      </c>
      <c r="F421" t="inlineStr">
        <is>
          <t>inferred (county label "Existing or Permitted" + year built/permit)</t>
        </is>
      </c>
      <c r="G421" t="inlineStr"/>
      <c r="H421" t="inlineStr"/>
      <c r="I421" t="inlineStr">
        <is>
          <t>093365404000</t>
        </is>
      </c>
      <c r="K421" t="n">
        <v>2023</v>
      </c>
      <c r="L421" t="inlineStr"/>
      <c r="M421" t="inlineStr">
        <is>
          <t>County lists as 'Existing or Permitted'; year built 2023, building permit 2022-04-26</t>
        </is>
      </c>
      <c r="N421" t="inlineStr">
        <is>
          <t>https://logis.loudoun.gov/gis/rest/services/Projects/BuildOut_LandUse/MapServer/0/131777?f=html</t>
        </is>
      </c>
      <c r="O421" t="n">
        <v>38.960853</v>
      </c>
      <c r="P421" t="n">
        <v>-77.491484</v>
      </c>
    </row>
    <row r="422">
      <c r="A422" t="n">
        <v>421</v>
      </c>
      <c r="B422" t="inlineStr">
        <is>
          <t>Loudoun</t>
        </is>
      </c>
      <c r="C422" t="inlineStr">
        <is>
          <t>41730 INCLUSION LN</t>
        </is>
      </c>
      <c r="D422" t="inlineStr">
        <is>
          <t>Existing/Completed</t>
        </is>
      </c>
      <c r="E422" t="inlineStr">
        <is>
          <t>Existing / operating (inferred)</t>
        </is>
      </c>
      <c r="F422" t="inlineStr">
        <is>
          <t>inferred (county label "Existing or Permitted" + year built/permit)</t>
        </is>
      </c>
      <c r="G422" t="inlineStr"/>
      <c r="H422" t="inlineStr"/>
      <c r="I422" t="inlineStr">
        <is>
          <t>235297431000</t>
        </is>
      </c>
      <c r="K422" t="n">
        <v>2024</v>
      </c>
      <c r="L422" t="inlineStr"/>
      <c r="M422" t="inlineStr">
        <is>
          <t>County lists as 'Existing or Permitted'; year built 2024, building permit 2021-10-13</t>
        </is>
      </c>
      <c r="N422" t="inlineStr">
        <is>
          <t>https://logis.loudoun.gov/gis/rest/services/Projects/BuildOut_LandUse/MapServer/0/131780?f=html</t>
        </is>
      </c>
      <c r="O422" t="n">
        <v>39.069607</v>
      </c>
      <c r="P422" t="n">
        <v>-77.560766</v>
      </c>
    </row>
    <row r="423">
      <c r="A423" t="n">
        <v>422</v>
      </c>
      <c r="B423" t="inlineStr">
        <is>
          <t>Loudoun</t>
        </is>
      </c>
      <c r="C423" t="inlineStr">
        <is>
          <t>41720 INCLUSION LN</t>
        </is>
      </c>
      <c r="D423" t="inlineStr">
        <is>
          <t>Existing/Completed</t>
        </is>
      </c>
      <c r="E423" t="inlineStr">
        <is>
          <t>Existing / operating (inferred)</t>
        </is>
      </c>
      <c r="F423" t="inlineStr">
        <is>
          <t>inferred (county label "Existing or Permitted" + year built/permit)</t>
        </is>
      </c>
      <c r="G423" t="inlineStr"/>
      <c r="H423" t="inlineStr"/>
      <c r="I423" t="inlineStr">
        <is>
          <t>235297431000</t>
        </is>
      </c>
      <c r="K423" t="n">
        <v>2023</v>
      </c>
      <c r="L423" t="inlineStr"/>
      <c r="M423" t="inlineStr">
        <is>
          <t>County lists as 'Existing or Permitted'; year built 2023, building permit 2022-03-17</t>
        </is>
      </c>
      <c r="N423" t="inlineStr">
        <is>
          <t>https://logis.loudoun.gov/gis/rest/services/Projects/BuildOut_LandUse/MapServer/0/131781?f=html</t>
        </is>
      </c>
      <c r="O423" t="n">
        <v>39.069618</v>
      </c>
      <c r="P423" t="n">
        <v>-77.55943499999999</v>
      </c>
    </row>
    <row r="424">
      <c r="A424" t="n">
        <v>423</v>
      </c>
      <c r="B424" t="inlineStr">
        <is>
          <t>Loudoun</t>
        </is>
      </c>
      <c r="C424" t="inlineStr">
        <is>
          <t>41840 GROWTH MINDSET LN</t>
        </is>
      </c>
      <c r="D424" t="inlineStr">
        <is>
          <t>Existing/Completed</t>
        </is>
      </c>
      <c r="E424" t="inlineStr">
        <is>
          <t>Existing / operating (inferred)</t>
        </is>
      </c>
      <c r="F424" t="inlineStr">
        <is>
          <t>inferred (county label "Existing or Permitted" + year built/permit)</t>
        </is>
      </c>
      <c r="G424" t="inlineStr"/>
      <c r="H424" t="inlineStr"/>
      <c r="I424" t="inlineStr">
        <is>
          <t>203354208000</t>
        </is>
      </c>
      <c r="K424" t="n">
        <v>2024</v>
      </c>
      <c r="L424" t="inlineStr"/>
      <c r="M424" t="inlineStr">
        <is>
          <t>County lists as 'Existing or Permitted'; year built 2024, building permit 2021-10-12</t>
        </is>
      </c>
      <c r="N424" t="inlineStr">
        <is>
          <t>https://logis.loudoun.gov/gis/rest/services/Projects/BuildOut_LandUse/MapServer/0/132053?f=html</t>
        </is>
      </c>
      <c r="O424" t="n">
        <v>38.948365</v>
      </c>
      <c r="P424" t="n">
        <v>-77.555888</v>
      </c>
    </row>
    <row r="425">
      <c r="A425" t="n">
        <v>424</v>
      </c>
      <c r="B425" t="inlineStr">
        <is>
          <t>Loudoun</t>
        </is>
      </c>
      <c r="C425" t="inlineStr">
        <is>
          <t>44631 WAXPOOL RD</t>
        </is>
      </c>
      <c r="D425" t="inlineStr">
        <is>
          <t>Existing/Completed</t>
        </is>
      </c>
      <c r="E425" t="inlineStr">
        <is>
          <t>Existing / operating (inferred)</t>
        </is>
      </c>
      <c r="F425" t="inlineStr">
        <is>
          <t>inferred (county label "Existing or Permitted" + year built/permit)</t>
        </is>
      </c>
      <c r="G425" t="inlineStr"/>
      <c r="H425" t="inlineStr"/>
      <c r="I425" t="inlineStr">
        <is>
          <t>061285496000</t>
        </is>
      </c>
      <c r="K425" t="n">
        <v>2025</v>
      </c>
      <c r="L425" t="inlineStr"/>
      <c r="M425" t="inlineStr">
        <is>
          <t>County lists as 'Existing or Permitted'; year built 2025, building permit 2022-06-29</t>
        </is>
      </c>
      <c r="N425" t="inlineStr">
        <is>
          <t>https://logis.loudoun.gov/gis/rest/services/Projects/BuildOut_LandUse/MapServer/0/132068?f=html</t>
        </is>
      </c>
      <c r="O425" t="n">
        <v>39.011217</v>
      </c>
      <c r="P425" t="n">
        <v>-77.46029900000001</v>
      </c>
    </row>
    <row r="426">
      <c r="A426" t="n">
        <v>425</v>
      </c>
      <c r="B426" t="inlineStr">
        <is>
          <t>Loudoun</t>
        </is>
      </c>
      <c r="C426" t="inlineStr">
        <is>
          <t>21529 BEAUMEADE CIR</t>
        </is>
      </c>
      <c r="D426" t="inlineStr">
        <is>
          <t>Existing/Completed</t>
        </is>
      </c>
      <c r="E426" t="inlineStr">
        <is>
          <t>Existing / operating (inferred)</t>
        </is>
      </c>
      <c r="F426" t="inlineStr">
        <is>
          <t>inferred (county label "Existing or Permitted" + year built/permit)</t>
        </is>
      </c>
      <c r="G426" t="inlineStr"/>
      <c r="H426" t="inlineStr"/>
      <c r="I426" t="inlineStr">
        <is>
          <t>042152579000</t>
        </is>
      </c>
      <c r="K426" t="n">
        <v>2023</v>
      </c>
      <c r="L426" t="inlineStr"/>
      <c r="M426" t="inlineStr">
        <is>
          <t>County lists as 'Existing or Permitted'; year built 2023, building permit 2022-08-31</t>
        </is>
      </c>
      <c r="N426" t="inlineStr">
        <is>
          <t>https://logis.loudoun.gov/gis/rest/services/Projects/BuildOut_LandUse/MapServer/0/132228?f=html</t>
        </is>
      </c>
      <c r="O426" t="n">
        <v>39.019569</v>
      </c>
      <c r="P426" t="n">
        <v>-77.450451</v>
      </c>
    </row>
    <row r="427">
      <c r="A427" t="n">
        <v>426</v>
      </c>
      <c r="B427" t="inlineStr">
        <is>
          <t>Loudoun</t>
        </is>
      </c>
      <c r="C427" t="inlineStr">
        <is>
          <t>43294 OLD OX RD</t>
        </is>
      </c>
      <c r="D427" t="inlineStr">
        <is>
          <t>Existing/Completed</t>
        </is>
      </c>
      <c r="E427" t="inlineStr">
        <is>
          <t>Existing / operating (inferred)</t>
        </is>
      </c>
      <c r="F427" t="inlineStr">
        <is>
          <t>inferred (county label "Existing or Permitted" + year built/permit)</t>
        </is>
      </c>
      <c r="G427" t="inlineStr"/>
      <c r="H427" t="inlineStr"/>
      <c r="I427" t="inlineStr">
        <is>
          <t>124369522000</t>
        </is>
      </c>
      <c r="K427" t="n">
        <v>2022</v>
      </c>
      <c r="L427" t="inlineStr"/>
      <c r="M427" t="inlineStr">
        <is>
          <t>County lists as 'Existing or Permitted'; year built 2022, building permit 2021-12-27</t>
        </is>
      </c>
      <c r="N427" t="inlineStr">
        <is>
          <t>https://logis.loudoun.gov/gis/rest/services/Projects/BuildOut_LandUse/MapServer/0/132230?f=html</t>
        </is>
      </c>
      <c r="O427" t="n">
        <v>38.958857</v>
      </c>
      <c r="P427" t="n">
        <v>-77.50619399999999</v>
      </c>
    </row>
    <row r="428">
      <c r="A428" t="n">
        <v>427</v>
      </c>
      <c r="B428" t="inlineStr">
        <is>
          <t>Loudoun</t>
        </is>
      </c>
      <c r="C428" t="inlineStr">
        <is>
          <t>45130 VANTAGE DATA PLZ</t>
        </is>
      </c>
      <c r="D428" t="inlineStr">
        <is>
          <t>Existing/Completed</t>
        </is>
      </c>
      <c r="E428" t="inlineStr">
        <is>
          <t>Existing / operating (inferred)</t>
        </is>
      </c>
      <c r="F428" t="inlineStr">
        <is>
          <t>inferred (county label "Existing or Permitted" + year built/permit)</t>
        </is>
      </c>
      <c r="G428" t="inlineStr"/>
      <c r="H428" t="inlineStr"/>
      <c r="I428" t="inlineStr">
        <is>
          <t>044381108000</t>
        </is>
      </c>
      <c r="K428" t="n">
        <v>2024</v>
      </c>
      <c r="L428" t="inlineStr"/>
      <c r="M428" t="inlineStr">
        <is>
          <t>County lists as 'Existing or Permitted'; year built 2024, building permit 2022-04-11</t>
        </is>
      </c>
      <c r="N428" t="inlineStr">
        <is>
          <t>https://logis.loudoun.gov/gis/rest/services/Projects/BuildOut_LandUse/MapServer/0/132270?f=html</t>
        </is>
      </c>
      <c r="O428" t="n">
        <v>39.002965</v>
      </c>
      <c r="P428" t="n">
        <v>-77.439414</v>
      </c>
    </row>
    <row r="429">
      <c r="A429" t="n">
        <v>428</v>
      </c>
      <c r="B429" t="inlineStr">
        <is>
          <t>Loudoun</t>
        </is>
      </c>
      <c r="C429" t="inlineStr">
        <is>
          <t>21630 RED RUM DR</t>
        </is>
      </c>
      <c r="D429" t="inlineStr">
        <is>
          <t>Existing/Completed</t>
        </is>
      </c>
      <c r="E429" t="inlineStr">
        <is>
          <t>Existing / operating (inferred)</t>
        </is>
      </c>
      <c r="F429" t="inlineStr">
        <is>
          <t>inferred (county label "Existing or Permitted" + year built/permit)</t>
        </is>
      </c>
      <c r="G429" t="inlineStr"/>
      <c r="H429" t="inlineStr"/>
      <c r="I429" t="inlineStr">
        <is>
          <t>088481748000</t>
        </is>
      </c>
      <c r="K429" t="n">
        <v>2023</v>
      </c>
      <c r="L429" t="inlineStr"/>
      <c r="M429" t="inlineStr">
        <is>
          <t>County lists as 'Existing or Permitted'; year built 2023, building permit 2022-01-20</t>
        </is>
      </c>
      <c r="N429" t="inlineStr">
        <is>
          <t>https://logis.loudoun.gov/gis/rest/services/Projects/BuildOut_LandUse/MapServer/0/132375?f=html</t>
        </is>
      </c>
      <c r="O429" t="n">
        <v>39.017873</v>
      </c>
      <c r="P429" t="n">
        <v>-77.48182</v>
      </c>
    </row>
    <row r="430">
      <c r="A430" t="n">
        <v>429</v>
      </c>
      <c r="B430" t="inlineStr">
        <is>
          <t>Loudoun</t>
        </is>
      </c>
      <c r="C430" t="inlineStr">
        <is>
          <t>44675 QUALITY TECH LN</t>
        </is>
      </c>
      <c r="D430" t="inlineStr">
        <is>
          <t>Existing/Completed</t>
        </is>
      </c>
      <c r="E430" t="inlineStr">
        <is>
          <t>Existing / operating (inferred)</t>
        </is>
      </c>
      <c r="F430" t="inlineStr">
        <is>
          <t>inferred (county label "Existing or Permitted" + year built/permit)</t>
        </is>
      </c>
      <c r="G430" t="inlineStr"/>
      <c r="H430" t="inlineStr"/>
      <c r="I430" t="inlineStr">
        <is>
          <t>063498140000</t>
        </is>
      </c>
      <c r="K430" t="n">
        <v>2023</v>
      </c>
      <c r="L430" t="inlineStr"/>
      <c r="M430" t="inlineStr">
        <is>
          <t>County lists as 'Existing or Permitted'; year built 2023, building permit 2022-03-09</t>
        </is>
      </c>
      <c r="N430" t="inlineStr">
        <is>
          <t>https://logis.loudoun.gov/gis/rest/services/Projects/BuildOut_LandUse/MapServer/0/133021?f=html</t>
        </is>
      </c>
      <c r="O430" t="n">
        <v>38.995362</v>
      </c>
      <c r="P430" t="n">
        <v>-77.455152</v>
      </c>
    </row>
    <row r="431">
      <c r="A431" t="n">
        <v>430</v>
      </c>
      <c r="B431" t="inlineStr">
        <is>
          <t>Loudoun</t>
        </is>
      </c>
      <c r="C431" t="inlineStr">
        <is>
          <t>44655 QUALITY TECH LN</t>
        </is>
      </c>
      <c r="D431" t="inlineStr">
        <is>
          <t>Existing/Completed</t>
        </is>
      </c>
      <c r="E431" t="inlineStr">
        <is>
          <t>Existing / operating (inferred)</t>
        </is>
      </c>
      <c r="F431" t="inlineStr">
        <is>
          <t>inferred (county label "Existing or Permitted" + year built/permit)</t>
        </is>
      </c>
      <c r="G431" t="inlineStr"/>
      <c r="H431" t="inlineStr"/>
      <c r="I431" t="inlineStr">
        <is>
          <t>063494014000</t>
        </is>
      </c>
      <c r="K431" t="n">
        <v>2025</v>
      </c>
      <c r="L431" t="inlineStr"/>
      <c r="M431" t="inlineStr">
        <is>
          <t>County lists as 'Existing or Permitted'; year built 2025, building permit 2022-05-19</t>
        </is>
      </c>
      <c r="N431" t="inlineStr">
        <is>
          <t>https://logis.loudoun.gov/gis/rest/services/Projects/BuildOut_LandUse/MapServer/0/133022?f=html</t>
        </is>
      </c>
      <c r="O431" t="n">
        <v>38.995221</v>
      </c>
      <c r="P431" t="n">
        <v>-77.45683</v>
      </c>
    </row>
    <row r="432">
      <c r="A432" t="n">
        <v>431</v>
      </c>
      <c r="B432" t="inlineStr">
        <is>
          <t>Loudoun</t>
        </is>
      </c>
      <c r="C432" t="inlineStr">
        <is>
          <t>22280 RANDOLPH DR</t>
        </is>
      </c>
      <c r="D432" t="inlineStr">
        <is>
          <t>Under construction</t>
        </is>
      </c>
      <c r="E432" t="inlineStr">
        <is>
          <t>Under construction / permitted, not complete (inferred)</t>
        </is>
      </c>
      <c r="F432" t="inlineStr">
        <is>
          <t>inferred (county label "Existing or Permitted" + year built/permit)</t>
        </is>
      </c>
      <c r="G432" t="inlineStr"/>
      <c r="H432" t="inlineStr"/>
      <c r="I432" t="inlineStr">
        <is>
          <t>044155625000</t>
        </is>
      </c>
      <c r="L432" t="inlineStr"/>
      <c r="M432" t="inlineStr">
        <is>
          <t>County lists as 'Existing or Permitted'; year built is placeholder 1000 and building permit issued 2025-01-15 (no completion recorded as of 2025-07-01)</t>
        </is>
      </c>
      <c r="N432" t="inlineStr">
        <is>
          <t>https://logis.loudoun.gov/gis/rest/services/Projects/BuildOut_LandUse/MapServer/0/133327?f=html</t>
        </is>
      </c>
      <c r="O432" t="n">
        <v>38.998248</v>
      </c>
      <c r="P432" t="n">
        <v>-77.449128</v>
      </c>
    </row>
    <row r="433">
      <c r="A433" t="n">
        <v>432</v>
      </c>
      <c r="B433" t="inlineStr">
        <is>
          <t>Loudoun</t>
        </is>
      </c>
      <c r="C433" t="inlineStr">
        <is>
          <t>22574 PACIFIC BLVD</t>
        </is>
      </c>
      <c r="D433" t="inlineStr">
        <is>
          <t>Existing/Completed</t>
        </is>
      </c>
      <c r="E433" t="inlineStr">
        <is>
          <t>Existing / operating (inferred)</t>
        </is>
      </c>
      <c r="F433" t="inlineStr">
        <is>
          <t>inferred (county label "Existing or Permitted" + year built/permit)</t>
        </is>
      </c>
      <c r="G433" t="inlineStr"/>
      <c r="H433" t="inlineStr"/>
      <c r="I433" t="inlineStr">
        <is>
          <t>045299249000</t>
        </is>
      </c>
      <c r="K433" t="n">
        <v>2023</v>
      </c>
      <c r="L433" t="inlineStr"/>
      <c r="M433" t="inlineStr">
        <is>
          <t>County lists as 'Existing or Permitted'; year built 2023, building permit 2022-06-07</t>
        </is>
      </c>
      <c r="N433" t="inlineStr">
        <is>
          <t>https://logis.loudoun.gov/gis/rest/services/Projects/BuildOut_LandUse/MapServer/0/133498?f=html</t>
        </is>
      </c>
      <c r="O433" t="n">
        <v>38.989561</v>
      </c>
      <c r="P433" t="n">
        <v>-77.43480099999999</v>
      </c>
    </row>
    <row r="434">
      <c r="A434" t="n">
        <v>433</v>
      </c>
      <c r="B434" t="inlineStr">
        <is>
          <t>Loudoun</t>
        </is>
      </c>
      <c r="C434" t="inlineStr">
        <is>
          <t>22855 PLATFORM PLZ</t>
        </is>
      </c>
      <c r="D434" t="inlineStr">
        <is>
          <t>Existing/Completed</t>
        </is>
      </c>
      <c r="E434" t="inlineStr">
        <is>
          <t>Existing / operating (inferred)</t>
        </is>
      </c>
      <c r="F434" t="inlineStr">
        <is>
          <t>inferred (county label "Existing or Permitted" + year built/permit)</t>
        </is>
      </c>
      <c r="G434" t="inlineStr"/>
      <c r="H434" t="inlineStr"/>
      <c r="I434" t="inlineStr">
        <is>
          <t>034385918000</t>
        </is>
      </c>
      <c r="K434" t="n">
        <v>2023</v>
      </c>
      <c r="L434" t="inlineStr"/>
      <c r="M434" t="inlineStr">
        <is>
          <t>County lists as 'Existing or Permitted'; year built 2023, building permit 2022-05-09</t>
        </is>
      </c>
      <c r="N434" t="inlineStr">
        <is>
          <t>https://logis.loudoun.gov/gis/rest/services/Projects/BuildOut_LandUse/MapServer/0/133510?f=html</t>
        </is>
      </c>
      <c r="O434" t="n">
        <v>38.983518</v>
      </c>
      <c r="P434" t="n">
        <v>-77.41753300000001</v>
      </c>
    </row>
    <row r="435">
      <c r="A435" t="n">
        <v>434</v>
      </c>
      <c r="B435" t="inlineStr">
        <is>
          <t>Loudoun</t>
        </is>
      </c>
      <c r="C435" t="inlineStr">
        <is>
          <t>22210 LOUDOUN COUNTY PKWY</t>
        </is>
      </c>
      <c r="D435" t="inlineStr">
        <is>
          <t>Under construction</t>
        </is>
      </c>
      <c r="E435" t="inlineStr">
        <is>
          <t>Under construction / permitted, not complete (inferred)</t>
        </is>
      </c>
      <c r="F435" t="inlineStr">
        <is>
          <t>inferred (county label "Existing or Permitted" + year built/permit)</t>
        </is>
      </c>
      <c r="G435" t="inlineStr"/>
      <c r="H435" t="inlineStr"/>
      <c r="I435" t="inlineStr">
        <is>
          <t>089208954000</t>
        </is>
      </c>
      <c r="L435" t="inlineStr"/>
      <c r="M435" t="inlineStr">
        <is>
          <t>County lists as 'Existing or Permitted'; year built is placeholder 1000 and building permit issued 2022-08-25 (no completion recorded as of 2025-07-01)</t>
        </is>
      </c>
      <c r="N435" t="inlineStr">
        <is>
          <t>https://logis.loudoun.gov/gis/rest/services/Projects/BuildOut_LandUse/MapServer/0/133523?f=html</t>
        </is>
      </c>
      <c r="O435" t="n">
        <v>39.002288</v>
      </c>
      <c r="P435" t="n">
        <v>-77.472093</v>
      </c>
    </row>
    <row r="436">
      <c r="A436" t="n">
        <v>435</v>
      </c>
      <c r="B436" t="inlineStr">
        <is>
          <t>Loudoun</t>
        </is>
      </c>
      <c r="C436" t="inlineStr">
        <is>
          <t>24171 YOUNGWOOD LN</t>
        </is>
      </c>
      <c r="D436" t="inlineStr">
        <is>
          <t>Existing/Completed</t>
        </is>
      </c>
      <c r="E436" t="inlineStr">
        <is>
          <t>Existing / operating (inferred)</t>
        </is>
      </c>
      <c r="F436" t="inlineStr">
        <is>
          <t>inferred (county label "Existing or Permitted" + year built/permit)</t>
        </is>
      </c>
      <c r="G436" t="inlineStr"/>
      <c r="H436" t="inlineStr"/>
      <c r="I436" t="inlineStr">
        <is>
          <t>203371445000</t>
        </is>
      </c>
      <c r="K436" t="n">
        <v>2024</v>
      </c>
      <c r="L436" t="inlineStr"/>
      <c r="M436" t="inlineStr">
        <is>
          <t>County lists as 'Existing or Permitted'; year built 2024, building permit 2023-10-17</t>
        </is>
      </c>
      <c r="N436" t="inlineStr">
        <is>
          <t>https://logis.loudoun.gov/gis/rest/services/Projects/BuildOut_LandUse/MapServer/0/133683?f=html</t>
        </is>
      </c>
      <c r="O436" t="n">
        <v>38.94983</v>
      </c>
      <c r="P436" t="n">
        <v>-77.549532</v>
      </c>
    </row>
    <row r="437">
      <c r="A437" t="n">
        <v>436</v>
      </c>
      <c r="B437" t="inlineStr">
        <is>
          <t>Loudoun</t>
        </is>
      </c>
      <c r="C437" t="inlineStr">
        <is>
          <t>43920 LONE CEDAR LN</t>
        </is>
      </c>
      <c r="D437" t="inlineStr">
        <is>
          <t>Under construction</t>
        </is>
      </c>
      <c r="E437" t="inlineStr">
        <is>
          <t>Under construction / permitted, not complete (inferred)</t>
        </is>
      </c>
      <c r="F437" t="inlineStr">
        <is>
          <t>inferred (county label "Existing or Permitted" + year built/permit)</t>
        </is>
      </c>
      <c r="G437" t="inlineStr"/>
      <c r="H437" t="inlineStr"/>
      <c r="I437" t="inlineStr">
        <is>
          <t>096183926000</t>
        </is>
      </c>
      <c r="L437" t="inlineStr"/>
      <c r="M437" t="inlineStr">
        <is>
          <t>County lists as 'Existing or Permitted'; year built is placeholder 1000 and building permit issued 2022-08-15 (no completion recorded as of 2025-07-01)</t>
        </is>
      </c>
      <c r="N437" t="inlineStr">
        <is>
          <t>https://logis.loudoun.gov/gis/rest/services/Projects/BuildOut_LandUse/MapServer/0/134089?f=html</t>
        </is>
      </c>
      <c r="O437" t="n">
        <v>38.921281</v>
      </c>
      <c r="P437" t="n">
        <v>-77.485814</v>
      </c>
    </row>
    <row r="438">
      <c r="A438" t="n">
        <v>437</v>
      </c>
      <c r="B438" t="inlineStr">
        <is>
          <t>Loudoun</t>
        </is>
      </c>
      <c r="C438" t="inlineStr">
        <is>
          <t>22760 PACIFIC BLVD</t>
        </is>
      </c>
      <c r="D438" t="inlineStr">
        <is>
          <t>Existing/Completed</t>
        </is>
      </c>
      <c r="E438" t="inlineStr">
        <is>
          <t>Existing / operating (inferred)</t>
        </is>
      </c>
      <c r="F438" t="inlineStr">
        <is>
          <t>inferred (county label "Existing or Permitted" + year built/permit)</t>
        </is>
      </c>
      <c r="G438" t="inlineStr"/>
      <c r="H438" t="inlineStr"/>
      <c r="I438" t="inlineStr">
        <is>
          <t>045195615000</t>
        </is>
      </c>
      <c r="K438" t="n">
        <v>2024</v>
      </c>
      <c r="L438" t="inlineStr"/>
      <c r="M438" t="inlineStr">
        <is>
          <t>County lists as 'Existing or Permitted'; year built 2024, building permit 2023-03-20</t>
        </is>
      </c>
      <c r="N438" t="inlineStr">
        <is>
          <t>https://logis.loudoun.gov/gis/rest/services/Projects/BuildOut_LandUse/MapServer/0/134091?f=html</t>
        </is>
      </c>
      <c r="O438" t="n">
        <v>38.98655</v>
      </c>
      <c r="P438" t="n">
        <v>-77.435192</v>
      </c>
    </row>
    <row r="439">
      <c r="A439" t="n">
        <v>438</v>
      </c>
      <c r="B439" t="inlineStr">
        <is>
          <t>Loudoun</t>
        </is>
      </c>
      <c r="C439" t="inlineStr">
        <is>
          <t>22715 RELOCATION DR</t>
        </is>
      </c>
      <c r="D439" t="inlineStr">
        <is>
          <t>Existing/Completed</t>
        </is>
      </c>
      <c r="E439" t="inlineStr">
        <is>
          <t>Existing / operating (inferred)</t>
        </is>
      </c>
      <c r="F439" t="inlineStr">
        <is>
          <t>inferred (county label "Existing or Permitted" + year built/permit)</t>
        </is>
      </c>
      <c r="G439" t="inlineStr"/>
      <c r="H439" t="inlineStr"/>
      <c r="I439" t="inlineStr">
        <is>
          <t>045279612000</t>
        </is>
      </c>
      <c r="K439" t="n">
        <v>2024</v>
      </c>
      <c r="L439" t="inlineStr"/>
      <c r="M439" t="inlineStr">
        <is>
          <t>County lists as 'Existing or Permitted'; year built 2024, building permit 2022-10-13</t>
        </is>
      </c>
      <c r="N439" t="inlineStr">
        <is>
          <t>https://logis.loudoun.gov/gis/rest/services/Projects/BuildOut_LandUse/MapServer/0/134171?f=html</t>
        </is>
      </c>
      <c r="O439" t="n">
        <v>38.98849</v>
      </c>
      <c r="P439" t="n">
        <v>-77.440856</v>
      </c>
    </row>
    <row r="440">
      <c r="A440" t="n">
        <v>439</v>
      </c>
      <c r="B440" t="inlineStr">
        <is>
          <t>Loudoun</t>
        </is>
      </c>
      <c r="C440" t="inlineStr">
        <is>
          <t>(no address; PIN only)</t>
        </is>
      </c>
      <c r="D440" t="inlineStr">
        <is>
          <t>Existing/Completed</t>
        </is>
      </c>
      <c r="E440" t="inlineStr">
        <is>
          <t>Existing / operating (inferred)</t>
        </is>
      </c>
      <c r="F440" t="inlineStr">
        <is>
          <t>inferred (county label "Existing or Permitted" + year built/permit)</t>
        </is>
      </c>
      <c r="G440" t="inlineStr"/>
      <c r="H440" t="inlineStr"/>
      <c r="I440" t="inlineStr">
        <is>
          <t>193367800000</t>
        </is>
      </c>
      <c r="K440" t="n">
        <v>2024</v>
      </c>
      <c r="L440" t="inlineStr"/>
      <c r="M440" t="inlineStr">
        <is>
          <t>County lists as 'Existing or Permitted'; year built 2024, building permit 2023-01-31</t>
        </is>
      </c>
      <c r="N440" t="inlineStr">
        <is>
          <t>https://logis.loudoun.gov/gis/rest/services/Projects/BuildOut_LandUse/MapServer/0/134209?f=html</t>
        </is>
      </c>
      <c r="O440" t="n">
        <v>39.058417</v>
      </c>
      <c r="P440" t="n">
        <v>-77.549756</v>
      </c>
    </row>
    <row r="441">
      <c r="A441" t="n">
        <v>440</v>
      </c>
      <c r="B441" t="inlineStr">
        <is>
          <t>Loudoun</t>
        </is>
      </c>
      <c r="C441" t="inlineStr">
        <is>
          <t>22588 RELOCATION DR</t>
        </is>
      </c>
      <c r="D441" t="inlineStr">
        <is>
          <t>Existing/Completed</t>
        </is>
      </c>
      <c r="E441" t="inlineStr">
        <is>
          <t>Existing / operating (inferred)</t>
        </is>
      </c>
      <c r="F441" t="inlineStr">
        <is>
          <t>inferred (county label "Existing or Permitted" + year built/permit)</t>
        </is>
      </c>
      <c r="G441" t="inlineStr"/>
      <c r="H441" t="inlineStr"/>
      <c r="I441" t="inlineStr">
        <is>
          <t>045399350000</t>
        </is>
      </c>
      <c r="K441" t="n">
        <v>2024</v>
      </c>
      <c r="L441" t="inlineStr"/>
      <c r="M441" t="inlineStr">
        <is>
          <t>County lists as 'Existing or Permitted'; year built 2024, building permit 2023-03-10</t>
        </is>
      </c>
      <c r="N441" t="inlineStr">
        <is>
          <t>https://logis.loudoun.gov/gis/rest/services/Projects/BuildOut_LandUse/MapServer/0/134470?f=html</t>
        </is>
      </c>
      <c r="O441" t="n">
        <v>38.992341</v>
      </c>
      <c r="P441" t="n">
        <v>-77.433888</v>
      </c>
    </row>
    <row r="442">
      <c r="A442" t="n">
        <v>441</v>
      </c>
      <c r="B442" t="inlineStr">
        <is>
          <t>Loudoun</t>
        </is>
      </c>
      <c r="C442" t="inlineStr">
        <is>
          <t>22435 GLENN DR</t>
        </is>
      </c>
      <c r="D442" t="inlineStr">
        <is>
          <t>Existing/Completed</t>
        </is>
      </c>
      <c r="E442" t="inlineStr">
        <is>
          <t>Existing / operating (inferred)</t>
        </is>
      </c>
      <c r="F442" t="inlineStr">
        <is>
          <t>inferred (county label "Existing or Permitted" + year built/permit)</t>
        </is>
      </c>
      <c r="G442" t="inlineStr"/>
      <c r="H442" t="inlineStr"/>
      <c r="I442" t="inlineStr">
        <is>
          <t>032155119000</t>
        </is>
      </c>
      <c r="K442" t="n">
        <v>2024</v>
      </c>
      <c r="L442" t="inlineStr"/>
      <c r="M442" t="inlineStr">
        <is>
          <t>County lists as 'Existing or Permitted'; year built 2024, building permit 2023-04-11</t>
        </is>
      </c>
      <c r="N442" t="inlineStr">
        <is>
          <t>https://logis.loudoun.gov/gis/rest/services/Projects/BuildOut_LandUse/MapServer/0/134542?f=html</t>
        </is>
      </c>
      <c r="O442" t="n">
        <v>38.997535</v>
      </c>
      <c r="P442" t="n">
        <v>-77.430385</v>
      </c>
    </row>
    <row r="443">
      <c r="A443" t="n">
        <v>442</v>
      </c>
      <c r="B443" t="inlineStr">
        <is>
          <t>Loudoun</t>
        </is>
      </c>
      <c r="C443" t="inlineStr">
        <is>
          <t>43975 LIGHT SPEED PLZ</t>
        </is>
      </c>
      <c r="D443" t="inlineStr">
        <is>
          <t>Existing/Completed</t>
        </is>
      </c>
      <c r="E443" t="inlineStr">
        <is>
          <t>Existing / operating (inferred)</t>
        </is>
      </c>
      <c r="F443" t="inlineStr">
        <is>
          <t>inferred (county label "Existing or Permitted" + year built/permit)</t>
        </is>
      </c>
      <c r="G443" t="inlineStr"/>
      <c r="H443" t="inlineStr"/>
      <c r="I443" t="inlineStr">
        <is>
          <t>122207249000</t>
        </is>
      </c>
      <c r="K443" t="n">
        <v>2024</v>
      </c>
      <c r="L443" t="inlineStr"/>
      <c r="M443" t="inlineStr">
        <is>
          <t>County lists as 'Existing or Permitted'; year built 2024, building permit 2024-11-15</t>
        </is>
      </c>
      <c r="N443" t="inlineStr">
        <is>
          <t>https://logis.loudoun.gov/gis/rest/services/Projects/BuildOut_LandUse/MapServer/0/134552?f=html</t>
        </is>
      </c>
      <c r="O443" t="n">
        <v>38.981106</v>
      </c>
      <c r="P443" t="n">
        <v>-77.49422199999999</v>
      </c>
    </row>
    <row r="444">
      <c r="A444" t="n">
        <v>443</v>
      </c>
      <c r="B444" t="inlineStr">
        <is>
          <t>Loudoun</t>
        </is>
      </c>
      <c r="C444" t="inlineStr">
        <is>
          <t>41679 INCLUSION LN</t>
        </is>
      </c>
      <c r="D444" t="inlineStr">
        <is>
          <t>Under construction</t>
        </is>
      </c>
      <c r="E444" t="inlineStr">
        <is>
          <t>Under construction / permitted, not complete (inferred)</t>
        </is>
      </c>
      <c r="F444" t="inlineStr">
        <is>
          <t>inferred (county label "Existing or Permitted" + year built/permit)</t>
        </is>
      </c>
      <c r="G444" t="inlineStr"/>
      <c r="H444" t="inlineStr"/>
      <c r="I444" t="inlineStr">
        <is>
          <t>235297431000</t>
        </is>
      </c>
      <c r="L444" t="inlineStr"/>
      <c r="M444" t="inlineStr">
        <is>
          <t>County lists as 'Existing or Permitted'; year built is placeholder 1000 and building permit issued 2023-09-14 (no completion recorded as of 2025-07-01)</t>
        </is>
      </c>
      <c r="N444" t="inlineStr">
        <is>
          <t>https://logis.loudoun.gov/gis/rest/services/Projects/BuildOut_LandUse/MapServer/0/135817?f=html</t>
        </is>
      </c>
      <c r="O444" t="n">
        <v>39.066015</v>
      </c>
      <c r="P444" t="n">
        <v>-77.55854600000001</v>
      </c>
    </row>
    <row r="445">
      <c r="A445" t="n">
        <v>444</v>
      </c>
      <c r="B445" t="inlineStr">
        <is>
          <t>Loudoun</t>
        </is>
      </c>
      <c r="C445" t="inlineStr">
        <is>
          <t>42370 THUNDERBALL DR</t>
        </is>
      </c>
      <c r="D445" t="inlineStr">
        <is>
          <t>Under construction</t>
        </is>
      </c>
      <c r="E445" t="inlineStr">
        <is>
          <t>Under construction / permitted, not complete (inferred)</t>
        </is>
      </c>
      <c r="F445" t="inlineStr">
        <is>
          <t>inferred (county label "Existing or Permitted" + year built/permit)</t>
        </is>
      </c>
      <c r="G445" t="inlineStr"/>
      <c r="H445" t="inlineStr"/>
      <c r="I445" t="inlineStr">
        <is>
          <t>194103673000</t>
        </is>
      </c>
      <c r="L445" t="inlineStr"/>
      <c r="M445" t="inlineStr">
        <is>
          <t>County lists as 'Existing or Permitted'; year built is placeholder 1000 and building permit issued 2023-11-15 (no completion recorded as of 2025-07-01)</t>
        </is>
      </c>
      <c r="N445" t="inlineStr">
        <is>
          <t>https://logis.loudoun.gov/gis/rest/services/Projects/BuildOut_LandUse/MapServer/0/136098?f=html</t>
        </is>
      </c>
      <c r="O445" t="n">
        <v>39.044268</v>
      </c>
      <c r="P445" t="n">
        <v>-77.53806400000001</v>
      </c>
    </row>
    <row r="446">
      <c r="A446" t="n">
        <v>445</v>
      </c>
      <c r="B446" t="inlineStr">
        <is>
          <t>Loudoun</t>
        </is>
      </c>
      <c r="C446" t="inlineStr">
        <is>
          <t>22365 GLENN DR</t>
        </is>
      </c>
      <c r="D446" t="inlineStr">
        <is>
          <t>Existing/Completed</t>
        </is>
      </c>
      <c r="E446" t="inlineStr">
        <is>
          <t>Existing / operating (inferred)</t>
        </is>
      </c>
      <c r="F446" t="inlineStr">
        <is>
          <t>inferred (county label "Existing or Permitted" + year built/permit)</t>
        </is>
      </c>
      <c r="G446" t="inlineStr"/>
      <c r="H446" t="inlineStr"/>
      <c r="I446" t="inlineStr">
        <is>
          <t>032155119000</t>
        </is>
      </c>
      <c r="K446" t="n">
        <v>2025</v>
      </c>
      <c r="L446" t="inlineStr"/>
      <c r="M446" t="inlineStr">
        <is>
          <t>County lists as 'Existing or Permitted'; year built 2025, building permit 2023-07-10</t>
        </is>
      </c>
      <c r="N446" t="inlineStr">
        <is>
          <t>https://logis.loudoun.gov/gis/rest/services/Projects/BuildOut_LandUse/MapServer/0/136115?f=html</t>
        </is>
      </c>
      <c r="O446" t="n">
        <v>38.998093</v>
      </c>
      <c r="P446" t="n">
        <v>-77.430229</v>
      </c>
    </row>
    <row r="447">
      <c r="A447" t="n">
        <v>446</v>
      </c>
      <c r="B447" t="inlineStr">
        <is>
          <t>Loudoun</t>
        </is>
      </c>
      <c r="C447" t="inlineStr">
        <is>
          <t>43321 DATA DR</t>
        </is>
      </c>
      <c r="D447" t="inlineStr">
        <is>
          <t>Existing/Completed</t>
        </is>
      </c>
      <c r="E447" t="inlineStr">
        <is>
          <t>Existing / operating (inferred)</t>
        </is>
      </c>
      <c r="F447" t="inlineStr">
        <is>
          <t>inferred (county label "Existing or Permitted" + year built/permit)</t>
        </is>
      </c>
      <c r="G447" t="inlineStr"/>
      <c r="H447" t="inlineStr"/>
      <c r="I447" t="inlineStr">
        <is>
          <t>113272390000</t>
        </is>
      </c>
      <c r="K447" t="n">
        <v>2024</v>
      </c>
      <c r="L447" t="inlineStr"/>
      <c r="M447" t="inlineStr">
        <is>
          <t>County lists as 'Existing or Permitted'; year built 2024, building permit 2023-11-17</t>
        </is>
      </c>
      <c r="N447" t="inlineStr">
        <is>
          <t>https://logis.loudoun.gov/gis/rest/services/Projects/BuildOut_LandUse/MapServer/0/136208?f=html</t>
        </is>
      </c>
      <c r="O447" t="n">
        <v>39.077179</v>
      </c>
      <c r="P447" t="n">
        <v>-77.50549599999999</v>
      </c>
    </row>
    <row r="448">
      <c r="A448" t="n">
        <v>447</v>
      </c>
      <c r="B448" t="inlineStr">
        <is>
          <t>Loudoun</t>
        </is>
      </c>
      <c r="C448" t="inlineStr">
        <is>
          <t>45210 VANTAGE DATA PLZ</t>
        </is>
      </c>
      <c r="D448" t="inlineStr">
        <is>
          <t>Under construction</t>
        </is>
      </c>
      <c r="E448" t="inlineStr">
        <is>
          <t>Under construction / permitted, not complete (inferred)</t>
        </is>
      </c>
      <c r="F448" t="inlineStr">
        <is>
          <t>inferred (county label "Existing or Permitted" + year built/permit)</t>
        </is>
      </c>
      <c r="G448" t="inlineStr"/>
      <c r="H448" t="inlineStr"/>
      <c r="I448" t="inlineStr">
        <is>
          <t>044292829000</t>
        </is>
      </c>
      <c r="L448" t="inlineStr"/>
      <c r="M448" t="inlineStr">
        <is>
          <t>County lists as 'Existing or Permitted'; year built is placeholder 1000 and building permit issued 2024-07-01 (no completion recorded as of 2025-07-01)</t>
        </is>
      </c>
      <c r="N448" t="inlineStr">
        <is>
          <t>https://logis.loudoun.gov/gis/rest/services/Projects/BuildOut_LandUse/MapServer/0/136334?f=html</t>
        </is>
      </c>
      <c r="O448" t="n">
        <v>39.000637</v>
      </c>
      <c r="P448" t="n">
        <v>-77.43668</v>
      </c>
    </row>
    <row r="449">
      <c r="A449" t="n">
        <v>448</v>
      </c>
      <c r="B449" t="inlineStr">
        <is>
          <t>Loudoun</t>
        </is>
      </c>
      <c r="C449" t="inlineStr">
        <is>
          <t>20575 CELTIC PARK DR</t>
        </is>
      </c>
      <c r="D449" t="inlineStr">
        <is>
          <t>Existing/Completed</t>
        </is>
      </c>
      <c r="E449" t="inlineStr">
        <is>
          <t>Existing / operating (inferred)</t>
        </is>
      </c>
      <c r="F449" t="inlineStr">
        <is>
          <t>inferred (county label "Existing or Permitted" + year built/permit)</t>
        </is>
      </c>
      <c r="G449" t="inlineStr"/>
      <c r="H449" t="inlineStr"/>
      <c r="I449" t="inlineStr">
        <is>
          <t>193276668000</t>
        </is>
      </c>
      <c r="K449" t="n">
        <v>2024</v>
      </c>
      <c r="L449" t="inlineStr"/>
      <c r="M449" t="inlineStr">
        <is>
          <t>County lists as 'Existing or Permitted'; year built 2024, building permit 2024-01-03</t>
        </is>
      </c>
      <c r="N449" t="inlineStr">
        <is>
          <t>https://logis.loudoun.gov/gis/rest/services/Projects/BuildOut_LandUse/MapServer/0/136616?f=html</t>
        </is>
      </c>
      <c r="O449" t="n">
        <v>39.057796</v>
      </c>
      <c r="P449" t="n">
        <v>-77.54674300000001</v>
      </c>
    </row>
    <row r="450">
      <c r="A450" t="n">
        <v>449</v>
      </c>
      <c r="B450" t="inlineStr">
        <is>
          <t>Loudoun</t>
        </is>
      </c>
      <c r="C450" t="inlineStr">
        <is>
          <t>20335 CELTIC PARK DR</t>
        </is>
      </c>
      <c r="D450" t="inlineStr">
        <is>
          <t>Under construction</t>
        </is>
      </c>
      <c r="E450" t="inlineStr">
        <is>
          <t>Under construction / permitted, not complete (inferred)</t>
        </is>
      </c>
      <c r="F450" t="inlineStr">
        <is>
          <t>inferred (county label "Existing or Permitted" + year built/permit)</t>
        </is>
      </c>
      <c r="G450" t="inlineStr"/>
      <c r="H450" t="inlineStr"/>
      <c r="I450" t="inlineStr">
        <is>
          <t>193274995000</t>
        </is>
      </c>
      <c r="L450" t="inlineStr"/>
      <c r="M450" t="inlineStr">
        <is>
          <t>County lists as 'Existing or Permitted'; year built is placeholder 1000 and building permit issued 2024-01-03 (no completion recorded as of 2025-07-01)</t>
        </is>
      </c>
      <c r="N450" t="inlineStr">
        <is>
          <t>https://logis.loudoun.gov/gis/rest/services/Projects/BuildOut_LandUse/MapServer/0/136617?f=html</t>
        </is>
      </c>
      <c r="O450" t="n">
        <v>39.055936</v>
      </c>
      <c r="P450" t="n">
        <v>-77.54732</v>
      </c>
    </row>
    <row r="451">
      <c r="A451" t="n">
        <v>450</v>
      </c>
      <c r="B451" t="inlineStr">
        <is>
          <t>Loudoun</t>
        </is>
      </c>
      <c r="C451" t="inlineStr">
        <is>
          <t>22665 DULLES SUMMIT CT</t>
        </is>
      </c>
      <c r="D451" t="inlineStr">
        <is>
          <t>Under construction</t>
        </is>
      </c>
      <c r="E451" t="inlineStr">
        <is>
          <t>Under construction / permitted, not complete (inferred)</t>
        </is>
      </c>
      <c r="F451" t="inlineStr">
        <is>
          <t>inferred (county label "Existing or Permitted" + year built/permit)</t>
        </is>
      </c>
      <c r="G451" t="inlineStr"/>
      <c r="H451" t="inlineStr"/>
      <c r="I451" t="inlineStr">
        <is>
          <t>045252512000</t>
        </is>
      </c>
      <c r="L451" t="inlineStr"/>
      <c r="M451" t="inlineStr">
        <is>
          <t>County lists as 'Existing or Permitted'; year built is placeholder 1000 and building permit issued 2024-04-03 (no completion recorded as of 2025-07-01)</t>
        </is>
      </c>
      <c r="N451" t="inlineStr">
        <is>
          <t>https://logis.loudoun.gov/gis/rest/services/Projects/BuildOut_LandUse/MapServer/0/136660?f=html</t>
        </is>
      </c>
      <c r="O451" t="n">
        <v>38.98945</v>
      </c>
      <c r="P451" t="n">
        <v>-77.449738</v>
      </c>
    </row>
    <row r="452">
      <c r="A452" t="n">
        <v>451</v>
      </c>
      <c r="B452" t="inlineStr">
        <is>
          <t>Loudoun</t>
        </is>
      </c>
      <c r="C452" t="inlineStr">
        <is>
          <t>41785 INCLUSION LN</t>
        </is>
      </c>
      <c r="D452" t="inlineStr">
        <is>
          <t>Under construction</t>
        </is>
      </c>
      <c r="E452" t="inlineStr">
        <is>
          <t>Under construction / permitted, not complete (inferred)</t>
        </is>
      </c>
      <c r="F452" t="inlineStr">
        <is>
          <t>inferred (county label "Existing or Permitted" + year built/permit)</t>
        </is>
      </c>
      <c r="G452" t="inlineStr"/>
      <c r="H452" t="inlineStr"/>
      <c r="I452" t="inlineStr">
        <is>
          <t>235297431000</t>
        </is>
      </c>
      <c r="L452" t="inlineStr"/>
      <c r="M452" t="inlineStr">
        <is>
          <t>County lists as 'Existing or Permitted'; year built is placeholder 1000 and building permit issued 2024-08-27 (no completion recorded as of 2025-07-01)</t>
        </is>
      </c>
      <c r="N452" t="inlineStr">
        <is>
          <t>https://logis.loudoun.gov/gis/rest/services/Projects/BuildOut_LandUse/MapServer/0/136771?f=html</t>
        </is>
      </c>
      <c r="O452" t="n">
        <v>39.06591</v>
      </c>
      <c r="P452" t="n">
        <v>-77.55548</v>
      </c>
    </row>
    <row r="453">
      <c r="A453" t="n">
        <v>452</v>
      </c>
      <c r="B453" t="inlineStr">
        <is>
          <t>Loudoun</t>
        </is>
      </c>
      <c r="C453" t="inlineStr">
        <is>
          <t>42031 GROWTH MINDSET LN</t>
        </is>
      </c>
      <c r="D453" t="inlineStr">
        <is>
          <t>Under construction</t>
        </is>
      </c>
      <c r="E453" t="inlineStr">
        <is>
          <t>Under construction / permitted, not complete (inferred)</t>
        </is>
      </c>
      <c r="F453" t="inlineStr">
        <is>
          <t>inferred (county label "Existing or Permitted" + year built/permit)</t>
        </is>
      </c>
      <c r="G453" t="inlineStr"/>
      <c r="H453" t="inlineStr"/>
      <c r="I453" t="inlineStr">
        <is>
          <t>203354208000</t>
        </is>
      </c>
      <c r="L453" t="inlineStr"/>
      <c r="M453" t="inlineStr">
        <is>
          <t>County lists as 'Existing or Permitted'; year built is placeholder 1000 and building permit issued 2024-06-25 (no completion recorded as of 2025-07-01)</t>
        </is>
      </c>
      <c r="N453" t="inlineStr">
        <is>
          <t>https://logis.loudoun.gov/gis/rest/services/Projects/BuildOut_LandUse/MapServer/0/136774?f=html</t>
        </is>
      </c>
      <c r="O453" t="n">
        <v>38.949683</v>
      </c>
      <c r="P453" t="n">
        <v>-77.554321</v>
      </c>
    </row>
    <row r="454">
      <c r="A454" t="n">
        <v>453</v>
      </c>
      <c r="B454" t="inlineStr">
        <is>
          <t>Loudoun</t>
        </is>
      </c>
      <c r="C454" t="inlineStr">
        <is>
          <t>42010 GROWTH MINDSET LN</t>
        </is>
      </c>
      <c r="D454" t="inlineStr">
        <is>
          <t>Under construction</t>
        </is>
      </c>
      <c r="E454" t="inlineStr">
        <is>
          <t>Under construction / permitted, not complete (inferred)</t>
        </is>
      </c>
      <c r="F454" t="inlineStr">
        <is>
          <t>inferred (county label "Existing or Permitted" + year built/permit)</t>
        </is>
      </c>
      <c r="G454" t="inlineStr"/>
      <c r="H454" t="inlineStr"/>
      <c r="I454" t="inlineStr">
        <is>
          <t>203354208000</t>
        </is>
      </c>
      <c r="L454" t="inlineStr"/>
      <c r="M454" t="inlineStr">
        <is>
          <t>County lists as 'Existing or Permitted'; year built is placeholder 1000 and building permit issued 2024-05-16 (no completion recorded as of 2025-07-01)</t>
        </is>
      </c>
      <c r="N454" t="inlineStr">
        <is>
          <t>https://logis.loudoun.gov/gis/rest/services/Projects/BuildOut_LandUse/MapServer/0/136775?f=html</t>
        </is>
      </c>
      <c r="O454" t="n">
        <v>38.95127</v>
      </c>
      <c r="P454" t="n">
        <v>-77.555553</v>
      </c>
    </row>
    <row r="455">
      <c r="A455" t="n">
        <v>454</v>
      </c>
      <c r="B455" t="inlineStr">
        <is>
          <t>Loudoun</t>
        </is>
      </c>
      <c r="C455" t="inlineStr">
        <is>
          <t>19275 COMPASS CREEK PKWY SE</t>
        </is>
      </c>
      <c r="D455" t="inlineStr">
        <is>
          <t>Under construction</t>
        </is>
      </c>
      <c r="E455" t="inlineStr">
        <is>
          <t>Under construction / permitted, not complete (inferred)</t>
        </is>
      </c>
      <c r="F455" t="inlineStr">
        <is>
          <t>inferred (county label "Existing or Permitted" + year built/permit)</t>
        </is>
      </c>
      <c r="G455" t="inlineStr"/>
      <c r="H455" t="inlineStr"/>
      <c r="I455" t="inlineStr">
        <is>
          <t>234371847000</t>
        </is>
      </c>
      <c r="L455" t="inlineStr"/>
      <c r="M455" t="inlineStr">
        <is>
          <t>County lists as 'Existing or Permitted'; year built is placeholder 1000 and building permit issued 2024-11-25 (no completion recorded as of 2025-07-01)</t>
        </is>
      </c>
      <c r="N455" t="inlineStr">
        <is>
          <t>https://logis.loudoun.gov/gis/rest/services/Projects/BuildOut_LandUse/MapServer/0/136942?f=html</t>
        </is>
      </c>
      <c r="O455" t="n">
        <v>39.080136</v>
      </c>
      <c r="P455" t="n">
        <v>-77.56486099999999</v>
      </c>
    </row>
    <row r="456">
      <c r="A456" t="n">
        <v>455</v>
      </c>
      <c r="B456" t="inlineStr">
        <is>
          <t>Loudoun</t>
        </is>
      </c>
      <c r="C456" t="inlineStr">
        <is>
          <t>19265 COMPASS CREEK PKWY SE</t>
        </is>
      </c>
      <c r="D456" t="inlineStr">
        <is>
          <t>Existing/Completed</t>
        </is>
      </c>
      <c r="E456" t="inlineStr">
        <is>
          <t>Existing / operating (inferred)</t>
        </is>
      </c>
      <c r="F456" t="inlineStr">
        <is>
          <t>inferred (county label "Existing or Permitted" + year built/permit)</t>
        </is>
      </c>
      <c r="G456" t="inlineStr"/>
      <c r="H456" t="inlineStr"/>
      <c r="I456" t="inlineStr">
        <is>
          <t>234371847000</t>
        </is>
      </c>
      <c r="K456" t="n">
        <v>2025</v>
      </c>
      <c r="L456" t="inlineStr"/>
      <c r="M456" t="inlineStr">
        <is>
          <t>County lists as 'Existing or Permitted'; year built 2025, building permit 2024-07-24</t>
        </is>
      </c>
      <c r="N456" t="inlineStr">
        <is>
          <t>https://logis.loudoun.gov/gis/rest/services/Projects/BuildOut_LandUse/MapServer/0/136943?f=html</t>
        </is>
      </c>
      <c r="O456" t="n">
        <v>39.082183</v>
      </c>
      <c r="P456" t="n">
        <v>-77.565079</v>
      </c>
    </row>
    <row r="457">
      <c r="A457" t="n">
        <v>456</v>
      </c>
      <c r="B457" t="inlineStr">
        <is>
          <t>Loudoun</t>
        </is>
      </c>
      <c r="C457" t="inlineStr">
        <is>
          <t>42590 PATRIOT PARK DR</t>
        </is>
      </c>
      <c r="D457" t="inlineStr">
        <is>
          <t>Under construction</t>
        </is>
      </c>
      <c r="E457" t="inlineStr">
        <is>
          <t>Under construction / permitted, not complete (inferred)</t>
        </is>
      </c>
      <c r="F457" t="inlineStr">
        <is>
          <t>inferred (county label "Existing or Permitted" + year built/permit)</t>
        </is>
      </c>
      <c r="G457" t="inlineStr"/>
      <c r="H457" t="inlineStr"/>
      <c r="I457" t="inlineStr">
        <is>
          <t>193178229000</t>
        </is>
      </c>
      <c r="L457" t="inlineStr"/>
      <c r="M457" t="inlineStr">
        <is>
          <t>County lists as 'Existing or Permitted'; year built is placeholder 1000 and building permit issued 2025-01-31 (no completion recorded as of 2025-07-01)</t>
        </is>
      </c>
      <c r="N457" t="inlineStr">
        <is>
          <t>https://logis.loudoun.gov/gis/rest/services/Projects/BuildOut_LandUse/MapServer/0/137650?f=html</t>
        </is>
      </c>
      <c r="O457" t="n">
        <v>39.054043</v>
      </c>
      <c r="P457" t="n">
        <v>-77.54598</v>
      </c>
    </row>
    <row r="458">
      <c r="A458" t="n">
        <v>457</v>
      </c>
      <c r="B458" t="inlineStr">
        <is>
          <t>Loudoun</t>
        </is>
      </c>
      <c r="C458" t="inlineStr">
        <is>
          <t>42376 PATRIOT PARK DR</t>
        </is>
      </c>
      <c r="D458" t="inlineStr">
        <is>
          <t>Under construction</t>
        </is>
      </c>
      <c r="E458" t="inlineStr">
        <is>
          <t>Under construction / permitted, not complete (inferred)</t>
        </is>
      </c>
      <c r="F458" t="inlineStr">
        <is>
          <t>inferred (county label "Existing or Permitted" + year built/permit)</t>
        </is>
      </c>
      <c r="G458" t="inlineStr"/>
      <c r="H458" t="inlineStr"/>
      <c r="I458" t="inlineStr">
        <is>
          <t>193281883000</t>
        </is>
      </c>
      <c r="L458" t="inlineStr"/>
      <c r="M458" t="inlineStr">
        <is>
          <t>County lists as 'Existing or Permitted'; year built is placeholder 1000 and building permit issued 2025-01-31 (no completion recorded as of 2025-07-01)</t>
        </is>
      </c>
      <c r="N458" t="inlineStr">
        <is>
          <t>https://logis.loudoun.gov/gis/rest/services/Projects/BuildOut_LandUse/MapServer/0/137652?f=html</t>
        </is>
      </c>
      <c r="O458" t="n">
        <v>39.055208</v>
      </c>
      <c r="P458" t="n">
        <v>-77.544792</v>
      </c>
    </row>
    <row r="459">
      <c r="A459" t="n">
        <v>458</v>
      </c>
      <c r="B459" t="inlineStr">
        <is>
          <t>Loudoun</t>
        </is>
      </c>
      <c r="C459" t="inlineStr">
        <is>
          <t>44595 LOW LATENCY LN</t>
        </is>
      </c>
      <c r="D459" t="inlineStr">
        <is>
          <t>Under construction</t>
        </is>
      </c>
      <c r="E459" t="inlineStr">
        <is>
          <t>Under construction / permitted, not complete (inferred)</t>
        </is>
      </c>
      <c r="F459" t="inlineStr">
        <is>
          <t>inferred (county label "Existing or Permitted" + year built/permit)</t>
        </is>
      </c>
      <c r="G459" t="inlineStr"/>
      <c r="H459" t="inlineStr"/>
      <c r="I459" t="inlineStr">
        <is>
          <t>063477734000</t>
        </is>
      </c>
      <c r="L459" t="inlineStr"/>
      <c r="M459" t="inlineStr">
        <is>
          <t>County lists as 'Existing or Permitted'; year built is placeholder 1000 and building permit issued 2025-06-17 (no completion recorded as of 2025-07-01)</t>
        </is>
      </c>
      <c r="N459" t="inlineStr">
        <is>
          <t>https://logis.loudoun.gov/gis/rest/services/Projects/BuildOut_LandUse/MapServer/0/137657?f=html</t>
        </is>
      </c>
      <c r="O459" t="n">
        <v>38.995987</v>
      </c>
      <c r="P459" t="n">
        <v>-77.45971900000001</v>
      </c>
    </row>
    <row r="460">
      <c r="A460" t="n">
        <v>459</v>
      </c>
      <c r="B460" t="inlineStr">
        <is>
          <t>Loudoun</t>
        </is>
      </c>
      <c r="C460" t="inlineStr">
        <is>
          <t>45955 MEMPHIS PLZ</t>
        </is>
      </c>
      <c r="D460" t="inlineStr">
        <is>
          <t>Under construction</t>
        </is>
      </c>
      <c r="E460" t="inlineStr">
        <is>
          <t>Under construction / permitted, not complete (inferred)</t>
        </is>
      </c>
      <c r="F460" t="inlineStr">
        <is>
          <t>inferred (county label "Existing or Permitted" + year built/permit)</t>
        </is>
      </c>
      <c r="G460" t="inlineStr"/>
      <c r="H460" t="inlineStr"/>
      <c r="I460" t="inlineStr">
        <is>
          <t>043171795000</t>
        </is>
      </c>
      <c r="L460" t="inlineStr"/>
      <c r="M460" t="inlineStr">
        <is>
          <t>County lists as 'Existing or Permitted'; year built is placeholder 1000 and building permit issued 2025-03-21 (no completion recorded as of 2025-07-01)</t>
        </is>
      </c>
      <c r="N460" t="inlineStr">
        <is>
          <t>https://logis.loudoun.gov/gis/rest/services/Projects/BuildOut_LandUse/MapServer/0/137725?f=html</t>
        </is>
      </c>
      <c r="O460" t="n">
        <v>39.008132</v>
      </c>
      <c r="P460" t="n">
        <v>-77.443123</v>
      </c>
    </row>
    <row r="461">
      <c r="A461" t="n">
        <v>460</v>
      </c>
      <c r="B461" t="inlineStr">
        <is>
          <t>Loudoun</t>
        </is>
      </c>
      <c r="C461" t="inlineStr">
        <is>
          <t>45870 MEMPHIS PLZ</t>
        </is>
      </c>
      <c r="D461" t="inlineStr">
        <is>
          <t>Under construction</t>
        </is>
      </c>
      <c r="E461" t="inlineStr">
        <is>
          <t>Under construction / permitted, not complete (inferred)</t>
        </is>
      </c>
      <c r="F461" t="inlineStr">
        <is>
          <t>inferred (county label "Existing or Permitted" + year built/permit)</t>
        </is>
      </c>
      <c r="G461" t="inlineStr"/>
      <c r="H461" t="inlineStr"/>
      <c r="I461" t="inlineStr">
        <is>
          <t>043176560000</t>
        </is>
      </c>
      <c r="L461" t="inlineStr"/>
      <c r="M461" t="inlineStr">
        <is>
          <t>County lists as 'Existing or Permitted'; year built is placeholder 1000 and building permit issued 2025-01-02 (no completion recorded as of 2025-07-01)</t>
        </is>
      </c>
      <c r="N461" t="inlineStr">
        <is>
          <t>https://logis.loudoun.gov/gis/rest/services/Projects/BuildOut_LandUse/MapServer/0/137726?f=html</t>
        </is>
      </c>
      <c r="O461" t="n">
        <v>39.009937</v>
      </c>
      <c r="P461" t="n">
        <v>-77.441506</v>
      </c>
    </row>
    <row r="462">
      <c r="A462" t="n">
        <v>461</v>
      </c>
      <c r="B462" t="inlineStr">
        <is>
          <t>Loudoun</t>
        </is>
      </c>
      <c r="C462" t="inlineStr">
        <is>
          <t>22321 PACIFIC BLVD</t>
        </is>
      </c>
      <c r="D462" t="inlineStr">
        <is>
          <t>Under construction</t>
        </is>
      </c>
      <c r="E462" t="inlineStr">
        <is>
          <t>Under construction / permitted, not complete (inferred)</t>
        </is>
      </c>
      <c r="F462" t="inlineStr">
        <is>
          <t>inferred (county label "Existing or Permitted" + year built/permit)</t>
        </is>
      </c>
      <c r="G462" t="inlineStr"/>
      <c r="H462" t="inlineStr"/>
      <c r="I462" t="inlineStr">
        <is>
          <t>044175589000</t>
        </is>
      </c>
      <c r="L462" t="inlineStr"/>
      <c r="M462" t="inlineStr">
        <is>
          <t>County lists as 'Existing or Permitted'; year built is placeholder 1000 and building permit issued 2024-11-19 (no completion recorded as of 2025-07-01)</t>
        </is>
      </c>
      <c r="N462" t="inlineStr">
        <is>
          <t>https://logis.loudoun.gov/gis/rest/services/Projects/BuildOut_LandUse/MapServer/0/137736?f=html</t>
        </is>
      </c>
      <c r="O462" t="n">
        <v>38.99933</v>
      </c>
      <c r="P462" t="n">
        <v>-77.441788</v>
      </c>
    </row>
    <row r="463">
      <c r="A463" t="n">
        <v>462</v>
      </c>
      <c r="B463" t="inlineStr">
        <is>
          <t>Loudoun</t>
        </is>
      </c>
      <c r="C463" t="inlineStr">
        <is>
          <t>43705 EFFICIENCY DR</t>
        </is>
      </c>
      <c r="D463" t="inlineStr">
        <is>
          <t>Under construction</t>
        </is>
      </c>
      <c r="E463" t="inlineStr">
        <is>
          <t>Under construction / permitted, not complete (inferred)</t>
        </is>
      </c>
      <c r="F463" t="inlineStr">
        <is>
          <t>inferred (county label "Existing or Permitted" + year built/permit)</t>
        </is>
      </c>
      <c r="G463" t="inlineStr"/>
      <c r="H463" t="inlineStr"/>
      <c r="I463" t="inlineStr">
        <is>
          <t>093365404000</t>
        </is>
      </c>
      <c r="L463" t="inlineStr"/>
      <c r="M463" t="inlineStr">
        <is>
          <t>County lists as 'Existing or Permitted'; year built is placeholder 1000 and building permit issued 2025-04-23 (no completion recorded as of 2025-07-01)</t>
        </is>
      </c>
      <c r="N463" t="inlineStr">
        <is>
          <t>https://logis.loudoun.gov/gis/rest/services/Projects/BuildOut_LandUse/MapServer/0/137826?f=html</t>
        </is>
      </c>
      <c r="O463" t="n">
        <v>38.958144</v>
      </c>
      <c r="P463" t="n">
        <v>-77.49010699999999</v>
      </c>
    </row>
    <row r="464">
      <c r="A464" t="n">
        <v>463</v>
      </c>
      <c r="B464" t="inlineStr">
        <is>
          <t>Loudoun</t>
        </is>
      </c>
      <c r="C464" t="inlineStr">
        <is>
          <t>43715 EFFICIENCY DR</t>
        </is>
      </c>
      <c r="D464" t="inlineStr">
        <is>
          <t>Under construction</t>
        </is>
      </c>
      <c r="E464" t="inlineStr">
        <is>
          <t>Under construction / permitted, not complete (inferred)</t>
        </is>
      </c>
      <c r="F464" t="inlineStr">
        <is>
          <t>inferred (county label "Existing or Permitted" + year built/permit)</t>
        </is>
      </c>
      <c r="G464" t="inlineStr"/>
      <c r="H464" t="inlineStr"/>
      <c r="I464" t="inlineStr">
        <is>
          <t>093365404000</t>
        </is>
      </c>
      <c r="L464" t="inlineStr"/>
      <c r="M464" t="inlineStr">
        <is>
          <t>County lists as 'Existing or Permitted'; year built is placeholder 1000 and building permit issued 2025-04-16 (no completion recorded as of 2025-07-01)</t>
        </is>
      </c>
      <c r="N464" t="inlineStr">
        <is>
          <t>https://logis.loudoun.gov/gis/rest/services/Projects/BuildOut_LandUse/MapServer/0/137827?f=html</t>
        </is>
      </c>
      <c r="O464" t="n">
        <v>38.959956</v>
      </c>
      <c r="P464" t="n">
        <v>-77.488651</v>
      </c>
    </row>
    <row r="465">
      <c r="A465" t="n">
        <v>464</v>
      </c>
      <c r="B465" t="inlineStr">
        <is>
          <t>Loudoun</t>
        </is>
      </c>
      <c r="C465" t="inlineStr">
        <is>
          <t>22235 LOUDOUN COUNTY PKWY</t>
        </is>
      </c>
      <c r="D465" t="inlineStr">
        <is>
          <t>Under construction</t>
        </is>
      </c>
      <c r="E465" t="inlineStr">
        <is>
          <t>Under construction / permitted, not complete (inferred)</t>
        </is>
      </c>
      <c r="F465" t="inlineStr">
        <is>
          <t>inferred (county label "Existing or Permitted" + year built/permit)</t>
        </is>
      </c>
      <c r="G465" t="inlineStr"/>
      <c r="H465" t="inlineStr"/>
      <c r="I465" t="inlineStr">
        <is>
          <t>089496314000</t>
        </is>
      </c>
      <c r="L465" t="inlineStr"/>
      <c r="M465" t="inlineStr">
        <is>
          <t>County lists as 'Existing or Permitted'; year built is placeholder 1000 and building permit issued 2025-05-07 (no completion recorded as of 2025-07-01)</t>
        </is>
      </c>
      <c r="N465" t="inlineStr">
        <is>
          <t>https://logis.loudoun.gov/gis/rest/services/Projects/BuildOut_LandUse/MapServer/0/138082?f=html</t>
        </is>
      </c>
      <c r="O465" t="n">
        <v>39.006651</v>
      </c>
      <c r="P465" t="n">
        <v>-77.47756099999999</v>
      </c>
    </row>
    <row r="466">
      <c r="A466" t="n">
        <v>465</v>
      </c>
      <c r="B466" t="inlineStr">
        <is>
          <t>Loudoun</t>
        </is>
      </c>
      <c r="C466" t="inlineStr">
        <is>
          <t>45757 MARIES RD</t>
        </is>
      </c>
      <c r="D466" t="inlineStr">
        <is>
          <t>Under construction</t>
        </is>
      </c>
      <c r="E466" t="inlineStr">
        <is>
          <t>Under construction / permitted, not complete (inferred)</t>
        </is>
      </c>
      <c r="F466" t="inlineStr">
        <is>
          <t>inferred (county label "Existing or Permitted" + year built/permit)</t>
        </is>
      </c>
      <c r="G466" t="inlineStr"/>
      <c r="H466" t="inlineStr"/>
      <c r="I466" t="inlineStr">
        <is>
          <t>030286764000</t>
        </is>
      </c>
      <c r="L466" t="inlineStr"/>
      <c r="M466" t="inlineStr">
        <is>
          <t>County lists as 'Existing or Permitted'; year built is placeholder 1000 and building permit issued 2025-04-09 (no completion recorded as of 2025-07-01)</t>
        </is>
      </c>
      <c r="N466" t="inlineStr">
        <is>
          <t>https://logis.loudoun.gov/gis/rest/services/Projects/BuildOut_LandUse/MapServer/0/138084?f=html</t>
        </is>
      </c>
      <c r="O466" t="n">
        <v>39.022941</v>
      </c>
      <c r="P466" t="n">
        <v>-77.416706</v>
      </c>
    </row>
    <row r="467">
      <c r="A467" t="n">
        <v>466</v>
      </c>
      <c r="B467" t="inlineStr">
        <is>
          <t>Loudoun</t>
        </is>
      </c>
      <c r="C467" t="inlineStr">
        <is>
          <t>45831 MARIES RD</t>
        </is>
      </c>
      <c r="D467" t="inlineStr">
        <is>
          <t>Under construction</t>
        </is>
      </c>
      <c r="E467" t="inlineStr">
        <is>
          <t>Under construction / permitted, not complete (inferred)</t>
        </is>
      </c>
      <c r="F467" t="inlineStr">
        <is>
          <t>inferred (county label "Existing or Permitted" + year built/permit)</t>
        </is>
      </c>
      <c r="G467" t="inlineStr"/>
      <c r="H467" t="inlineStr"/>
      <c r="I467" t="inlineStr">
        <is>
          <t>030292034000</t>
        </is>
      </c>
      <c r="L467" t="inlineStr"/>
      <c r="M467" t="inlineStr">
        <is>
          <t>County lists as 'Existing or Permitted'; year built is placeholder 1000 and building permit issued 2025-02-26 (no completion recorded as of 2025-07-01)</t>
        </is>
      </c>
      <c r="N467" t="inlineStr">
        <is>
          <t>https://logis.loudoun.gov/gis/rest/services/Projects/BuildOut_LandUse/MapServer/0/138137?f=html</t>
        </is>
      </c>
      <c r="O467" t="n">
        <v>39.021812</v>
      </c>
      <c r="P467" t="n">
        <v>-77.414676</v>
      </c>
    </row>
    <row r="468">
      <c r="A468" t="n">
        <v>467</v>
      </c>
      <c r="B468" t="inlineStr">
        <is>
          <t>Loudoun</t>
        </is>
      </c>
      <c r="C468" t="inlineStr">
        <is>
          <t>22214 POWER PLAYER LN</t>
        </is>
      </c>
      <c r="D468" t="inlineStr">
        <is>
          <t>Under construction</t>
        </is>
      </c>
      <c r="E468" t="inlineStr">
        <is>
          <t>Under construction / permitted, not complete (inferred)</t>
        </is>
      </c>
      <c r="F468" t="inlineStr">
        <is>
          <t>inferred (county label "Existing or Permitted" + year built/permit)</t>
        </is>
      </c>
      <c r="G468" t="inlineStr"/>
      <c r="H468" t="inlineStr"/>
      <c r="I468" t="inlineStr">
        <is>
          <t>044461959000</t>
        </is>
      </c>
      <c r="L468" t="inlineStr"/>
      <c r="M468" t="inlineStr">
        <is>
          <t>County lists as 'Existing or Permitted'; year built is placeholder 1000 and building permit issued 2025-06-09 (no completion recorded as of 2025-07-01)</t>
        </is>
      </c>
      <c r="N468" t="inlineStr">
        <is>
          <t>https://logis.loudoun.gov/gis/rest/services/Projects/BuildOut_LandUse/MapServer/0/138186?f=html</t>
        </is>
      </c>
      <c r="O468" t="n">
        <v>39.00357</v>
      </c>
      <c r="P468" t="n">
        <v>-77.446749</v>
      </c>
    </row>
    <row r="469">
      <c r="A469" t="n">
        <v>468</v>
      </c>
      <c r="B469" t="inlineStr">
        <is>
          <t>Loudoun</t>
        </is>
      </c>
      <c r="C469" t="inlineStr">
        <is>
          <t>22190 POWER PLAYER LN</t>
        </is>
      </c>
      <c r="D469" t="inlineStr">
        <is>
          <t>Under construction</t>
        </is>
      </c>
      <c r="E469" t="inlineStr">
        <is>
          <t>Under construction / permitted, not complete (inferred)</t>
        </is>
      </c>
      <c r="F469" t="inlineStr">
        <is>
          <t>inferred (county label "Existing or Permitted" + year built/permit)</t>
        </is>
      </c>
      <c r="G469" t="inlineStr"/>
      <c r="H469" t="inlineStr"/>
      <c r="I469" t="inlineStr">
        <is>
          <t>044461959000</t>
        </is>
      </c>
      <c r="L469" t="inlineStr"/>
      <c r="M469" t="inlineStr">
        <is>
          <t>County lists as 'Existing or Permitted'; year built is placeholder 1000 and building permit issued 2025-06-05 (no completion recorded as of 2025-07-01)</t>
        </is>
      </c>
      <c r="N469" t="inlineStr">
        <is>
          <t>https://logis.loudoun.gov/gis/rest/services/Projects/BuildOut_LandUse/MapServer/0/138187?f=html</t>
        </is>
      </c>
      <c r="O469" t="n">
        <v>39.005197</v>
      </c>
      <c r="P469" t="n">
        <v>-77.446472</v>
      </c>
    </row>
    <row r="470">
      <c r="A470" t="n">
        <v>469</v>
      </c>
      <c r="B470" t="inlineStr">
        <is>
          <t>Loudoun</t>
        </is>
      </c>
      <c r="C470" t="inlineStr">
        <is>
          <t>24531 HOWLING ROOSTER LN</t>
        </is>
      </c>
      <c r="D470" t="inlineStr">
        <is>
          <t>Under construction</t>
        </is>
      </c>
      <c r="E470" t="inlineStr">
        <is>
          <t>Under construction / permitted, not complete (inferred)</t>
        </is>
      </c>
      <c r="F470" t="inlineStr">
        <is>
          <t>inferred (county label "Existing or Permitted" + year built/permit)</t>
        </is>
      </c>
      <c r="G470" t="inlineStr"/>
      <c r="H470" t="inlineStr"/>
      <c r="I470" t="inlineStr">
        <is>
          <t>162176713000</t>
        </is>
      </c>
      <c r="L470" t="inlineStr"/>
      <c r="M470" t="inlineStr">
        <is>
          <t>County lists as 'Existing or Permitted'; year built is placeholder 1000 and building permit issued 2025-04-09 (no completion recorded as of 2025-07-01)</t>
        </is>
      </c>
      <c r="N470" t="inlineStr">
        <is>
          <t>https://logis.loudoun.gov/gis/rest/services/Projects/BuildOut_LandUse/MapServer/0/138190?f=html</t>
        </is>
      </c>
      <c r="O470" t="n">
        <v>38.943011</v>
      </c>
      <c r="P470" t="n">
        <v>-77.52908100000001</v>
      </c>
    </row>
    <row r="471">
      <c r="A471" t="n">
        <v>470</v>
      </c>
      <c r="B471" t="inlineStr">
        <is>
          <t>Loudoun</t>
        </is>
      </c>
      <c r="C471" t="inlineStr">
        <is>
          <t>25190 MEADOWDALE DR</t>
        </is>
      </c>
      <c r="D471" t="inlineStr">
        <is>
          <t>Under construction</t>
        </is>
      </c>
      <c r="E471" t="inlineStr">
        <is>
          <t>Under construction / permitted, not complete (inferred)</t>
        </is>
      </c>
      <c r="F471" t="inlineStr">
        <is>
          <t>inferred (county label "Existing or Permitted" + year built/permit)</t>
        </is>
      </c>
      <c r="G471" t="inlineStr"/>
      <c r="H471" t="inlineStr"/>
      <c r="I471" t="inlineStr">
        <is>
          <t>096183926000</t>
        </is>
      </c>
      <c r="L471" t="inlineStr"/>
      <c r="M471" t="inlineStr">
        <is>
          <t>County lists as 'Existing or Permitted'; year built is placeholder 1000 and building permit issued 2025-06-30 (no completion recorded as of 2025-07-01)</t>
        </is>
      </c>
      <c r="N471" t="inlineStr">
        <is>
          <t>https://logis.loudoun.gov/gis/rest/services/Projects/BuildOut_LandUse/MapServer/0/138199?f=html</t>
        </is>
      </c>
      <c r="O471" t="n">
        <v>38.920622</v>
      </c>
      <c r="P471" t="n">
        <v>-77.48382100000001</v>
      </c>
    </row>
  </sheetData>
  <autoFilter ref="A1:P4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6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6" customWidth="1" min="4" max="4"/>
    <col width="10" customWidth="1" min="5" max="5"/>
    <col width="17" customWidth="1" min="6" max="6"/>
    <col width="14" customWidth="1" min="7" max="7"/>
    <col width="16" customWidth="1" min="8" max="8"/>
    <col width="13" customWidth="1" min="9" max="9"/>
    <col width="17" customWidth="1" min="10" max="10"/>
    <col width="29" customWidth="1" min="11" max="11"/>
    <col width="10" customWidth="1" min="12" max="12"/>
    <col width="23" customWidth="1" min="13" max="13"/>
    <col width="14" customWidth="1" min="14" max="14"/>
    <col width="10" customWidth="1" min="15" max="15"/>
    <col width="10" customWidth="1" min="16" max="16"/>
    <col width="10" customWidth="1" min="17" max="17"/>
  </cols>
  <sheetData>
    <row r="1">
      <c r="A1" s="3" t="inlineStr">
        <is>
          <t>Map #</t>
        </is>
      </c>
      <c r="B1" s="3" t="inlineStr">
        <is>
          <t>County</t>
        </is>
      </c>
      <c r="C1" s="3" t="inlineStr">
        <is>
          <t>Name</t>
        </is>
      </c>
      <c r="D1" s="3" t="inlineStr">
        <is>
          <t>Type / stage</t>
        </is>
      </c>
      <c r="E1" s="3" t="inlineStr">
        <is>
          <t>Status</t>
        </is>
      </c>
      <c r="F1" s="3" t="inlineStr">
        <is>
          <t>Source status</t>
        </is>
      </c>
      <c r="G1" s="3" t="inlineStr">
        <is>
          <t>Basis type</t>
        </is>
      </c>
      <c r="H1" s="3" t="inlineStr">
        <is>
          <t>Primary case</t>
        </is>
      </c>
      <c r="I1" s="3" t="inlineStr">
        <is>
          <t>All cases</t>
        </is>
      </c>
      <c r="J1" s="3" t="inlineStr">
        <is>
          <t>First applied</t>
        </is>
      </c>
      <c r="K1" s="3" t="inlineStr">
        <is>
          <t>Buildings on site (map #)</t>
        </is>
      </c>
      <c r="L1" s="3" t="inlineStr">
        <is>
          <t>On map</t>
        </is>
      </c>
      <c r="M1" s="3" t="inlineStr">
        <is>
          <t>Description / notes</t>
        </is>
      </c>
      <c r="N1" s="3" t="inlineStr">
        <is>
          <t>Basis note</t>
        </is>
      </c>
      <c r="O1" s="3" t="inlineStr">
        <is>
          <t>Source</t>
        </is>
      </c>
      <c r="P1" s="3" t="inlineStr">
        <is>
          <t>Lat</t>
        </is>
      </c>
      <c r="Q1" s="3" t="inlineStr">
        <is>
          <t>Lon</t>
        </is>
      </c>
    </row>
    <row r="2">
      <c r="A2" t="n">
        <v>744</v>
      </c>
      <c r="B2" t="inlineStr">
        <is>
          <t>Prince William</t>
        </is>
      </c>
      <c r="C2" t="inlineStr">
        <is>
          <t>Exter Property Group</t>
        </is>
      </c>
      <c r="D2" t="inlineStr">
        <is>
          <t>Approved / Planned</t>
        </is>
      </c>
      <c r="E2" t="inlineStr">
        <is>
          <t>Approved/Planned</t>
        </is>
      </c>
      <c r="F2" t="inlineStr">
        <is>
          <t>Approved / Planned</t>
        </is>
      </c>
      <c r="G2" t="inlineStr">
        <is>
          <t>inferred (rule-derived stage from county layers)</t>
        </is>
      </c>
      <c r="H2" t="inlineStr">
        <is>
          <t>REZ1987-0015</t>
        </is>
      </c>
      <c r="I2" t="inlineStr">
        <is>
          <t>REZ1987-0015</t>
        </is>
      </c>
      <c r="J2" t="inlineStr"/>
      <c r="K2" t="inlineStr"/>
      <c r="L2" t="inlineStr">
        <is>
          <t>Yes (project, no buildings)</t>
        </is>
      </c>
      <c r="M2" t="inlineStr"/>
      <c r="N2" t="inlineStr">
        <is>
          <t>Stage rule: Rule 3: campus ProjectStatus Planned. Campus-layer status: Planned; pending-case: n/a; ePortal: n/a.</t>
        </is>
      </c>
      <c r="O2" t="inlineStr">
        <is>
          <t>https://gisweb.pwcva.gov/arcgis/rest/services/Planning/Build_Out_Analysis/MapServer/10/122?f=html</t>
        </is>
      </c>
      <c r="P2" t="n">
        <v>38.799005</v>
      </c>
      <c r="Q2" t="n">
        <v>-77.501535</v>
      </c>
    </row>
    <row r="3">
      <c r="A3" t="n">
        <v>745</v>
      </c>
      <c r="B3" t="inlineStr">
        <is>
          <t>Prince William</t>
        </is>
      </c>
      <c r="C3" t="inlineStr">
        <is>
          <t>Manassas Tech Center</t>
        </is>
      </c>
      <c r="D3" t="inlineStr">
        <is>
          <t>Approved / Planned</t>
        </is>
      </c>
      <c r="E3" t="inlineStr">
        <is>
          <t>Approved/Planned</t>
        </is>
      </c>
      <c r="F3" t="inlineStr">
        <is>
          <t>Approved / Planned</t>
        </is>
      </c>
      <c r="G3" t="inlineStr">
        <is>
          <t>inferred (rule-derived stage from county layers)</t>
        </is>
      </c>
      <c r="H3" t="inlineStr">
        <is>
          <t>REZ2025-00032</t>
        </is>
      </c>
      <c r="I3" t="inlineStr">
        <is>
          <t>REZ2025-00032</t>
        </is>
      </c>
      <c r="J3" t="inlineStr"/>
      <c r="K3" t="inlineStr"/>
      <c r="L3" t="inlineStr">
        <is>
          <t>Yes (project, no buildings)</t>
        </is>
      </c>
      <c r="M3" t="inlineStr"/>
      <c r="N3" t="inlineStr">
        <is>
          <t>Stage rule: Campus layer says Pending but ePortal case REZ2025-00032 is Approved (county data conflict). Campus-layer status: Pending; pending-case: n/a; ePortal: Approved.</t>
        </is>
      </c>
      <c r="O3" t="inlineStr">
        <is>
          <t>https://gisweb.pwcva.gov/arcgis/rest/services/Planning/Build_Out_Analysis/MapServer/10/116?f=html</t>
        </is>
      </c>
      <c r="P3" t="n">
        <v>38.763507</v>
      </c>
      <c r="Q3" t="n">
        <v>-77.538268</v>
      </c>
    </row>
    <row r="4">
      <c r="B4" t="inlineStr">
        <is>
          <t>Prince William</t>
        </is>
      </c>
      <c r="C4" t="inlineStr">
        <is>
          <t>5451 Wellington Road East</t>
        </is>
      </c>
      <c r="D4" t="inlineStr">
        <is>
          <t>Approved / Planned</t>
        </is>
      </c>
      <c r="E4" t="inlineStr">
        <is>
          <t>Approved/Planned</t>
        </is>
      </c>
      <c r="F4" t="inlineStr">
        <is>
          <t>Approved / Planned</t>
        </is>
      </c>
      <c r="G4" t="inlineStr">
        <is>
          <t>inferred (rule-derived stage from county layers)</t>
        </is>
      </c>
      <c r="H4" t="inlineStr">
        <is>
          <t>REZ1958-0021</t>
        </is>
      </c>
      <c r="I4" t="inlineStr">
        <is>
          <t>REZ1958-0021</t>
        </is>
      </c>
      <c r="J4" t="inlineStr"/>
      <c r="K4" t="inlineStr">
        <is>
          <t>1</t>
        </is>
      </c>
      <c r="L4" t="inlineStr">
        <is>
          <t>No: buildings on map</t>
        </is>
      </c>
      <c r="M4" t="inlineStr"/>
      <c r="N4" t="inlineStr">
        <is>
          <t>Stage rule: Rule 3: campus ProjectStatus Planned. Campus-layer status: Planned; pending-case: n/a; ePortal: n/a.</t>
        </is>
      </c>
      <c r="O4" t="inlineStr">
        <is>
          <t>https://gisweb.pwcva.gov/arcgis/rest/services/Planning/Build_Out_Analysis/MapServer/10/561?f=html</t>
        </is>
      </c>
    </row>
    <row r="5">
      <c r="B5" t="inlineStr">
        <is>
          <t>Prince William</t>
        </is>
      </c>
      <c r="C5" t="inlineStr">
        <is>
          <t>5451 Wellington Road West</t>
        </is>
      </c>
      <c r="D5" t="inlineStr">
        <is>
          <t>Approved / Planned</t>
        </is>
      </c>
      <c r="E5" t="inlineStr">
        <is>
          <t>Approved/Planned</t>
        </is>
      </c>
      <c r="F5" t="inlineStr">
        <is>
          <t>Approved / Planned</t>
        </is>
      </c>
      <c r="G5" t="inlineStr">
        <is>
          <t>inferred (rule-derived stage from county layers)</t>
        </is>
      </c>
      <c r="H5" t="inlineStr">
        <is>
          <t>REZ1958-0021</t>
        </is>
      </c>
      <c r="I5" t="inlineStr">
        <is>
          <t>REZ1958-0021</t>
        </is>
      </c>
      <c r="J5" t="inlineStr"/>
      <c r="K5" t="inlineStr">
        <is>
          <t>2</t>
        </is>
      </c>
      <c r="L5" t="inlineStr">
        <is>
          <t>No: buildings on map</t>
        </is>
      </c>
      <c r="M5" t="inlineStr"/>
      <c r="N5" t="inlineStr">
        <is>
          <t>Stage rule: Rule 3: campus ProjectStatus Planned. Campus-layer status: Planned; pending-case: n/a; ePortal: n/a.</t>
        </is>
      </c>
      <c r="O5" t="inlineStr">
        <is>
          <t>https://gisweb.pwcva.gov/arcgis/rest/services/Planning/Build_Out_Analysis/MapServer/10/85?f=html</t>
        </is>
      </c>
    </row>
    <row r="6">
      <c r="B6" t="inlineStr">
        <is>
          <t>Prince William</t>
        </is>
      </c>
      <c r="C6" t="inlineStr">
        <is>
          <t>Aligned Manassas</t>
        </is>
      </c>
      <c r="D6" t="inlineStr">
        <is>
          <t>Approved / Planned</t>
        </is>
      </c>
      <c r="E6" t="inlineStr">
        <is>
          <t>Approved/Planned</t>
        </is>
      </c>
      <c r="F6" t="inlineStr">
        <is>
          <t>Approved / Planned</t>
        </is>
      </c>
      <c r="G6" t="inlineStr">
        <is>
          <t>inferred (rule-derived stage from county layers)</t>
        </is>
      </c>
      <c r="H6" t="inlineStr">
        <is>
          <t>REZ2019-00022</t>
        </is>
      </c>
      <c r="I6" t="inlineStr">
        <is>
          <t>REZ2019-00022</t>
        </is>
      </c>
      <c r="J6" t="inlineStr"/>
      <c r="K6" t="inlineStr">
        <is>
          <t>3</t>
        </is>
      </c>
      <c r="L6" t="inlineStr">
        <is>
          <t>No: buildings on map</t>
        </is>
      </c>
      <c r="M6" t="inlineStr"/>
      <c r="N6" t="inlineStr">
        <is>
          <t>Stage rule: Rule 3: campus ProjectStatus Planned. Campus-layer status: Planned; pending-case: n/a; ePortal: Approved.</t>
        </is>
      </c>
      <c r="O6" t="inlineStr">
        <is>
          <t>https://gisweb.pwcva.gov/arcgis/rest/services/Planning/Build_Out_Analysis/MapServer/10/38?f=html</t>
        </is>
      </c>
    </row>
    <row r="7">
      <c r="B7" t="inlineStr">
        <is>
          <t>Prince William</t>
        </is>
      </c>
      <c r="C7" t="inlineStr">
        <is>
          <t>Amazon Bethlehem Technology Park</t>
        </is>
      </c>
      <c r="D7" t="inlineStr">
        <is>
          <t>Completed</t>
        </is>
      </c>
      <c r="E7" t="inlineStr">
        <is>
          <t>Existing/Completed</t>
        </is>
      </c>
      <c r="F7" t="inlineStr">
        <is>
          <t>Completed</t>
        </is>
      </c>
      <c r="G7" t="inlineStr">
        <is>
          <t>inferred (rule-derived stage from county layers)</t>
        </is>
      </c>
      <c r="H7" t="inlineStr">
        <is>
          <t>REZ2016-00024</t>
        </is>
      </c>
      <c r="I7" t="inlineStr">
        <is>
          <t>REZ2016-00024</t>
        </is>
      </c>
      <c r="J7" t="inlineStr"/>
      <c r="K7" t="inlineStr">
        <is>
          <t>4, 5, 6, 7</t>
        </is>
      </c>
      <c r="L7" t="inlineStr">
        <is>
          <t>No: buildings on map</t>
        </is>
      </c>
      <c r="M7" t="inlineStr"/>
      <c r="N7" t="inlineStr">
        <is>
          <t>Stage rule: Rule 2: campus ProjectStatus Completed. Campus-layer status: Completed; pending-case: n/a; ePortal: n/a.</t>
        </is>
      </c>
      <c r="O7" t="inlineStr">
        <is>
          <t>https://gisweb.pwcva.gov/arcgis/rest/services/Planning/Build_Out_Analysis/MapServer/10/14?f=html</t>
        </is>
      </c>
    </row>
    <row r="8">
      <c r="B8" t="inlineStr">
        <is>
          <t>Prince William</t>
        </is>
      </c>
      <c r="C8" t="inlineStr">
        <is>
          <t>Amazon Colchester Industrial Park</t>
        </is>
      </c>
      <c r="D8" t="inlineStr">
        <is>
          <t>Approved / Planned</t>
        </is>
      </c>
      <c r="E8" t="inlineStr">
        <is>
          <t>Approved/Planned</t>
        </is>
      </c>
      <c r="F8" t="inlineStr">
        <is>
          <t>Approved / Planned</t>
        </is>
      </c>
      <c r="G8" t="inlineStr">
        <is>
          <t>inferred (rule-derived stage from county layers)</t>
        </is>
      </c>
      <c r="H8" t="inlineStr">
        <is>
          <t>REZ2024-00006</t>
        </is>
      </c>
      <c r="I8" t="inlineStr">
        <is>
          <t>REZ2024-00006</t>
        </is>
      </c>
      <c r="J8" t="inlineStr"/>
      <c r="K8" t="inlineStr">
        <is>
          <t>8, 9</t>
        </is>
      </c>
      <c r="L8" t="inlineStr">
        <is>
          <t>No: buildings on map</t>
        </is>
      </c>
      <c r="M8" t="inlineStr"/>
      <c r="N8" t="inlineStr">
        <is>
          <t>Stage rule: Rule 3: campus ProjectStatus Planned. Campus-layer status: Planned; pending-case: n/a; ePortal: Approved.</t>
        </is>
      </c>
      <c r="O8" t="inlineStr">
        <is>
          <t>https://gisweb.pwcva.gov/arcgis/rest/services/Planning/Build_Out_Analysis/MapServer/10/32?f=html</t>
        </is>
      </c>
    </row>
    <row r="9">
      <c r="B9" t="inlineStr">
        <is>
          <t>Prince William</t>
        </is>
      </c>
      <c r="C9" t="inlineStr">
        <is>
          <t>Amazon Freedom Boulevard</t>
        </is>
      </c>
      <c r="D9" t="inlineStr">
        <is>
          <t>Completed</t>
        </is>
      </c>
      <c r="E9" t="inlineStr">
        <is>
          <t>Existing/Completed</t>
        </is>
      </c>
      <c r="F9" t="inlineStr">
        <is>
          <t>Completed</t>
        </is>
      </c>
      <c r="G9" t="inlineStr">
        <is>
          <t>inferred (rule-derived stage from county layers)</t>
        </is>
      </c>
      <c r="H9" t="inlineStr">
        <is>
          <t>REZ1989-0022</t>
        </is>
      </c>
      <c r="I9" t="inlineStr">
        <is>
          <t>REZ1989-0022</t>
        </is>
      </c>
      <c r="J9" t="inlineStr"/>
      <c r="K9" t="inlineStr">
        <is>
          <t>10, 11</t>
        </is>
      </c>
      <c r="L9" t="inlineStr">
        <is>
          <t>No: buildings on map</t>
        </is>
      </c>
      <c r="M9" t="inlineStr"/>
      <c r="N9" t="inlineStr">
        <is>
          <t>Stage rule: Rule 2: campus ProjectStatus Completed. Campus-layer status: Completed; pending-case: n/a; ePortal: n/a.</t>
        </is>
      </c>
      <c r="O9" t="inlineStr">
        <is>
          <t>https://gisweb.pwcva.gov/arcgis/rest/services/Planning/Build_Out_Analysis/MapServer/10/21?f=html</t>
        </is>
      </c>
    </row>
    <row r="10">
      <c r="B10" t="inlineStr">
        <is>
          <t>Prince William</t>
        </is>
      </c>
      <c r="C10" t="inlineStr">
        <is>
          <t>Amazon Innovation Drive</t>
        </is>
      </c>
      <c r="D10" t="inlineStr">
        <is>
          <t>Approved / Planned</t>
        </is>
      </c>
      <c r="E10" t="inlineStr">
        <is>
          <t>Approved/Planned</t>
        </is>
      </c>
      <c r="F10" t="inlineStr">
        <is>
          <t>Approved / Planned</t>
        </is>
      </c>
      <c r="G10" t="inlineStr">
        <is>
          <t>inferred (rule-derived stage from county layers)</t>
        </is>
      </c>
      <c r="H10" t="inlineStr">
        <is>
          <t>PLN2007-00749</t>
        </is>
      </c>
      <c r="I10" t="inlineStr">
        <is>
          <t>PLN2007-00749; PLN2007-0074</t>
        </is>
      </c>
      <c r="J10" t="inlineStr"/>
      <c r="K10" t="inlineStr">
        <is>
          <t>12, 13, 14, 15, 16</t>
        </is>
      </c>
      <c r="L10" t="inlineStr">
        <is>
          <t>No: buildings on map</t>
        </is>
      </c>
      <c r="M10" t="inlineStr">
        <is>
          <t>4 building(s) already Completed on this campus</t>
        </is>
      </c>
      <c r="N10" t="inlineStr">
        <is>
          <t>Stage rule: Rule 3: campus ProjectStatus Planned. Campus-layer status: Planned; pending-case: n/a; ePortal: n/a.</t>
        </is>
      </c>
      <c r="O10" t="inlineStr">
        <is>
          <t>https://gisweb.pwcva.gov/arcgis/rest/services/Planning/Build_Out_Analysis/MapServer/10/24?f=html</t>
        </is>
      </c>
    </row>
    <row r="11">
      <c r="B11" t="inlineStr">
        <is>
          <t>Prince William</t>
        </is>
      </c>
      <c r="C11" t="inlineStr">
        <is>
          <t>Amazon Mason King Court</t>
        </is>
      </c>
      <c r="D11" t="inlineStr">
        <is>
          <t>Completed</t>
        </is>
      </c>
      <c r="E11" t="inlineStr">
        <is>
          <t>Existing/Completed</t>
        </is>
      </c>
      <c r="F11" t="inlineStr">
        <is>
          <t>Completed</t>
        </is>
      </c>
      <c r="G11" t="inlineStr">
        <is>
          <t>inferred (rule-derived stage from county layers)</t>
        </is>
      </c>
      <c r="H11" t="inlineStr">
        <is>
          <t>REZ1969-0021</t>
        </is>
      </c>
      <c r="I11" t="inlineStr">
        <is>
          <t>REZ1969-0021</t>
        </is>
      </c>
      <c r="J11" t="inlineStr"/>
      <c r="K11" t="inlineStr">
        <is>
          <t>17, 18, 19</t>
        </is>
      </c>
      <c r="L11" t="inlineStr">
        <is>
          <t>No: buildings on map</t>
        </is>
      </c>
      <c r="M11" t="inlineStr"/>
      <c r="N11" t="inlineStr">
        <is>
          <t>Stage rule: Rule 2: campus ProjectStatus Completed. Campus-layer status: Completed; pending-case: n/a; ePortal: n/a.</t>
        </is>
      </c>
      <c r="O11" t="inlineStr">
        <is>
          <t>https://gisweb.pwcva.gov/arcgis/rest/services/Planning/Build_Out_Analysis/MapServer/10/39?f=html</t>
        </is>
      </c>
    </row>
    <row r="12">
      <c r="B12" t="inlineStr">
        <is>
          <t>Prince William</t>
        </is>
      </c>
      <c r="C12" t="inlineStr">
        <is>
          <t>Amazon Midwood Center</t>
        </is>
      </c>
      <c r="D12" t="inlineStr">
        <is>
          <t>Completed</t>
        </is>
      </c>
      <c r="E12" t="inlineStr">
        <is>
          <t>Existing/Completed</t>
        </is>
      </c>
      <c r="F12" t="inlineStr">
        <is>
          <t>Completed</t>
        </is>
      </c>
      <c r="G12" t="inlineStr">
        <is>
          <t>inferred (rule-derived stage from county layers)</t>
        </is>
      </c>
      <c r="H12" t="inlineStr">
        <is>
          <t>PLN2003-00108</t>
        </is>
      </c>
      <c r="I12" t="inlineStr">
        <is>
          <t>PLN2003-00108</t>
        </is>
      </c>
      <c r="J12" t="inlineStr"/>
      <c r="K12" t="inlineStr">
        <is>
          <t>20, 21, 22, 23, 24</t>
        </is>
      </c>
      <c r="L12" t="inlineStr">
        <is>
          <t>No: buildings on map</t>
        </is>
      </c>
      <c r="M12" t="inlineStr"/>
      <c r="N12" t="inlineStr">
        <is>
          <t>Stage rule: Rule 2: campus ProjectStatus Completed. Campus-layer status: Completed; pending-case: n/a; ePortal: n/a.</t>
        </is>
      </c>
      <c r="O12" t="inlineStr">
        <is>
          <t>https://gisweb.pwcva.gov/arcgis/rest/services/Planning/Build_Out_Analysis/MapServer/10/37?f=html</t>
        </is>
      </c>
    </row>
    <row r="13">
      <c r="B13" t="inlineStr">
        <is>
          <t>Prince William</t>
        </is>
      </c>
      <c r="C13" t="inlineStr">
        <is>
          <t>Amazon Parsons Business Park</t>
        </is>
      </c>
      <c r="D13" t="inlineStr">
        <is>
          <t>Approved / Planned</t>
        </is>
      </c>
      <c r="E13" t="inlineStr">
        <is>
          <t>Approved/Planned</t>
        </is>
      </c>
      <c r="F13" t="inlineStr">
        <is>
          <t>Approved / Planned</t>
        </is>
      </c>
      <c r="G13" t="inlineStr">
        <is>
          <t>inferred (rule-derived stage from county layers)</t>
        </is>
      </c>
      <c r="H13" t="inlineStr">
        <is>
          <t>REZ2023-00028</t>
        </is>
      </c>
      <c r="I13" t="inlineStr">
        <is>
          <t>REZ2023-00028</t>
        </is>
      </c>
      <c r="J13" t="inlineStr"/>
      <c r="K13" t="inlineStr">
        <is>
          <t>25, 26, 27, 28, 29, 30</t>
        </is>
      </c>
      <c r="L13" t="inlineStr">
        <is>
          <t>No: buildings on map</t>
        </is>
      </c>
      <c r="M13" t="inlineStr"/>
      <c r="N13" t="inlineStr">
        <is>
          <t>Stage rule: Rule 3: campus ProjectStatus Planned. Campus-layer status: Planned; pending-case: n/a; ePortal: Approved.</t>
        </is>
      </c>
      <c r="O13" t="inlineStr">
        <is>
          <t>https://gisweb.pwcva.gov/arcgis/rest/services/Planning/Build_Out_Analysis/MapServer/10/33?f=html</t>
        </is>
      </c>
    </row>
    <row r="14">
      <c r="B14" t="inlineStr">
        <is>
          <t>Prince William</t>
        </is>
      </c>
      <c r="C14" t="inlineStr">
        <is>
          <t>Amazon Tanner Way</t>
        </is>
      </c>
      <c r="D14" t="inlineStr">
        <is>
          <t>Completed</t>
        </is>
      </c>
      <c r="E14" t="inlineStr">
        <is>
          <t>Existing/Completed</t>
        </is>
      </c>
      <c r="F14" t="inlineStr">
        <is>
          <t>Completed</t>
        </is>
      </c>
      <c r="G14" t="inlineStr">
        <is>
          <t>inferred (rule-derived stage from county layers)</t>
        </is>
      </c>
      <c r="H14" t="inlineStr">
        <is>
          <t>REZ2018-00002</t>
        </is>
      </c>
      <c r="I14" t="inlineStr">
        <is>
          <t>REZ2018-00002</t>
        </is>
      </c>
      <c r="J14" t="inlineStr"/>
      <c r="K14" t="inlineStr">
        <is>
          <t>31, 32, 33, 34</t>
        </is>
      </c>
      <c r="L14" t="inlineStr">
        <is>
          <t>No: buildings on map</t>
        </is>
      </c>
      <c r="M14" t="inlineStr"/>
      <c r="N14" t="inlineStr">
        <is>
          <t>Stage rule: Rule 2: campus ProjectStatus Completed. Campus-layer status: Completed; pending-case: n/a; ePortal: Approved.</t>
        </is>
      </c>
      <c r="O14" t="inlineStr">
        <is>
          <t>https://gisweb.pwcva.gov/arcgis/rest/services/Planning/Build_Out_Analysis/MapServer/10/27?f=html</t>
        </is>
      </c>
    </row>
    <row r="15">
      <c r="B15" t="inlineStr">
        <is>
          <t>Prince William</t>
        </is>
      </c>
      <c r="C15" t="inlineStr">
        <is>
          <t>Amazon Thomasson Barn</t>
        </is>
      </c>
      <c r="D15" t="inlineStr">
        <is>
          <t>Completed</t>
        </is>
      </c>
      <c r="E15" t="inlineStr">
        <is>
          <t>Existing/Completed</t>
        </is>
      </c>
      <c r="F15" t="inlineStr">
        <is>
          <t>Completed</t>
        </is>
      </c>
      <c r="G15" t="inlineStr">
        <is>
          <t>inferred (rule-derived stage from county layers)</t>
        </is>
      </c>
      <c r="H15" t="inlineStr">
        <is>
          <t>PLN2007-00535</t>
        </is>
      </c>
      <c r="I15" t="inlineStr">
        <is>
          <t>PLN2007-00535</t>
        </is>
      </c>
      <c r="J15" t="inlineStr"/>
      <c r="K15" t="inlineStr">
        <is>
          <t>35, 36</t>
        </is>
      </c>
      <c r="L15" t="inlineStr">
        <is>
          <t>No: buildings on map</t>
        </is>
      </c>
      <c r="M15" t="inlineStr"/>
      <c r="N15" t="inlineStr">
        <is>
          <t>Stage rule: Rule 2: campus ProjectStatus Completed. Campus-layer status: Completed; pending-case: n/a; ePortal: n/a.</t>
        </is>
      </c>
      <c r="O15" t="inlineStr">
        <is>
          <t>https://gisweb.pwcva.gov/arcgis/rest/services/Planning/Build_Out_Analysis/MapServer/10/31?f=html</t>
        </is>
      </c>
    </row>
    <row r="16">
      <c r="B16" t="inlineStr">
        <is>
          <t>Prince William</t>
        </is>
      </c>
      <c r="C16" t="inlineStr">
        <is>
          <t>Amazon Village Place Technology Park</t>
        </is>
      </c>
      <c r="D16" t="inlineStr">
        <is>
          <t>Under Construction</t>
        </is>
      </c>
      <c r="E16" t="inlineStr">
        <is>
          <t>Under construction</t>
        </is>
      </c>
      <c r="F16" t="inlineStr">
        <is>
          <t>Under Construction</t>
        </is>
      </c>
      <c r="G16" t="inlineStr">
        <is>
          <t>inferred (rule-derived stage from county layers)</t>
        </is>
      </c>
      <c r="H16" t="inlineStr">
        <is>
          <t>REZ2020-00024</t>
        </is>
      </c>
      <c r="I16" t="inlineStr">
        <is>
          <t>REZ2020-00024; SUP2020-00037</t>
        </is>
      </c>
      <c r="J16" t="inlineStr"/>
      <c r="K16" t="inlineStr">
        <is>
          <t>37, 38, 39, 40</t>
        </is>
      </c>
      <c r="L16" t="inlineStr">
        <is>
          <t>No: buildings on map</t>
        </is>
      </c>
      <c r="M16" t="inlineStr"/>
      <c r="N16" t="inlineStr">
        <is>
          <t>Stage rule: Rule 1: &gt;=1 building 'Under Construction' in layer 9. Campus-layer status: Planned; pending-case: n/a; ePortal: Approved.</t>
        </is>
      </c>
      <c r="O16" t="inlineStr">
        <is>
          <t>https://gisweb.pwcva.gov/arcgis/rest/services/Planning/Build_Out_Analysis/MapServer/10/35?f=html</t>
        </is>
      </c>
    </row>
    <row r="17">
      <c r="B17" t="inlineStr">
        <is>
          <t>Prince William</t>
        </is>
      </c>
      <c r="C17" t="inlineStr">
        <is>
          <t>Amazon Wellington South</t>
        </is>
      </c>
      <c r="D17" t="inlineStr">
        <is>
          <t>Completed</t>
        </is>
      </c>
      <c r="E17" t="inlineStr">
        <is>
          <t>Existing/Completed</t>
        </is>
      </c>
      <c r="F17" t="inlineStr">
        <is>
          <t>Completed</t>
        </is>
      </c>
      <c r="G17" t="inlineStr">
        <is>
          <t>inferred (rule-derived stage from county layers)</t>
        </is>
      </c>
      <c r="H17" t="inlineStr">
        <is>
          <t>REZ1989-0069</t>
        </is>
      </c>
      <c r="I17" t="inlineStr">
        <is>
          <t>REZ1989-0069</t>
        </is>
      </c>
      <c r="J17" t="inlineStr"/>
      <c r="K17" t="inlineStr">
        <is>
          <t>41, 42</t>
        </is>
      </c>
      <c r="L17" t="inlineStr">
        <is>
          <t>No: buildings on map</t>
        </is>
      </c>
      <c r="M17" t="inlineStr"/>
      <c r="N17" t="inlineStr">
        <is>
          <t>Stage rule: Rule 2: campus ProjectStatus Completed. Campus-layer status: Completed; pending-case: n/a; ePortal: n/a.</t>
        </is>
      </c>
      <c r="O17" t="inlineStr">
        <is>
          <t>https://gisweb.pwcva.gov/arcgis/rest/services/Planning/Build_Out_Analysis/MapServer/10/12?f=html</t>
        </is>
      </c>
    </row>
    <row r="18">
      <c r="B18" t="inlineStr">
        <is>
          <t>Prince William</t>
        </is>
      </c>
      <c r="C18" t="inlineStr">
        <is>
          <t>Ashton Data Center</t>
        </is>
      </c>
      <c r="D18" t="inlineStr">
        <is>
          <t>Pending / Under Review</t>
        </is>
      </c>
      <c r="E18" t="inlineStr">
        <is>
          <t>Pending</t>
        </is>
      </c>
      <c r="F18" t="inlineStr">
        <is>
          <t>Pending / Under Review</t>
        </is>
      </c>
      <c r="G18" t="inlineStr">
        <is>
          <t>inferred (rule-derived stage from county layers)</t>
        </is>
      </c>
      <c r="H18" t="inlineStr">
        <is>
          <t>REZ2022-00031</t>
        </is>
      </c>
      <c r="I18" t="inlineStr">
        <is>
          <t>REZ2022-00031</t>
        </is>
      </c>
      <c r="J18" t="inlineStr"/>
      <c r="K18" t="inlineStr">
        <is>
          <t>43, 44</t>
        </is>
      </c>
      <c r="L18" t="inlineStr">
        <is>
          <t>No: buildings on map</t>
        </is>
      </c>
      <c r="M18" t="inlineStr"/>
      <c r="N18" t="inlineStr">
        <is>
          <t>Stage rule: Rule 4: campus ProjectStatus Pending + pending-case layer Pending. Campus-layer status: Pending; pending-case: Pending; ePortal: Pending.</t>
        </is>
      </c>
      <c r="O18" t="inlineStr">
        <is>
          <t>https://gisweb.pwcva.gov/arcgis/rest/services/Planning/Build_Out_Analysis/MapServer/10/17?f=html</t>
        </is>
      </c>
    </row>
    <row r="19">
      <c r="B19" t="inlineStr">
        <is>
          <t>Prince William</t>
        </is>
      </c>
      <c r="C19" t="inlineStr">
        <is>
          <t>Astrid</t>
        </is>
      </c>
      <c r="D19" t="inlineStr">
        <is>
          <t>Approved / Planned</t>
        </is>
      </c>
      <c r="E19" t="inlineStr">
        <is>
          <t>Approved/Planned</t>
        </is>
      </c>
      <c r="F19" t="inlineStr">
        <is>
          <t>Approved / Planned</t>
        </is>
      </c>
      <c r="G19" t="inlineStr">
        <is>
          <t>inferred (rule-derived stage from county layers)</t>
        </is>
      </c>
      <c r="H19" t="inlineStr">
        <is>
          <t>REZ1958-0021</t>
        </is>
      </c>
      <c r="I19" t="inlineStr">
        <is>
          <t>REZ1958-0021</t>
        </is>
      </c>
      <c r="J19" t="inlineStr"/>
      <c r="K19" t="inlineStr">
        <is>
          <t>45, 46</t>
        </is>
      </c>
      <c r="L19" t="inlineStr">
        <is>
          <t>No: buildings on map</t>
        </is>
      </c>
      <c r="M19" t="inlineStr"/>
      <c r="N19" t="inlineStr">
        <is>
          <t>Stage rule: Rule 3: campus ProjectStatus Planned. Campus-layer status: Planned; pending-case: n/a; ePortal: n/a.</t>
        </is>
      </c>
      <c r="O19" t="inlineStr">
        <is>
          <t>https://gisweb.pwcva.gov/arcgis/rest/services/Planning/Build_Out_Analysis/MapServer/10/127?f=html</t>
        </is>
      </c>
    </row>
    <row r="20">
      <c r="B20" t="inlineStr">
        <is>
          <t>Prince William</t>
        </is>
      </c>
      <c r="C20" t="inlineStr">
        <is>
          <t>Atlantic Funding</t>
        </is>
      </c>
      <c r="D20" t="inlineStr">
        <is>
          <t>Pending / Under Review</t>
        </is>
      </c>
      <c r="E20" t="inlineStr">
        <is>
          <t>Pending</t>
        </is>
      </c>
      <c r="F20" t="inlineStr">
        <is>
          <t>Pending / Under Review</t>
        </is>
      </c>
      <c r="G20" t="inlineStr">
        <is>
          <t>inferred (rule-derived stage from county layers)</t>
        </is>
      </c>
      <c r="H20" t="inlineStr">
        <is>
          <t>REZ2026-00041</t>
        </is>
      </c>
      <c r="I20" t="inlineStr">
        <is>
          <t>REZ2026-00041; SUP2026-00033</t>
        </is>
      </c>
      <c r="J20" t="inlineStr"/>
      <c r="K20" t="inlineStr">
        <is>
          <t>47, 48, 49</t>
        </is>
      </c>
      <c r="L20" t="inlineStr">
        <is>
          <t>No: buildings on map</t>
        </is>
      </c>
      <c r="M20" t="inlineStr"/>
      <c r="N20" t="inlineStr">
        <is>
          <t>Stage rule: Rule 4: campus ProjectStatus Pending + pending-case layer Pending. Campus-layer status: Pending; pending-case: Pending; ePortal: Pending.</t>
        </is>
      </c>
      <c r="O20" t="inlineStr">
        <is>
          <t>https://gisweb.pwcva.gov/arcgis/rest/services/Planning/Build_Out_Analysis/MapServer/10/128?f=html</t>
        </is>
      </c>
    </row>
    <row r="21">
      <c r="B21" t="inlineStr">
        <is>
          <t>Prince William</t>
        </is>
      </c>
      <c r="C21" t="inlineStr">
        <is>
          <t>Bristow Campus</t>
        </is>
      </c>
      <c r="D21" t="inlineStr">
        <is>
          <t>Void / Withdrawn / Denied</t>
        </is>
      </c>
      <c r="E21" t="inlineStr">
        <is>
          <t>Denied/Void</t>
        </is>
      </c>
      <c r="F21" t="inlineStr">
        <is>
          <t>Void / Withdrawn / Denied</t>
        </is>
      </c>
      <c r="G21" t="inlineStr">
        <is>
          <t>inferred (rule-derived stage from county layers)</t>
        </is>
      </c>
      <c r="H21" t="inlineStr">
        <is>
          <t>REZ2022-00030</t>
        </is>
      </c>
      <c r="I21" t="inlineStr">
        <is>
          <t>REZ2022-00030; SUP2022-00034</t>
        </is>
      </c>
      <c r="J21" t="inlineStr"/>
      <c r="K21" t="inlineStr"/>
      <c r="L21" t="inlineStr">
        <is>
          <t>No: no geometry</t>
        </is>
      </c>
      <c r="M21" t="inlineStr">
        <is>
          <t>Not in campus layer; acreage/GFA/district not in ePortal search fields (blank)</t>
        </is>
      </c>
      <c r="N21" t="inlineStr">
        <is>
          <t>Stage rule: All ePortal legislative cases terminal: Denied. Campus-layer status: n/a; pending-case: n/a; ePortal: REZ2022-00030: Denied; SUP2022-00034: Denied.</t>
        </is>
      </c>
      <c r="O21" t="inlineStr">
        <is>
          <t>https://egcss.pwcgov.org/SelfService#/home</t>
        </is>
      </c>
    </row>
    <row r="22">
      <c r="B22" t="inlineStr">
        <is>
          <t>Prince William</t>
        </is>
      </c>
      <c r="C22" t="inlineStr">
        <is>
          <t>Century Park</t>
        </is>
      </c>
      <c r="D22" t="inlineStr">
        <is>
          <t>Approved / Planned</t>
        </is>
      </c>
      <c r="E22" t="inlineStr">
        <is>
          <t>Approved/Planned</t>
        </is>
      </c>
      <c r="F22" t="inlineStr">
        <is>
          <t>Approved / Planned</t>
        </is>
      </c>
      <c r="G22" t="inlineStr">
        <is>
          <t>inferred (rule-derived stage from county layers)</t>
        </is>
      </c>
      <c r="H22" t="inlineStr">
        <is>
          <t>REZ1969-0021</t>
        </is>
      </c>
      <c r="I22" t="inlineStr">
        <is>
          <t>REZ1969-0021</t>
        </is>
      </c>
      <c r="J22" t="inlineStr"/>
      <c r="K22" t="inlineStr">
        <is>
          <t>50</t>
        </is>
      </c>
      <c r="L22" t="inlineStr">
        <is>
          <t>No: buildings on map</t>
        </is>
      </c>
      <c r="M22" t="inlineStr"/>
      <c r="N22" t="inlineStr">
        <is>
          <t>Stage rule: Rule 3: campus ProjectStatus Planned. Campus-layer status: Planned; pending-case: n/a; ePortal: n/a.</t>
        </is>
      </c>
      <c r="O22" t="inlineStr">
        <is>
          <t>https://gisweb.pwcva.gov/arcgis/rest/services/Planning/Build_Out_Analysis/MapServer/10/563?f=html</t>
        </is>
      </c>
    </row>
    <row r="23">
      <c r="B23" t="inlineStr">
        <is>
          <t>Prince William</t>
        </is>
      </c>
      <c r="C23" t="inlineStr">
        <is>
          <t>Century Park Phase 2 &amp; 3</t>
        </is>
      </c>
      <c r="D23" t="inlineStr">
        <is>
          <t>Approved / Planned</t>
        </is>
      </c>
      <c r="E23" t="inlineStr">
        <is>
          <t>Approved/Planned</t>
        </is>
      </c>
      <c r="F23" t="inlineStr">
        <is>
          <t>Approved / Planned</t>
        </is>
      </c>
      <c r="G23" t="inlineStr">
        <is>
          <t>inferred (rule-derived stage from county layers)</t>
        </is>
      </c>
      <c r="H23" t="inlineStr">
        <is>
          <t>REZ1969-0021</t>
        </is>
      </c>
      <c r="I23" t="inlineStr">
        <is>
          <t>REZ1969-0021</t>
        </is>
      </c>
      <c r="J23" t="inlineStr"/>
      <c r="K23" t="inlineStr">
        <is>
          <t>51, 52</t>
        </is>
      </c>
      <c r="L23" t="inlineStr">
        <is>
          <t>No: buildings on map</t>
        </is>
      </c>
      <c r="M23" t="inlineStr"/>
      <c r="N23" t="inlineStr">
        <is>
          <t>Stage rule: Rule 3: campus ProjectStatus Planned. Campus-layer status: Planned; pending-case: n/a; ePortal: n/a.</t>
        </is>
      </c>
      <c r="O23" t="inlineStr">
        <is>
          <t>https://gisweb.pwcva.gov/arcgis/rest/services/Planning/Build_Out_Analysis/MapServer/10/130?f=html</t>
        </is>
      </c>
    </row>
    <row r="24">
      <c r="B24" t="inlineStr">
        <is>
          <t>Prince William</t>
        </is>
      </c>
      <c r="C24" t="inlineStr">
        <is>
          <t>CloudHQ Manassas Corporate Center (MCC)</t>
        </is>
      </c>
      <c r="D24" t="inlineStr">
        <is>
          <t>Under Construction</t>
        </is>
      </c>
      <c r="E24" t="inlineStr">
        <is>
          <t>Under construction</t>
        </is>
      </c>
      <c r="F24" t="inlineStr">
        <is>
          <t>Under Construction</t>
        </is>
      </c>
      <c r="G24" t="inlineStr">
        <is>
          <t>inferred (rule-derived stage from county layers)</t>
        </is>
      </c>
      <c r="H24" t="inlineStr">
        <is>
          <t>PLN2011-00437</t>
        </is>
      </c>
      <c r="I24" t="inlineStr">
        <is>
          <t>PLN2011-00437; REZ2024-00025</t>
        </is>
      </c>
      <c r="J24" t="inlineStr"/>
      <c r="K24" t="inlineStr">
        <is>
          <t>53, 54, 55, 56, 57, 58, 59, 60, 61</t>
        </is>
      </c>
      <c r="L24" t="inlineStr">
        <is>
          <t>No: buildings on map</t>
        </is>
      </c>
      <c r="M24" t="inlineStr"/>
      <c r="N24" t="inlineStr">
        <is>
          <t>Stage rule: Rule 1: &gt;=1 building 'Under Construction' in layer 9. Campus-layer status: Planned; pending-case: n/a; ePortal: Amended.</t>
        </is>
      </c>
      <c r="O24" t="inlineStr">
        <is>
          <t>https://gisweb.pwcva.gov/arcgis/rest/services/Planning/Build_Out_Analysis/MapServer/10/30?f=html</t>
        </is>
      </c>
    </row>
    <row r="25">
      <c r="B25" t="inlineStr">
        <is>
          <t>Prince William</t>
        </is>
      </c>
      <c r="C25" t="inlineStr">
        <is>
          <t>CloudHQ Manassas Corporate Center (MCC)</t>
        </is>
      </c>
      <c r="D25" t="inlineStr">
        <is>
          <t>Pending / Under Review</t>
        </is>
      </c>
      <c r="E25" t="inlineStr">
        <is>
          <t>Pending</t>
        </is>
      </c>
      <c r="F25" t="inlineStr">
        <is>
          <t>Pending / Under Review</t>
        </is>
      </c>
      <c r="G25" t="inlineStr">
        <is>
          <t>inferred (rule-derived stage from county layers)</t>
        </is>
      </c>
      <c r="H25" t="inlineStr">
        <is>
          <t>REZ2026-00032</t>
        </is>
      </c>
      <c r="I25" t="inlineStr">
        <is>
          <t>REZ2026-00032</t>
        </is>
      </c>
      <c r="J25" t="inlineStr"/>
      <c r="K25" t="inlineStr">
        <is>
          <t>62</t>
        </is>
      </c>
      <c r="L25" t="inlineStr">
        <is>
          <t>No: buildings on map</t>
        </is>
      </c>
      <c r="M25" t="inlineStr"/>
      <c r="N25" t="inlineStr">
        <is>
          <t>Stage rule: Rule 4: campus ProjectStatus Pending + pending-case layer Pending. Campus-layer status: Pending; pending-case: Pending; ePortal: Pending.</t>
        </is>
      </c>
      <c r="O25" t="inlineStr">
        <is>
          <t>https://gisweb.pwcva.gov/arcgis/rest/services/Planning/Build_Out_Analysis/MapServer/10/50?f=html</t>
        </is>
      </c>
    </row>
    <row r="26">
      <c r="B26" t="inlineStr">
        <is>
          <t>Prince William</t>
        </is>
      </c>
      <c r="C26" t="inlineStr">
        <is>
          <t>CloudHQ Manassas Data Center (MDC)</t>
        </is>
      </c>
      <c r="D26" t="inlineStr">
        <is>
          <t>Under Construction</t>
        </is>
      </c>
      <c r="E26" t="inlineStr">
        <is>
          <t>Under construction</t>
        </is>
      </c>
      <c r="F26" t="inlineStr">
        <is>
          <t>Under Construction</t>
        </is>
      </c>
      <c r="G26" t="inlineStr">
        <is>
          <t>inferred (rule-derived stage from county layers)</t>
        </is>
      </c>
      <c r="H26" t="inlineStr">
        <is>
          <t>REZ2018-00001</t>
        </is>
      </c>
      <c r="I26" t="inlineStr">
        <is>
          <t>REZ2018-00001; REZ2023-00025</t>
        </is>
      </c>
      <c r="J26" t="inlineStr"/>
      <c r="K26" t="inlineStr">
        <is>
          <t>63, 64, 65</t>
        </is>
      </c>
      <c r="L26" t="inlineStr">
        <is>
          <t>No: buildings on map</t>
        </is>
      </c>
      <c r="M26" t="inlineStr"/>
      <c r="N26" t="inlineStr">
        <is>
          <t>Stage rule: Rule 1: &gt;=1 building 'Under Construction' in layer 9. Campus-layer status: Planned; pending-case: n/a; ePortal: Approved.</t>
        </is>
      </c>
      <c r="O26" t="inlineStr">
        <is>
          <t>https://gisweb.pwcva.gov/arcgis/rest/services/Planning/Build_Out_Analysis/MapServer/10/29?f=html</t>
        </is>
      </c>
    </row>
    <row r="27">
      <c r="B27" t="inlineStr">
        <is>
          <t>Prince William</t>
        </is>
      </c>
      <c r="C27" t="inlineStr">
        <is>
          <t>CloudHQ Manassas Hornbaker</t>
        </is>
      </c>
      <c r="D27" t="inlineStr">
        <is>
          <t>Completed</t>
        </is>
      </c>
      <c r="E27" t="inlineStr">
        <is>
          <t>Existing/Completed</t>
        </is>
      </c>
      <c r="F27" t="inlineStr">
        <is>
          <t>Completed</t>
        </is>
      </c>
      <c r="G27" t="inlineStr">
        <is>
          <t>inferred (rule-derived stage from county layers)</t>
        </is>
      </c>
      <c r="H27" t="inlineStr">
        <is>
          <t>PLN2007-00535</t>
        </is>
      </c>
      <c r="I27" t="inlineStr">
        <is>
          <t>PLN2007-00535</t>
        </is>
      </c>
      <c r="J27" t="inlineStr"/>
      <c r="K27" t="inlineStr">
        <is>
          <t>66</t>
        </is>
      </c>
      <c r="L27" t="inlineStr">
        <is>
          <t>No: buildings on map</t>
        </is>
      </c>
      <c r="M27" t="inlineStr"/>
      <c r="N27" t="inlineStr">
        <is>
          <t>Stage rule: Rule 2: campus ProjectStatus Completed. Campus-layer status: Completed; pending-case: n/a; ePortal: n/a.</t>
        </is>
      </c>
      <c r="O27" t="inlineStr">
        <is>
          <t>https://gisweb.pwcva.gov/arcgis/rest/services/Planning/Build_Out_Analysis/MapServer/10/26?f=html</t>
        </is>
      </c>
    </row>
    <row r="28">
      <c r="B28" t="inlineStr">
        <is>
          <t>Prince William</t>
        </is>
      </c>
      <c r="C28" t="inlineStr">
        <is>
          <t>Compass Data Centers</t>
        </is>
      </c>
      <c r="D28" t="inlineStr">
        <is>
          <t>Void / Withdrawn / Denied</t>
        </is>
      </c>
      <c r="E28" t="inlineStr">
        <is>
          <t>Denied/Void</t>
        </is>
      </c>
      <c r="F28" t="inlineStr">
        <is>
          <t>Void / Withdrawn / Denied</t>
        </is>
      </c>
      <c r="G28" t="inlineStr">
        <is>
          <t>inferred (rule-derived stage from county layers)</t>
        </is>
      </c>
      <c r="H28" t="inlineStr">
        <is>
          <t>REZ2022-00036</t>
        </is>
      </c>
      <c r="I28" t="inlineStr">
        <is>
          <t>REZ2022-00036</t>
        </is>
      </c>
      <c r="J28" t="inlineStr"/>
      <c r="K28" t="inlineStr">
        <is>
          <t>67, 68, 69, 70, 71, 72, 73, 74, 75, 76, 77, 78, 79, 80, 81, 82, 83</t>
        </is>
      </c>
      <c r="L28" t="inlineStr">
        <is>
          <t>No: buildings on map</t>
        </is>
      </c>
      <c r="M28" t="inlineStr">
        <is>
          <t>County note: the county states these rezonings (Digital Gateway North/South, Compass) were voided by the Court of Appeals on 7/29/2026. Status label here is currently "Denied" and is under review.</t>
        </is>
      </c>
      <c r="N28" t="inlineStr">
        <is>
          <t>Stage rule: Override: Digital Gateway/Compass REZ voided (plan §5.4; user instruction); county pending-case layer still shows Suspended (On-Hold); building status shown as Denied (user: Digital Gateway denied); original county label kept in Buildings.county_layer_status. Campus-layer status: Pending; pending-case: Suspended (On-Hold); ePortal: n/a.</t>
        </is>
      </c>
      <c r="O28" t="inlineStr">
        <is>
          <t>https://gisweb.pwcva.gov/arcgis/rest/services/Planning/Build_Out_Analysis/MapServer/10/172?f=html</t>
        </is>
      </c>
    </row>
    <row r="29">
      <c r="B29" t="inlineStr">
        <is>
          <t>Prince William</t>
        </is>
      </c>
      <c r="C29" t="inlineStr">
        <is>
          <t>Compton Property</t>
        </is>
      </c>
      <c r="D29" t="inlineStr">
        <is>
          <t>Void / Withdrawn / Denied</t>
        </is>
      </c>
      <c r="E29" t="inlineStr">
        <is>
          <t>Denied/Void</t>
        </is>
      </c>
      <c r="F29" t="inlineStr">
        <is>
          <t>Void / Withdrawn / Denied</t>
        </is>
      </c>
      <c r="G29" t="inlineStr">
        <is>
          <t>inferred (rule-derived stage from county layers)</t>
        </is>
      </c>
      <c r="H29" t="inlineStr">
        <is>
          <t>CPA2021-00005</t>
        </is>
      </c>
      <c r="I29" t="inlineStr">
        <is>
          <t>CPA2021-00005; REZ2021-00019; SUP2021-00030</t>
        </is>
      </c>
      <c r="J29" t="inlineStr"/>
      <c r="K29" t="inlineStr"/>
      <c r="L29" t="inlineStr">
        <is>
          <t>No: no geometry</t>
        </is>
      </c>
      <c r="M29" t="inlineStr">
        <is>
          <t>Not in campus layer; acreage/GFA/district not in ePortal search fields (blank)</t>
        </is>
      </c>
      <c r="N29" t="inlineStr">
        <is>
          <t>Stage rule: All ePortal legislative cases terminal: Dismissed. Campus-layer status: n/a; pending-case: n/a; ePortal: CPA2021-00005: Dismissed; REZ2021-00019: Dismissed; SUP2021-00030: Dismissed.</t>
        </is>
      </c>
      <c r="O29" t="inlineStr">
        <is>
          <t>https://egcss.pwcgov.org/SelfService#/home</t>
        </is>
      </c>
    </row>
    <row r="30">
      <c r="B30" t="inlineStr">
        <is>
          <t>Prince William</t>
        </is>
      </c>
      <c r="C30" t="inlineStr">
        <is>
          <t>CorScale Gainesville Crossing</t>
        </is>
      </c>
      <c r="D30" t="inlineStr">
        <is>
          <t>Approved / Planned</t>
        </is>
      </c>
      <c r="E30" t="inlineStr">
        <is>
          <t>Approved/Planned</t>
        </is>
      </c>
      <c r="F30" t="inlineStr">
        <is>
          <t>Approved / Planned</t>
        </is>
      </c>
      <c r="G30" t="inlineStr">
        <is>
          <t>inferred (rule-derived stage from county layers)</t>
        </is>
      </c>
      <c r="H30" t="inlineStr">
        <is>
          <t>REZ2018-00008</t>
        </is>
      </c>
      <c r="I30" t="inlineStr">
        <is>
          <t>REZ2018-00008; SUP2019-00029</t>
        </is>
      </c>
      <c r="J30" t="inlineStr"/>
      <c r="K30" t="inlineStr">
        <is>
          <t>84, 85, 86, 87, 88</t>
        </is>
      </c>
      <c r="L30" t="inlineStr">
        <is>
          <t>No: buildings on map</t>
        </is>
      </c>
      <c r="M30" t="inlineStr">
        <is>
          <t>3 building(s) already Completed on this campus</t>
        </is>
      </c>
      <c r="N30" t="inlineStr">
        <is>
          <t>Stage rule: Rule 3: campus ProjectStatus Planned. Campus-layer status: Planned; pending-case: n/a; ePortal: Approved.</t>
        </is>
      </c>
      <c r="O30" t="inlineStr">
        <is>
          <t>https://gisweb.pwcva.gov/arcgis/rest/services/Planning/Build_Out_Analysis/MapServer/10/4?f=html</t>
        </is>
      </c>
    </row>
    <row r="31">
      <c r="B31" t="inlineStr">
        <is>
          <t>Prince William</t>
        </is>
      </c>
      <c r="C31" t="inlineStr">
        <is>
          <t>DOANE DRIVE - DULLES GLASS</t>
        </is>
      </c>
      <c r="D31" t="inlineStr">
        <is>
          <t>Approved / Planned</t>
        </is>
      </c>
      <c r="E31" t="inlineStr">
        <is>
          <t>Approved/Planned</t>
        </is>
      </c>
      <c r="F31" t="inlineStr">
        <is>
          <t>Approved / Planned</t>
        </is>
      </c>
      <c r="G31" t="inlineStr">
        <is>
          <t>inferred (rule-derived stage from county layers)</t>
        </is>
      </c>
      <c r="H31" t="inlineStr">
        <is>
          <t>REZ1969-0021</t>
        </is>
      </c>
      <c r="I31" t="inlineStr">
        <is>
          <t>REZ1969-0021</t>
        </is>
      </c>
      <c r="J31" t="inlineStr"/>
      <c r="K31" t="inlineStr">
        <is>
          <t>89</t>
        </is>
      </c>
      <c r="L31" t="inlineStr">
        <is>
          <t>No: buildings on map</t>
        </is>
      </c>
      <c r="M31" t="inlineStr"/>
      <c r="N31" t="inlineStr">
        <is>
          <t>Stage rule: Rule 3: campus ProjectStatus Planned. Campus-layer status: Planned; pending-case: n/a; ePortal: n/a.</t>
        </is>
      </c>
      <c r="O31" t="inlineStr">
        <is>
          <t>https://gisweb.pwcva.gov/arcgis/rest/services/Planning/Build_Out_Analysis/MapServer/10/553?f=html</t>
        </is>
      </c>
    </row>
    <row r="32">
      <c r="B32" t="inlineStr">
        <is>
          <t>Prince William</t>
        </is>
      </c>
      <c r="C32" t="inlineStr">
        <is>
          <t>Devlin Technology Park</t>
        </is>
      </c>
      <c r="D32" t="inlineStr">
        <is>
          <t>Approved / Planned</t>
        </is>
      </c>
      <c r="E32" t="inlineStr">
        <is>
          <t>Approved/Planned</t>
        </is>
      </c>
      <c r="F32" t="inlineStr">
        <is>
          <t>Approved / Planned</t>
        </is>
      </c>
      <c r="G32" t="inlineStr">
        <is>
          <t>inferred (rule-derived stage from county layers)</t>
        </is>
      </c>
      <c r="H32" t="inlineStr">
        <is>
          <t>REZ2022-00022</t>
        </is>
      </c>
      <c r="I32" t="inlineStr">
        <is>
          <t>REZ2022-00022; CPA2022-00015</t>
        </is>
      </c>
      <c r="J32" t="inlineStr"/>
      <c r="K32" t="inlineStr">
        <is>
          <t>90, 91, 92, 93, 94, 95, 96, 97</t>
        </is>
      </c>
      <c r="L32" t="inlineStr">
        <is>
          <t>No: buildings on map</t>
        </is>
      </c>
      <c r="M32" t="inlineStr"/>
      <c r="N32" t="inlineStr">
        <is>
          <t>Stage rule: Rule 3: campus ProjectStatus Planned. Campus-layer status: Planned; pending-case: n/a; ePortal: Approved.</t>
        </is>
      </c>
      <c r="O32" t="inlineStr">
        <is>
          <t>https://gisweb.pwcva.gov/arcgis/rest/services/Planning/Build_Out_Analysis/MapServer/10/7?f=html</t>
        </is>
      </c>
    </row>
    <row r="33">
      <c r="B33" t="inlineStr">
        <is>
          <t>Prince William</t>
        </is>
      </c>
      <c r="C33" t="inlineStr">
        <is>
          <t>Digital Gateway North</t>
        </is>
      </c>
      <c r="D33" t="inlineStr">
        <is>
          <t>Denied</t>
        </is>
      </c>
      <c r="E33" t="inlineStr">
        <is>
          <t>Denied/Void</t>
        </is>
      </c>
      <c r="F33" t="inlineStr">
        <is>
          <t>Denied</t>
        </is>
      </c>
      <c r="G33" t="inlineStr">
        <is>
          <t>inferred (rule-derived stage from county layers)</t>
        </is>
      </c>
      <c r="H33" t="inlineStr">
        <is>
          <t>REZ2022-00032</t>
        </is>
      </c>
      <c r="I33" t="inlineStr">
        <is>
          <t>REZ2022-00032</t>
        </is>
      </c>
      <c r="J33" t="inlineStr"/>
      <c r="K33" t="inlineStr">
        <is>
          <t>98, 99, 100, 101, 102, 103, 104, 105, 106, 107, 108, 109</t>
        </is>
      </c>
      <c r="L33" t="inlineStr">
        <is>
          <t>No: buildings on map</t>
        </is>
      </c>
      <c r="M33" t="inlineStr">
        <is>
          <t>County note: the county states these rezonings (Digital Gateway North/South, Compass) were voided by the Court of Appeals on 7/29/2026. Status label here is currently "Denied" and is under review.</t>
        </is>
      </c>
      <c r="N33" t="inlineStr">
        <is>
          <t>Stage rule: Override: Digital Gateway/Compass REZ voided (plan §5.4; user instruction); county pending-case layer still shows Suspended (On-Hold); building status shown as Denied (user: Digital Gateway denied); original county label kept in Buildings.county_layer_status. Campus-layer status: Pending; pending-case: Suspended (On-Hold); ePortal: n/a.</t>
        </is>
      </c>
      <c r="O33" t="inlineStr">
        <is>
          <t>https://gisweb.pwcva.gov/arcgis/rest/services/Planning/Build_Out_Analysis/MapServer/10/138?f=html</t>
        </is>
      </c>
    </row>
    <row r="34">
      <c r="B34" t="inlineStr">
        <is>
          <t>Prince William</t>
        </is>
      </c>
      <c r="C34" t="inlineStr">
        <is>
          <t>Digital Gateway South</t>
        </is>
      </c>
      <c r="D34" t="inlineStr">
        <is>
          <t>Denied</t>
        </is>
      </c>
      <c r="E34" t="inlineStr">
        <is>
          <t>Denied/Void</t>
        </is>
      </c>
      <c r="F34" t="inlineStr">
        <is>
          <t>Denied</t>
        </is>
      </c>
      <c r="G34" t="inlineStr">
        <is>
          <t>inferred (rule-derived stage from county layers)</t>
        </is>
      </c>
      <c r="H34" t="inlineStr">
        <is>
          <t>REZ2022-00033</t>
        </is>
      </c>
      <c r="I34" t="inlineStr">
        <is>
          <t>REZ2022-00033</t>
        </is>
      </c>
      <c r="J34" t="inlineStr"/>
      <c r="K34" t="inlineStr">
        <is>
          <t>110, 111, 112, 113, 114, 115, 116, 117</t>
        </is>
      </c>
      <c r="L34" t="inlineStr">
        <is>
          <t>No: buildings on map</t>
        </is>
      </c>
      <c r="M34" t="inlineStr">
        <is>
          <t>County note: the county states these rezonings (Digital Gateway North/South, Compass) were voided by the Court of Appeals on 7/29/2026. Status label here is currently "Denied" and is under review.</t>
        </is>
      </c>
      <c r="N34" t="inlineStr">
        <is>
          <t>Stage rule: Override: Digital Gateway/Compass REZ voided (plan §5.4; user instruction); county pending-case layer still shows Suspended (On-Hold); building status shown as Denied (user: Digital Gateway denied); original county label kept in Buildings.county_layer_status. Campus-layer status: Pending; pending-case: Suspended (On-Hold); ePortal: n/a.</t>
        </is>
      </c>
      <c r="O34" t="inlineStr">
        <is>
          <t>https://gisweb.pwcva.gov/arcgis/rest/services/Planning/Build_Out_Analysis/MapServer/10/156?f=html</t>
        </is>
      </c>
    </row>
    <row r="35">
      <c r="B35" t="inlineStr">
        <is>
          <t>Prince William</t>
        </is>
      </c>
      <c r="C35" t="inlineStr">
        <is>
          <t>Digital Realty</t>
        </is>
      </c>
      <c r="D35" t="inlineStr">
        <is>
          <t>Under Construction</t>
        </is>
      </c>
      <c r="E35" t="inlineStr">
        <is>
          <t>Under construction</t>
        </is>
      </c>
      <c r="F35" t="inlineStr">
        <is>
          <t>Under Construction</t>
        </is>
      </c>
      <c r="G35" t="inlineStr">
        <is>
          <t>inferred (rule-derived stage from county layers)</t>
        </is>
      </c>
      <c r="H35" t="inlineStr">
        <is>
          <t>REZ2018-00002</t>
        </is>
      </c>
      <c r="I35" t="inlineStr">
        <is>
          <t>REZ2018-00002</t>
        </is>
      </c>
      <c r="J35" t="inlineStr"/>
      <c r="K35" t="inlineStr">
        <is>
          <t>118, 119</t>
        </is>
      </c>
      <c r="L35" t="inlineStr">
        <is>
          <t>No: buildings on map</t>
        </is>
      </c>
      <c r="M35" t="inlineStr"/>
      <c r="N35" t="inlineStr">
        <is>
          <t>Stage rule: Rule 1: &gt;=1 building 'Under Construction' in layer 9. Campus-layer status: Planned; pending-case: n/a; ePortal: Approved.</t>
        </is>
      </c>
      <c r="O35" t="inlineStr">
        <is>
          <t>https://gisweb.pwcva.gov/arcgis/rest/services/Planning/Build_Out_Analysis/MapServer/10/28?f=html</t>
        </is>
      </c>
    </row>
    <row r="36">
      <c r="B36" t="inlineStr">
        <is>
          <t>Prince William</t>
        </is>
      </c>
      <c r="C36" t="inlineStr">
        <is>
          <t>Digital Realty</t>
        </is>
      </c>
      <c r="D36" t="inlineStr">
        <is>
          <t>Approved / Planned</t>
        </is>
      </c>
      <c r="E36" t="inlineStr">
        <is>
          <t>Approved/Planned</t>
        </is>
      </c>
      <c r="F36" t="inlineStr">
        <is>
          <t>Approved / Planned</t>
        </is>
      </c>
      <c r="G36" t="inlineStr">
        <is>
          <t>inferred (rule-derived stage from county layers)</t>
        </is>
      </c>
      <c r="H36" t="inlineStr">
        <is>
          <t>REZ1958-0021</t>
        </is>
      </c>
      <c r="I36" t="inlineStr">
        <is>
          <t>REZ1958-0021</t>
        </is>
      </c>
      <c r="J36" t="inlineStr"/>
      <c r="K36" t="inlineStr">
        <is>
          <t>120, 121</t>
        </is>
      </c>
      <c r="L36" t="inlineStr">
        <is>
          <t>No: buildings on map</t>
        </is>
      </c>
      <c r="M36" t="inlineStr">
        <is>
          <t>1 building(s) already Completed on this campus</t>
        </is>
      </c>
      <c r="N36" t="inlineStr">
        <is>
          <t>Stage rule: Rule 3: campus ProjectStatus Planned. Campus-layer status: Planned; pending-case: n/a; ePortal: n/a.</t>
        </is>
      </c>
      <c r="O36" t="inlineStr">
        <is>
          <t>https://gisweb.pwcva.gov/arcgis/rest/services/Planning/Build_Out_Analysis/MapServer/10/54?f=html</t>
        </is>
      </c>
    </row>
    <row r="37">
      <c r="B37" t="inlineStr">
        <is>
          <t>Prince William</t>
        </is>
      </c>
      <c r="C37" t="inlineStr">
        <is>
          <t>Dulles South Innovation Center</t>
        </is>
      </c>
      <c r="D37" t="inlineStr">
        <is>
          <t>Void / Withdrawn / Denied</t>
        </is>
      </c>
      <c r="E37" t="inlineStr">
        <is>
          <t>Denied/Void</t>
        </is>
      </c>
      <c r="F37" t="inlineStr">
        <is>
          <t>Void / Withdrawn / Denied</t>
        </is>
      </c>
      <c r="G37" t="inlineStr">
        <is>
          <t>inferred (rule-derived stage from county layers)</t>
        </is>
      </c>
      <c r="H37" t="inlineStr">
        <is>
          <t>CPA2026-00012</t>
        </is>
      </c>
      <c r="I37" t="inlineStr">
        <is>
          <t>CPA2026-00012</t>
        </is>
      </c>
      <c r="J37" t="inlineStr"/>
      <c r="K37" t="inlineStr"/>
      <c r="L37" t="inlineStr">
        <is>
          <t>No: no geometry</t>
        </is>
      </c>
      <c r="M37" t="inlineStr">
        <is>
          <t>Not in campus layer; acreage/GFA/district not in ePortal search fields (blank)</t>
        </is>
      </c>
      <c r="N37" t="inlineStr">
        <is>
          <t>Stage rule: All ePortal legislative cases terminal: Denied. Campus-layer status: n/a; pending-case: n/a; ePortal: CPA2026-00012: Denied.</t>
        </is>
      </c>
      <c r="O37" t="inlineStr">
        <is>
          <t>https://egcss.pwcgov.org/SelfService#/home</t>
        </is>
      </c>
    </row>
    <row r="38">
      <c r="B38" t="inlineStr">
        <is>
          <t>Prince William</t>
        </is>
      </c>
      <c r="C38" t="inlineStr">
        <is>
          <t>Equinix Manassas</t>
        </is>
      </c>
      <c r="D38" t="inlineStr">
        <is>
          <t>Approved / Planned</t>
        </is>
      </c>
      <c r="E38" t="inlineStr">
        <is>
          <t>Approved/Planned</t>
        </is>
      </c>
      <c r="F38" t="inlineStr">
        <is>
          <t>Approved / Planned</t>
        </is>
      </c>
      <c r="G38" t="inlineStr">
        <is>
          <t>inferred (rule-derived stage from county layers)</t>
        </is>
      </c>
      <c r="H38" t="inlineStr">
        <is>
          <t>REZ1999-0038</t>
        </is>
      </c>
      <c r="I38" t="inlineStr">
        <is>
          <t>REZ1999-0038; REZ1998-0027</t>
        </is>
      </c>
      <c r="J38" t="inlineStr"/>
      <c r="K38" t="inlineStr">
        <is>
          <t>122, 123</t>
        </is>
      </c>
      <c r="L38" t="inlineStr">
        <is>
          <t>No: buildings on map</t>
        </is>
      </c>
      <c r="M38" t="inlineStr">
        <is>
          <t>1 building(s) already Completed on this campus</t>
        </is>
      </c>
      <c r="N38" t="inlineStr">
        <is>
          <t>Stage rule: Rule 3: campus ProjectStatus Planned. Campus-layer status: Planned; pending-case: n/a; ePortal: n/a.</t>
        </is>
      </c>
      <c r="O38" t="inlineStr">
        <is>
          <t>https://gisweb.pwcva.gov/arcgis/rest/services/Planning/Build_Out_Analysis/MapServer/10/44?f=html</t>
        </is>
      </c>
    </row>
    <row r="39">
      <c r="B39" t="inlineStr">
        <is>
          <t>Prince William</t>
        </is>
      </c>
      <c r="C39" t="inlineStr">
        <is>
          <t>Gainesville Associates Data Center FAR</t>
        </is>
      </c>
      <c r="D39" t="inlineStr">
        <is>
          <t>Void / Withdrawn / Denied</t>
        </is>
      </c>
      <c r="E39" t="inlineStr">
        <is>
          <t>Denied/Void</t>
        </is>
      </c>
      <c r="F39" t="inlineStr">
        <is>
          <t>Void / Withdrawn / Denied</t>
        </is>
      </c>
      <c r="G39" t="inlineStr">
        <is>
          <t>inferred (rule-derived stage from county layers)</t>
        </is>
      </c>
      <c r="H39" t="inlineStr">
        <is>
          <t>SUP2019-00041</t>
        </is>
      </c>
      <c r="I39" t="inlineStr">
        <is>
          <t>SUP2019-00041</t>
        </is>
      </c>
      <c r="J39" t="inlineStr"/>
      <c r="K39" t="inlineStr"/>
      <c r="L39" t="inlineStr">
        <is>
          <t>No: no geometry</t>
        </is>
      </c>
      <c r="M39" t="inlineStr">
        <is>
          <t>Not in campus layer; acreage/GFA/district not in ePortal search fields (blank)</t>
        </is>
      </c>
      <c r="N39" t="inlineStr">
        <is>
          <t>Stage rule: All ePortal legislative cases terminal: Withdrawn. Campus-layer status: n/a; pending-case: n/a; ePortal: SUP2019-00041: Withdrawn.</t>
        </is>
      </c>
      <c r="O39" t="inlineStr">
        <is>
          <t>https://egcss.pwcgov.org/SelfService#/home</t>
        </is>
      </c>
    </row>
    <row r="40">
      <c r="B40" t="inlineStr">
        <is>
          <t>Prince William</t>
        </is>
      </c>
      <c r="C40" t="inlineStr">
        <is>
          <t>Gainesville RLC Data Center</t>
        </is>
      </c>
      <c r="D40" t="inlineStr">
        <is>
          <t>Approved / Planned</t>
        </is>
      </c>
      <c r="E40" t="inlineStr">
        <is>
          <t>Approved/Planned</t>
        </is>
      </c>
      <c r="F40" t="inlineStr">
        <is>
          <t>Approved / Planned</t>
        </is>
      </c>
      <c r="G40" t="inlineStr">
        <is>
          <t>inferred (rule-derived stage from county layers)</t>
        </is>
      </c>
      <c r="H40" t="inlineStr">
        <is>
          <t>REZ1958-0021</t>
        </is>
      </c>
      <c r="I40" t="inlineStr">
        <is>
          <t>REZ1958-0021</t>
        </is>
      </c>
      <c r="J40" t="inlineStr"/>
      <c r="K40" t="inlineStr">
        <is>
          <t>124</t>
        </is>
      </c>
      <c r="L40" t="inlineStr">
        <is>
          <t>No: buildings on map</t>
        </is>
      </c>
      <c r="M40" t="inlineStr"/>
      <c r="N40" t="inlineStr">
        <is>
          <t>Stage rule: Rule 3: campus ProjectStatus Planned. Campus-layer status: Planned; pending-case: n/a; ePortal: n/a.</t>
        </is>
      </c>
      <c r="O40" t="inlineStr">
        <is>
          <t>https://gisweb.pwcva.gov/arcgis/rest/services/Planning/Build_Out_Analysis/MapServer/10/64?f=html</t>
        </is>
      </c>
    </row>
    <row r="41">
      <c r="B41" t="inlineStr">
        <is>
          <t>Prince William</t>
        </is>
      </c>
      <c r="C41" t="inlineStr">
        <is>
          <t>Gainesville Tech Park Piney Branch</t>
        </is>
      </c>
      <c r="D41" t="inlineStr">
        <is>
          <t>Approved / Planned</t>
        </is>
      </c>
      <c r="E41" t="inlineStr">
        <is>
          <t>Approved/Planned</t>
        </is>
      </c>
      <c r="F41" t="inlineStr">
        <is>
          <t>Approved / Planned</t>
        </is>
      </c>
      <c r="G41" t="inlineStr">
        <is>
          <t>inferred (rule-derived stage from county layers)</t>
        </is>
      </c>
      <c r="H41" t="inlineStr">
        <is>
          <t>REZ2020-00011</t>
        </is>
      </c>
      <c r="I41" t="inlineStr">
        <is>
          <t>REZ2020-00011</t>
        </is>
      </c>
      <c r="J41" t="inlineStr"/>
      <c r="K41" t="inlineStr">
        <is>
          <t>125, 126</t>
        </is>
      </c>
      <c r="L41" t="inlineStr">
        <is>
          <t>No: buildings on map</t>
        </is>
      </c>
      <c r="M41" t="inlineStr"/>
      <c r="N41" t="inlineStr">
        <is>
          <t>Stage rule: Rule 3: campus ProjectStatus Planned. Campus-layer status: Planned; pending-case: n/a; ePortal: Approved.</t>
        </is>
      </c>
      <c r="O41" t="inlineStr">
        <is>
          <t>https://gisweb.pwcva.gov/arcgis/rest/services/Planning/Build_Out_Analysis/MapServer/10/43?f=html</t>
        </is>
      </c>
    </row>
    <row r="42">
      <c r="B42" t="inlineStr">
        <is>
          <t>Prince William</t>
        </is>
      </c>
      <c r="C42" t="inlineStr">
        <is>
          <t>Gainesville West</t>
        </is>
      </c>
      <c r="D42" t="inlineStr">
        <is>
          <t>Approved / Planned</t>
        </is>
      </c>
      <c r="E42" t="inlineStr">
        <is>
          <t>Approved/Planned</t>
        </is>
      </c>
      <c r="F42" t="inlineStr">
        <is>
          <t>Approved / Planned</t>
        </is>
      </c>
      <c r="G42" t="inlineStr">
        <is>
          <t>inferred (rule-derived stage from county layers)</t>
        </is>
      </c>
      <c r="H42" t="inlineStr">
        <is>
          <t>REZ1958-0021</t>
        </is>
      </c>
      <c r="I42" t="inlineStr">
        <is>
          <t>REZ1958-0021; SUP2023-00005</t>
        </is>
      </c>
      <c r="J42" t="inlineStr"/>
      <c r="K42" t="inlineStr"/>
      <c r="L42" t="inlineStr">
        <is>
          <t>No: buildings on map</t>
        </is>
      </c>
      <c r="M42" t="inlineStr"/>
      <c r="N42" t="inlineStr">
        <is>
          <t>Stage rule: Rule 3: campus ProjectStatus Planned. Campus-layer status: Planned; pending-case: n/a; ePortal: n/a.</t>
        </is>
      </c>
      <c r="O42" t="inlineStr">
        <is>
          <t>https://gisweb.pwcva.gov/arcgis/rest/services/Planning/Build_Out_Analysis/MapServer/10/81?f=html</t>
        </is>
      </c>
    </row>
    <row r="43">
      <c r="B43" t="inlineStr">
        <is>
          <t>Prince William</t>
        </is>
      </c>
      <c r="C43" t="inlineStr">
        <is>
          <t>Gardner Property</t>
        </is>
      </c>
      <c r="D43" t="inlineStr">
        <is>
          <t>Pending / Under Review</t>
        </is>
      </c>
      <c r="E43" t="inlineStr">
        <is>
          <t>Pending</t>
        </is>
      </c>
      <c r="F43" t="inlineStr">
        <is>
          <t>Pending / Under Review</t>
        </is>
      </c>
      <c r="G43" t="inlineStr">
        <is>
          <t>inferred (rule-derived stage from county layers)</t>
        </is>
      </c>
      <c r="H43" t="inlineStr">
        <is>
          <t>REZ2023-00018</t>
        </is>
      </c>
      <c r="I43" t="inlineStr">
        <is>
          <t>REZ2023-00018; SUP2027-00008</t>
        </is>
      </c>
      <c r="J43" t="inlineStr"/>
      <c r="K43" t="inlineStr">
        <is>
          <t>129, 130, 131, 132, 133</t>
        </is>
      </c>
      <c r="L43" t="inlineStr">
        <is>
          <t>No: buildings on map</t>
        </is>
      </c>
      <c r="M43" t="inlineStr"/>
      <c r="N43" t="inlineStr">
        <is>
          <t>Stage rule: Rule 4: campus ProjectStatus Pending + pending-case layer Under Review. Campus-layer status: Pending; pending-case: Under Review; ePortal: Under Review.</t>
        </is>
      </c>
      <c r="O43" t="inlineStr">
        <is>
          <t>https://gisweb.pwcva.gov/arcgis/rest/services/Planning/Build_Out_Analysis/MapServer/10/36?f=html</t>
        </is>
      </c>
    </row>
    <row r="44">
      <c r="B44" t="inlineStr">
        <is>
          <t>Prince William</t>
        </is>
      </c>
      <c r="C44" t="inlineStr">
        <is>
          <t>George Mason Research Park</t>
        </is>
      </c>
      <c r="D44" t="inlineStr">
        <is>
          <t>Under Construction</t>
        </is>
      </c>
      <c r="E44" t="inlineStr">
        <is>
          <t>Under construction</t>
        </is>
      </c>
      <c r="F44" t="inlineStr">
        <is>
          <t>Under Construction</t>
        </is>
      </c>
      <c r="G44" t="inlineStr">
        <is>
          <t>inferred (rule-derived stage from county layers)</t>
        </is>
      </c>
      <c r="H44" t="inlineStr">
        <is>
          <t>REZ2024-00009</t>
        </is>
      </c>
      <c r="I44" t="inlineStr">
        <is>
          <t>REZ2024-00009; REZ2024-00042</t>
        </is>
      </c>
      <c r="J44" t="inlineStr"/>
      <c r="K44" t="inlineStr">
        <is>
          <t>134, 135, 136</t>
        </is>
      </c>
      <c r="L44" t="inlineStr">
        <is>
          <t>No: buildings on map</t>
        </is>
      </c>
      <c r="M44" t="inlineStr"/>
      <c r="N44" t="inlineStr">
        <is>
          <t>Stage rule: Rule 1: &gt;=1 building 'Under Construction' in layer 9. Campus-layer status: Planned; pending-case: n/a; ePortal: Approved.</t>
        </is>
      </c>
      <c r="O44" t="inlineStr">
        <is>
          <t>https://gisweb.pwcva.gov/arcgis/rest/services/Planning/Build_Out_Analysis/MapServer/10/22?f=html</t>
        </is>
      </c>
    </row>
    <row r="45">
      <c r="B45" t="inlineStr">
        <is>
          <t>Prince William</t>
        </is>
      </c>
      <c r="C45" t="inlineStr">
        <is>
          <t>Hansen Farm North</t>
        </is>
      </c>
      <c r="D45" t="inlineStr">
        <is>
          <t>Approved / Planned</t>
        </is>
      </c>
      <c r="E45" t="inlineStr">
        <is>
          <t>Approved/Planned</t>
        </is>
      </c>
      <c r="F45" t="inlineStr">
        <is>
          <t>Approved / Planned</t>
        </is>
      </c>
      <c r="G45" t="inlineStr">
        <is>
          <t>inferred (rule-derived stage from county layers)</t>
        </is>
      </c>
      <c r="H45" t="inlineStr">
        <is>
          <t>REZ1958-0034</t>
        </is>
      </c>
      <c r="I45" t="inlineStr">
        <is>
          <t>REZ1958-0034</t>
        </is>
      </c>
      <c r="J45" t="inlineStr"/>
      <c r="K45" t="inlineStr">
        <is>
          <t>137</t>
        </is>
      </c>
      <c r="L45" t="inlineStr">
        <is>
          <t>No: buildings on map</t>
        </is>
      </c>
      <c r="M45" t="inlineStr"/>
      <c r="N45" t="inlineStr">
        <is>
          <t>Stage rule: Rule 3: campus ProjectStatus Planned. Campus-layer status: Planned; pending-case: n/a; ePortal: n/a.</t>
        </is>
      </c>
      <c r="O45" t="inlineStr">
        <is>
          <t>https://gisweb.pwcva.gov/arcgis/rest/services/Planning/Build_Out_Analysis/MapServer/10/65?f=html</t>
        </is>
      </c>
    </row>
    <row r="46">
      <c r="B46" t="inlineStr">
        <is>
          <t>Prince William</t>
        </is>
      </c>
      <c r="C46" t="inlineStr">
        <is>
          <t>Hansen Farm South</t>
        </is>
      </c>
      <c r="D46" t="inlineStr">
        <is>
          <t>Approved / Planned</t>
        </is>
      </c>
      <c r="E46" t="inlineStr">
        <is>
          <t>Approved/Planned</t>
        </is>
      </c>
      <c r="F46" t="inlineStr">
        <is>
          <t>Approved / Planned</t>
        </is>
      </c>
      <c r="G46" t="inlineStr">
        <is>
          <t>inferred (rule-derived stage from county layers)</t>
        </is>
      </c>
      <c r="H46" t="inlineStr">
        <is>
          <t>REZ1990-0076</t>
        </is>
      </c>
      <c r="I46" t="inlineStr">
        <is>
          <t>REZ1990-0076</t>
        </is>
      </c>
      <c r="J46" t="inlineStr"/>
      <c r="K46" t="inlineStr">
        <is>
          <t>138</t>
        </is>
      </c>
      <c r="L46" t="inlineStr">
        <is>
          <t>No: buildings on map</t>
        </is>
      </c>
      <c r="M46" t="inlineStr"/>
      <c r="N46" t="inlineStr">
        <is>
          <t>Stage rule: Rule 3: campus ProjectStatus Planned. Campus-layer status: Planned; pending-case: n/a; ePortal: n/a.</t>
        </is>
      </c>
      <c r="O46" t="inlineStr">
        <is>
          <t>https://gisweb.pwcva.gov/arcgis/rest/services/Planning/Build_Out_Analysis/MapServer/10/68?f=html</t>
        </is>
      </c>
    </row>
    <row r="47">
      <c r="B47" t="inlineStr">
        <is>
          <t>Prince William</t>
        </is>
      </c>
      <c r="C47" t="inlineStr">
        <is>
          <t>Hornbaker Road</t>
        </is>
      </c>
      <c r="D47" t="inlineStr">
        <is>
          <t>Approved / Planned</t>
        </is>
      </c>
      <c r="E47" t="inlineStr">
        <is>
          <t>Approved/Planned</t>
        </is>
      </c>
      <c r="F47" t="inlineStr">
        <is>
          <t>Approved / Planned</t>
        </is>
      </c>
      <c r="G47" t="inlineStr">
        <is>
          <t>inferred (rule-derived stage from county layers)</t>
        </is>
      </c>
      <c r="H47" t="inlineStr">
        <is>
          <t>REZ2025-00014</t>
        </is>
      </c>
      <c r="I47" t="inlineStr">
        <is>
          <t>REZ2025-00014; SUP2025-00016; REZ2019-00032</t>
        </is>
      </c>
      <c r="J47" t="inlineStr"/>
      <c r="K47" t="inlineStr">
        <is>
          <t>139</t>
        </is>
      </c>
      <c r="L47" t="inlineStr">
        <is>
          <t>No: buildings on map</t>
        </is>
      </c>
      <c r="M47" t="inlineStr"/>
      <c r="N47" t="inlineStr">
        <is>
          <t>Stage rule: Rule 3: campus ProjectStatus Planned. Campus-layer status: Planned; pending-case: n/a; ePortal: Approved.</t>
        </is>
      </c>
      <c r="O47" t="inlineStr">
        <is>
          <t>https://gisweb.pwcva.gov/arcgis/rest/services/Planning/Build_Out_Analysis/MapServer/10/48?f=html</t>
        </is>
      </c>
    </row>
    <row r="48">
      <c r="B48" t="inlineStr">
        <is>
          <t>Prince William</t>
        </is>
      </c>
      <c r="C48" t="inlineStr">
        <is>
          <t>Hunter Property</t>
        </is>
      </c>
      <c r="D48" t="inlineStr">
        <is>
          <t>Pending / Under Review</t>
        </is>
      </c>
      <c r="E48" t="inlineStr">
        <is>
          <t>Pending</t>
        </is>
      </c>
      <c r="F48" t="inlineStr">
        <is>
          <t>Pending / Under Review</t>
        </is>
      </c>
      <c r="G48" t="inlineStr">
        <is>
          <t>inferred (rule-derived stage from county layers)</t>
        </is>
      </c>
      <c r="H48" t="inlineStr">
        <is>
          <t>REZ2022-00019</t>
        </is>
      </c>
      <c r="I48" t="inlineStr">
        <is>
          <t>REZ2022-00019; REZ2020-00022</t>
        </is>
      </c>
      <c r="J48" t="inlineStr"/>
      <c r="K48" t="inlineStr">
        <is>
          <t>140, 141, 142, 143, 144, 145, 146, 147, 148, 149</t>
        </is>
      </c>
      <c r="L48" t="inlineStr">
        <is>
          <t>No: buildings on map</t>
        </is>
      </c>
      <c r="M48" t="inlineStr"/>
      <c r="N48" t="inlineStr">
        <is>
          <t>Stage rule: Rule 4: campus ProjectStatus Pending + pending-case layer Suspended (On-Hold). Campus-layer status: Pending; pending-case: Suspended (On-Hold); ePortal: Suspended (On-Hold).</t>
        </is>
      </c>
      <c r="O48" t="inlineStr">
        <is>
          <t>https://gisweb.pwcva.gov/arcgis/rest/services/Planning/Build_Out_Analysis/MapServer/10/6?f=html</t>
        </is>
      </c>
    </row>
    <row r="49">
      <c r="B49" t="inlineStr">
        <is>
          <t>Prince William</t>
        </is>
      </c>
      <c r="C49" t="inlineStr">
        <is>
          <t>Innovation on the Parkway</t>
        </is>
      </c>
      <c r="D49" t="inlineStr">
        <is>
          <t>Approved / Planned</t>
        </is>
      </c>
      <c r="E49" t="inlineStr">
        <is>
          <t>Approved/Planned</t>
        </is>
      </c>
      <c r="F49" t="inlineStr">
        <is>
          <t>Approved / Planned</t>
        </is>
      </c>
      <c r="G49" t="inlineStr">
        <is>
          <t>inferred (rule-derived stage from county layers)</t>
        </is>
      </c>
      <c r="H49" t="inlineStr">
        <is>
          <t>REZ2023-00001</t>
        </is>
      </c>
      <c r="I49" t="inlineStr">
        <is>
          <t>REZ2023-00001</t>
        </is>
      </c>
      <c r="J49" t="inlineStr"/>
      <c r="K49" t="inlineStr">
        <is>
          <t>150</t>
        </is>
      </c>
      <c r="L49" t="inlineStr">
        <is>
          <t>No: buildings on map</t>
        </is>
      </c>
      <c r="M49" t="inlineStr"/>
      <c r="N49" t="inlineStr">
        <is>
          <t>Stage rule: Rule 3: campus ProjectStatus Planned. Campus-layer status: Planned; pending-case: n/a; ePortal: Approved.</t>
        </is>
      </c>
      <c r="O49" t="inlineStr">
        <is>
          <t>https://gisweb.pwcva.gov/arcgis/rest/services/Planning/Build_Out_Analysis/MapServer/10/25?f=html</t>
        </is>
      </c>
    </row>
    <row r="50">
      <c r="B50" t="inlineStr">
        <is>
          <t>Prince William</t>
        </is>
      </c>
      <c r="C50" t="inlineStr">
        <is>
          <t>Iron Mountain</t>
        </is>
      </c>
      <c r="D50" t="inlineStr">
        <is>
          <t>Approved / Planned</t>
        </is>
      </c>
      <c r="E50" t="inlineStr">
        <is>
          <t>Approved/Planned</t>
        </is>
      </c>
      <c r="F50" t="inlineStr">
        <is>
          <t>Approved / Planned</t>
        </is>
      </c>
      <c r="G50" t="inlineStr">
        <is>
          <t>inferred (rule-derived stage from county layers)</t>
        </is>
      </c>
      <c r="H50" t="inlineStr">
        <is>
          <t>REZ2021-00022</t>
        </is>
      </c>
      <c r="I50" t="inlineStr">
        <is>
          <t>REZ2021-00022; REZ2024-00041</t>
        </is>
      </c>
      <c r="J50" t="inlineStr"/>
      <c r="K50" t="inlineStr">
        <is>
          <t>151, 152, 153, 154, 155, 156, 157, 158, 159</t>
        </is>
      </c>
      <c r="L50" t="inlineStr">
        <is>
          <t>No: buildings on map</t>
        </is>
      </c>
      <c r="M50" t="inlineStr">
        <is>
          <t>8 building(s) already Completed on this campus</t>
        </is>
      </c>
      <c r="N50" t="inlineStr">
        <is>
          <t>Stage rule: Rule 3: campus ProjectStatus Planned. Campus-layer status: Planned; pending-case: n/a; ePortal: Approved.</t>
        </is>
      </c>
      <c r="O50" t="inlineStr">
        <is>
          <t>https://gisweb.pwcva.gov/arcgis/rest/services/Planning/Build_Out_Analysis/MapServer/10/15?f=html</t>
        </is>
      </c>
    </row>
    <row r="51">
      <c r="B51" t="inlineStr">
        <is>
          <t>Prince William</t>
        </is>
      </c>
      <c r="C51" t="inlineStr">
        <is>
          <t>Iron Mountain Manassas Point</t>
        </is>
      </c>
      <c r="D51" t="inlineStr">
        <is>
          <t>Approved / Planned</t>
        </is>
      </c>
      <c r="E51" t="inlineStr">
        <is>
          <t>Approved/Planned</t>
        </is>
      </c>
      <c r="F51" t="inlineStr">
        <is>
          <t>Approved / Planned</t>
        </is>
      </c>
      <c r="G51" t="inlineStr">
        <is>
          <t>inferred (rule-derived stage from county layers)</t>
        </is>
      </c>
      <c r="H51" t="inlineStr">
        <is>
          <t>REZ2024-00001</t>
        </is>
      </c>
      <c r="I51" t="inlineStr">
        <is>
          <t>REZ2024-00001</t>
        </is>
      </c>
      <c r="J51" t="inlineStr"/>
      <c r="K51" t="inlineStr">
        <is>
          <t>160, 161, 162</t>
        </is>
      </c>
      <c r="L51" t="inlineStr">
        <is>
          <t>No: buildings on map</t>
        </is>
      </c>
      <c r="M51" t="inlineStr"/>
      <c r="N51" t="inlineStr">
        <is>
          <t>Stage rule: Rule 3: campus ProjectStatus Planned. Campus-layer status: Planned; pending-case: n/a; ePortal: Approved.</t>
        </is>
      </c>
      <c r="O51" t="inlineStr">
        <is>
          <t>https://gisweb.pwcva.gov/arcgis/rest/services/Planning/Build_Out_Analysis/MapServer/10/41?f=html</t>
        </is>
      </c>
    </row>
    <row r="52">
      <c r="B52" t="inlineStr">
        <is>
          <t>Prince William</t>
        </is>
      </c>
      <c r="C52" t="inlineStr">
        <is>
          <t>John Marshall Commons Technology Park</t>
        </is>
      </c>
      <c r="D52" t="inlineStr">
        <is>
          <t>Void / Withdrawn / Denied</t>
        </is>
      </c>
      <c r="E52" t="inlineStr">
        <is>
          <t>Denied/Void</t>
        </is>
      </c>
      <c r="F52" t="inlineStr">
        <is>
          <t>Void / Withdrawn / Denied</t>
        </is>
      </c>
      <c r="G52" t="inlineStr">
        <is>
          <t>inferred (rule-derived stage from county layers)</t>
        </is>
      </c>
      <c r="H52" t="inlineStr">
        <is>
          <t>REZ2021-00003</t>
        </is>
      </c>
      <c r="I52" t="inlineStr">
        <is>
          <t>REZ2021-00003; SUP2021-00004</t>
        </is>
      </c>
      <c r="J52" t="inlineStr"/>
      <c r="K52" t="inlineStr"/>
      <c r="L52" t="inlineStr">
        <is>
          <t>No: no geometry</t>
        </is>
      </c>
      <c r="M52" t="inlineStr">
        <is>
          <t>Not in campus layer; acreage/GFA/district not in ePortal search fields (blank)</t>
        </is>
      </c>
      <c r="N52" t="inlineStr">
        <is>
          <t>Stage rule: All ePortal legislative cases terminal: Withdrawn. Campus-layer status: n/a; pending-case: n/a; ePortal: REZ2021-00003: Withdrawn; SUP2021-00004: Withdrawn.</t>
        </is>
      </c>
      <c r="O52" t="inlineStr">
        <is>
          <t>https://egcss.pwcgov.org/SelfService#/home</t>
        </is>
      </c>
    </row>
    <row r="53">
      <c r="B53" t="inlineStr">
        <is>
          <t>Prince William</t>
        </is>
      </c>
      <c r="C53" t="inlineStr">
        <is>
          <t>Madera Farm</t>
        </is>
      </c>
      <c r="D53" t="inlineStr">
        <is>
          <t>Pending / Under Review</t>
        </is>
      </c>
      <c r="E53" t="inlineStr">
        <is>
          <t>Pending</t>
        </is>
      </c>
      <c r="F53" t="inlineStr">
        <is>
          <t>Pending / Under Review</t>
        </is>
      </c>
      <c r="G53" t="inlineStr">
        <is>
          <t>inferred (rule-derived stage from county layers)</t>
        </is>
      </c>
      <c r="H53" t="inlineStr">
        <is>
          <t>REZ2025-00007</t>
        </is>
      </c>
      <c r="I53" t="inlineStr">
        <is>
          <t>REZ2025-00007; SUP2027-00002</t>
        </is>
      </c>
      <c r="J53" t="inlineStr"/>
      <c r="K53" t="inlineStr"/>
      <c r="L53" t="inlineStr">
        <is>
          <t>No: no geometry</t>
        </is>
      </c>
      <c r="M53" t="inlineStr">
        <is>
          <t>Not in campus layer; acreage/GFA/district not in ePortal search fields (blank)</t>
        </is>
      </c>
      <c r="N53" t="inlineStr">
        <is>
          <t>Stage rule: ePortal legislative case open (not in campus layer). Campus-layer status: n/a; pending-case: REZ2025-00007: Pending; SUP2027-00002: Pending; ePortal: REZ2025-00007: Pending; SUP2027-00002: Pending.</t>
        </is>
      </c>
      <c r="O53" t="inlineStr">
        <is>
          <t>https://egcss.pwcgov.org/SelfService#/home</t>
        </is>
      </c>
    </row>
    <row r="54">
      <c r="B54" t="inlineStr">
        <is>
          <t>Prince William</t>
        </is>
      </c>
      <c r="C54" t="inlineStr">
        <is>
          <t>Manassas Data Center</t>
        </is>
      </c>
      <c r="D54" t="inlineStr">
        <is>
          <t>Approved / Planned</t>
        </is>
      </c>
      <c r="E54" t="inlineStr">
        <is>
          <t>Approved/Planned</t>
        </is>
      </c>
      <c r="F54" t="inlineStr">
        <is>
          <t>Approved / Planned</t>
        </is>
      </c>
      <c r="G54" t="inlineStr">
        <is>
          <t>inferred (rule-derived stage from county layers)</t>
        </is>
      </c>
      <c r="H54" t="inlineStr">
        <is>
          <t>REZ1989-0038</t>
        </is>
      </c>
      <c r="I54" t="inlineStr">
        <is>
          <t>REZ1989-0038; CPA2026-00016; SUP2023-00034</t>
        </is>
      </c>
      <c r="J54" t="inlineStr"/>
      <c r="K54" t="inlineStr">
        <is>
          <t>163</t>
        </is>
      </c>
      <c r="L54" t="inlineStr">
        <is>
          <t>No: buildings on map</t>
        </is>
      </c>
      <c r="M54" t="inlineStr"/>
      <c r="N54" t="inlineStr">
        <is>
          <t>Stage rule: Rule 3: campus ProjectStatus Planned. Campus-layer status: Planned; pending-case: Pending; ePortal: n/a.</t>
        </is>
      </c>
      <c r="O54" t="inlineStr">
        <is>
          <t>https://gisweb.pwcva.gov/arcgis/rest/services/Planning/Build_Out_Analysis/MapServer/10/72?f=html</t>
        </is>
      </c>
    </row>
    <row r="55">
      <c r="B55" t="inlineStr">
        <is>
          <t>Prince William</t>
        </is>
      </c>
      <c r="C55" t="inlineStr">
        <is>
          <t>Manassas Tech Center</t>
        </is>
      </c>
      <c r="D55" t="inlineStr">
        <is>
          <t>Under Construction</t>
        </is>
      </c>
      <c r="E55" t="inlineStr">
        <is>
          <t>Under construction</t>
        </is>
      </c>
      <c r="F55" t="inlineStr">
        <is>
          <t>Under Construction</t>
        </is>
      </c>
      <c r="G55" t="inlineStr">
        <is>
          <t>inferred (rule-derived stage from county layers)</t>
        </is>
      </c>
      <c r="H55" t="inlineStr">
        <is>
          <t>REZ2026-00022</t>
        </is>
      </c>
      <c r="I55" t="inlineStr">
        <is>
          <t>REZ2026-00022</t>
        </is>
      </c>
      <c r="J55" t="inlineStr"/>
      <c r="K55" t="inlineStr">
        <is>
          <t>164, 165, 166</t>
        </is>
      </c>
      <c r="L55" t="inlineStr">
        <is>
          <t>No: buildings on map</t>
        </is>
      </c>
      <c r="M55" t="inlineStr">
        <is>
          <t>Campus case is county-Pending but a building is Under Construction (stage per rule 1); ePortal shows primary case Approved while campus layer says Pending (county data conflict)</t>
        </is>
      </c>
      <c r="N55" t="inlineStr">
        <is>
          <t>Stage rule: Rule 1: &gt;=1 building 'Under Construction' in layer 9. Campus-layer status: Pending; pending-case: n/a; ePortal: Approved.</t>
        </is>
      </c>
      <c r="O55" t="inlineStr">
        <is>
          <t>https://gisweb.pwcva.gov/arcgis/rest/services/Planning/Build_Out_Analysis/MapServer/10/16?f=html</t>
        </is>
      </c>
    </row>
    <row r="56">
      <c r="B56" t="inlineStr">
        <is>
          <t>Prince William</t>
        </is>
      </c>
      <c r="C56" t="inlineStr">
        <is>
          <t>Manassas Tech Park II South</t>
        </is>
      </c>
      <c r="D56" t="inlineStr">
        <is>
          <t>Approved / Planned</t>
        </is>
      </c>
      <c r="E56" t="inlineStr">
        <is>
          <t>Approved/Planned</t>
        </is>
      </c>
      <c r="F56" t="inlineStr">
        <is>
          <t>Approved / Planned</t>
        </is>
      </c>
      <c r="G56" t="inlineStr">
        <is>
          <t>inferred (rule-derived stage from county layers)</t>
        </is>
      </c>
      <c r="H56" t="inlineStr">
        <is>
          <t>REZ1985-0048</t>
        </is>
      </c>
      <c r="I56" t="inlineStr">
        <is>
          <t>REZ1985-0048</t>
        </is>
      </c>
      <c r="J56" t="inlineStr"/>
      <c r="K56" t="inlineStr">
        <is>
          <t>167</t>
        </is>
      </c>
      <c r="L56" t="inlineStr">
        <is>
          <t>No: buildings on map</t>
        </is>
      </c>
      <c r="M56" t="inlineStr"/>
      <c r="N56" t="inlineStr">
        <is>
          <t>Stage rule: Rule 3: campus ProjectStatus Planned. Campus-layer status: Planned; pending-case: n/a; ePortal: n/a.</t>
        </is>
      </c>
      <c r="O56" t="inlineStr">
        <is>
          <t>https://gisweb.pwcva.gov/arcgis/rest/services/Planning/Build_Out_Analysis/MapServer/10/135?f=html</t>
        </is>
      </c>
    </row>
    <row r="57">
      <c r="B57" t="inlineStr">
        <is>
          <t>Prince William</t>
        </is>
      </c>
      <c r="C57" t="inlineStr">
        <is>
          <t>Manassas Tech Park North</t>
        </is>
      </c>
      <c r="D57" t="inlineStr">
        <is>
          <t>Approved / Planned</t>
        </is>
      </c>
      <c r="E57" t="inlineStr">
        <is>
          <t>Approved/Planned</t>
        </is>
      </c>
      <c r="F57" t="inlineStr">
        <is>
          <t>Approved / Planned</t>
        </is>
      </c>
      <c r="G57" t="inlineStr">
        <is>
          <t>inferred (rule-derived stage from county layers)</t>
        </is>
      </c>
      <c r="H57" t="inlineStr">
        <is>
          <t>REZ1985-0048</t>
        </is>
      </c>
      <c r="I57" t="inlineStr">
        <is>
          <t>REZ1985-0048</t>
        </is>
      </c>
      <c r="J57" t="inlineStr"/>
      <c r="K57" t="inlineStr">
        <is>
          <t>168, 169</t>
        </is>
      </c>
      <c r="L57" t="inlineStr">
        <is>
          <t>No: buildings on map</t>
        </is>
      </c>
      <c r="M57" t="inlineStr"/>
      <c r="N57" t="inlineStr">
        <is>
          <t>Stage rule: Rule 3: campus ProjectStatus Planned. Campus-layer status: Planned; pending-case: n/a; ePortal: n/a.</t>
        </is>
      </c>
      <c r="O57" t="inlineStr">
        <is>
          <t>https://gisweb.pwcva.gov/arcgis/rest/services/Planning/Build_Out_Analysis/MapServer/10/70?f=html</t>
        </is>
      </c>
    </row>
    <row r="58">
      <c r="B58" t="inlineStr">
        <is>
          <t>Prince William</t>
        </is>
      </c>
      <c r="C58" t="inlineStr">
        <is>
          <t>Merritt I-66 Business Park</t>
        </is>
      </c>
      <c r="D58" t="inlineStr">
        <is>
          <t>Approved / Planned</t>
        </is>
      </c>
      <c r="E58" t="inlineStr">
        <is>
          <t>Approved/Planned</t>
        </is>
      </c>
      <c r="F58" t="inlineStr">
        <is>
          <t>Approved / Planned</t>
        </is>
      </c>
      <c r="G58" t="inlineStr">
        <is>
          <t>inferred (rule-derived stage from county layers)</t>
        </is>
      </c>
      <c r="H58" t="inlineStr">
        <is>
          <t>REZ1981-0015</t>
        </is>
      </c>
      <c r="I58" t="inlineStr">
        <is>
          <t>REZ1981-0015</t>
        </is>
      </c>
      <c r="J58" t="inlineStr"/>
      <c r="K58" t="inlineStr">
        <is>
          <t>170, 171, 172, 173</t>
        </is>
      </c>
      <c r="L58" t="inlineStr">
        <is>
          <t>No: buildings on map</t>
        </is>
      </c>
      <c r="M58" t="inlineStr"/>
      <c r="N58" t="inlineStr">
        <is>
          <t>Stage rule: Rule 3: campus ProjectStatus Planned. Campus-layer status: Planned; pending-case: n/a; ePortal: n/a.</t>
        </is>
      </c>
      <c r="O58" t="inlineStr">
        <is>
          <t>https://gisweb.pwcva.gov/arcgis/rest/services/Planning/Build_Out_Analysis/MapServer/10/137?f=html</t>
        </is>
      </c>
    </row>
    <row r="59">
      <c r="B59" t="inlineStr">
        <is>
          <t>Prince William</t>
        </is>
      </c>
      <c r="C59" t="inlineStr">
        <is>
          <t>Microsoft Azure Balls Ford Road</t>
        </is>
      </c>
      <c r="D59" t="inlineStr">
        <is>
          <t>Approved / Planned</t>
        </is>
      </c>
      <c r="E59" t="inlineStr">
        <is>
          <t>Approved/Planned</t>
        </is>
      </c>
      <c r="F59" t="inlineStr">
        <is>
          <t>Approved / Planned</t>
        </is>
      </c>
      <c r="G59" t="inlineStr">
        <is>
          <t>inferred (rule-derived stage from county layers)</t>
        </is>
      </c>
      <c r="H59" t="inlineStr">
        <is>
          <t>REZ2019-00025</t>
        </is>
      </c>
      <c r="I59" t="inlineStr">
        <is>
          <t>REZ2019-00025</t>
        </is>
      </c>
      <c r="J59" t="inlineStr"/>
      <c r="K59" t="inlineStr">
        <is>
          <t>174, 175</t>
        </is>
      </c>
      <c r="L59" t="inlineStr">
        <is>
          <t>No: buildings on map</t>
        </is>
      </c>
      <c r="M59" t="inlineStr"/>
      <c r="N59" t="inlineStr">
        <is>
          <t>Stage rule: Rule 3: campus ProjectStatus Planned. Campus-layer status: Planned; pending-case: n/a; ePortal: Approved.</t>
        </is>
      </c>
      <c r="O59" t="inlineStr">
        <is>
          <t>https://gisweb.pwcva.gov/arcgis/rest/services/Planning/Build_Out_Analysis/MapServer/10/10?f=html</t>
        </is>
      </c>
    </row>
    <row r="60">
      <c r="B60" t="inlineStr">
        <is>
          <t>Prince William</t>
        </is>
      </c>
      <c r="C60" t="inlineStr">
        <is>
          <t>Microsoft Azure Gainesville Tech Park</t>
        </is>
      </c>
      <c r="D60" t="inlineStr">
        <is>
          <t>Under Construction</t>
        </is>
      </c>
      <c r="E60" t="inlineStr">
        <is>
          <t>Under construction</t>
        </is>
      </c>
      <c r="F60" t="inlineStr">
        <is>
          <t>Under Construction</t>
        </is>
      </c>
      <c r="G60" t="inlineStr">
        <is>
          <t>inferred (rule-derived stage from county layers)</t>
        </is>
      </c>
      <c r="H60" t="inlineStr">
        <is>
          <t>REZ2020-00011</t>
        </is>
      </c>
      <c r="I60" t="inlineStr">
        <is>
          <t>REZ2020-00011</t>
        </is>
      </c>
      <c r="J60" t="inlineStr"/>
      <c r="K60" t="inlineStr">
        <is>
          <t>176, 177, 178, 179</t>
        </is>
      </c>
      <c r="L60" t="inlineStr">
        <is>
          <t>No: buildings on map</t>
        </is>
      </c>
      <c r="M60" t="inlineStr"/>
      <c r="N60" t="inlineStr">
        <is>
          <t>Stage rule: Rule 1: &gt;=1 building 'Under Construction' in layer 9. Campus-layer status: Planned; pending-case: n/a; ePortal: Approved.</t>
        </is>
      </c>
      <c r="O60" t="inlineStr">
        <is>
          <t>https://gisweb.pwcva.gov/arcgis/rest/services/Planning/Build_Out_Analysis/MapServer/10/5?f=html</t>
        </is>
      </c>
    </row>
    <row r="61">
      <c r="B61" t="inlineStr">
        <is>
          <t>Prince William</t>
        </is>
      </c>
      <c r="C61" t="inlineStr">
        <is>
          <t>NTT Grove at Gainesville</t>
        </is>
      </c>
      <c r="D61" t="inlineStr">
        <is>
          <t>Under Construction</t>
        </is>
      </c>
      <c r="E61" t="inlineStr">
        <is>
          <t>Under construction</t>
        </is>
      </c>
      <c r="F61" t="inlineStr">
        <is>
          <t>Under Construction</t>
        </is>
      </c>
      <c r="G61" t="inlineStr">
        <is>
          <t>inferred (rule-derived stage from county layers)</t>
        </is>
      </c>
      <c r="H61" t="inlineStr">
        <is>
          <t>REZ2021-00001</t>
        </is>
      </c>
      <c r="I61" t="inlineStr">
        <is>
          <t>REZ2021-00001; SUP2021-00002</t>
        </is>
      </c>
      <c r="J61" t="inlineStr"/>
      <c r="K61" t="inlineStr">
        <is>
          <t>180, 181, 182, 183</t>
        </is>
      </c>
      <c r="L61" t="inlineStr">
        <is>
          <t>No: buildings on map</t>
        </is>
      </c>
      <c r="M61" t="inlineStr"/>
      <c r="N61" t="inlineStr">
        <is>
          <t>Stage rule: Rule 1: &gt;=1 building 'Under Construction' in layer 9. Campus-layer status: Planned; pending-case: n/a; ePortal: Approved.</t>
        </is>
      </c>
      <c r="O61" t="inlineStr">
        <is>
          <t>https://gisweb.pwcva.gov/arcgis/rest/services/Planning/Build_Out_Analysis/MapServer/10/34?f=html</t>
        </is>
      </c>
    </row>
    <row r="62">
      <c r="B62" t="inlineStr">
        <is>
          <t>Prince William</t>
        </is>
      </c>
      <c r="C62" t="inlineStr">
        <is>
          <t>Patriot Business Center</t>
        </is>
      </c>
      <c r="D62" t="inlineStr">
        <is>
          <t>Approved / Planned</t>
        </is>
      </c>
      <c r="E62" t="inlineStr">
        <is>
          <t>Approved/Planned</t>
        </is>
      </c>
      <c r="F62" t="inlineStr">
        <is>
          <t>Approved / Planned</t>
        </is>
      </c>
      <c r="G62" t="inlineStr">
        <is>
          <t>inferred (rule-derived stage from county layers)</t>
        </is>
      </c>
      <c r="H62" t="inlineStr">
        <is>
          <t>REZ1969-0021</t>
        </is>
      </c>
      <c r="I62" t="inlineStr">
        <is>
          <t>REZ1969-0021</t>
        </is>
      </c>
      <c r="J62" t="inlineStr"/>
      <c r="K62" t="inlineStr">
        <is>
          <t>184, 185, 186, 187</t>
        </is>
      </c>
      <c r="L62" t="inlineStr">
        <is>
          <t>No: buildings on map</t>
        </is>
      </c>
      <c r="M62" t="inlineStr"/>
      <c r="N62" t="inlineStr">
        <is>
          <t>Stage rule: Rule 3: campus ProjectStatus Planned. Campus-layer status: Planned; pending-case: n/a; ePortal: n/a.</t>
        </is>
      </c>
      <c r="O62" t="inlineStr">
        <is>
          <t>https://gisweb.pwcva.gov/arcgis/rest/services/Planning/Build_Out_Analysis/MapServer/10/40?f=html</t>
        </is>
      </c>
    </row>
    <row r="63">
      <c r="B63" t="inlineStr">
        <is>
          <t>Prince William</t>
        </is>
      </c>
      <c r="C63" t="inlineStr">
        <is>
          <t>Potomac Technology Park</t>
        </is>
      </c>
      <c r="D63" t="inlineStr">
        <is>
          <t>Void / Withdrawn / Denied</t>
        </is>
      </c>
      <c r="E63" t="inlineStr">
        <is>
          <t>Denied/Void</t>
        </is>
      </c>
      <c r="F63" t="inlineStr">
        <is>
          <t>Void / Withdrawn / Denied</t>
        </is>
      </c>
      <c r="G63" t="inlineStr">
        <is>
          <t>inferred (rule-derived stage from county layers)</t>
        </is>
      </c>
      <c r="H63" t="inlineStr">
        <is>
          <t>CPA2024-00002</t>
        </is>
      </c>
      <c r="I63" t="inlineStr">
        <is>
          <t>CPA2024-00002; REZ2022-00015; SUP2022-00016</t>
        </is>
      </c>
      <c r="J63" t="inlineStr"/>
      <c r="K63" t="inlineStr"/>
      <c r="L63" t="inlineStr">
        <is>
          <t>No: no geometry</t>
        </is>
      </c>
      <c r="M63" t="inlineStr">
        <is>
          <t>Not in campus layer; acreage/GFA/district not in ePortal search fields (blank)</t>
        </is>
      </c>
      <c r="N63" t="inlineStr">
        <is>
          <t>Stage rule: All ePortal legislative cases terminal: Withdrawn. Campus-layer status: n/a; pending-case: n/a; ePortal: CPA2024-00002: Withdrawn; REZ2022-00015: Withdrawn; SUP2022-00016: Withdrawn.</t>
        </is>
      </c>
      <c r="O63" t="inlineStr">
        <is>
          <t>https://egcss.pwcgov.org/SelfService#/home</t>
        </is>
      </c>
    </row>
    <row r="64">
      <c r="B64" t="inlineStr">
        <is>
          <t>Prince William</t>
        </is>
      </c>
      <c r="C64" t="inlineStr">
        <is>
          <t>Premier Business Park</t>
        </is>
      </c>
      <c r="D64" t="inlineStr">
        <is>
          <t>Approved / Planned</t>
        </is>
      </c>
      <c r="E64" t="inlineStr">
        <is>
          <t>Approved/Planned</t>
        </is>
      </c>
      <c r="F64" t="inlineStr">
        <is>
          <t>Approved / Planned</t>
        </is>
      </c>
      <c r="G64" t="inlineStr">
        <is>
          <t>inferred (rule-derived stage from county layers)</t>
        </is>
      </c>
      <c r="H64" t="inlineStr">
        <is>
          <t>REZ1969-0021</t>
        </is>
      </c>
      <c r="I64" t="inlineStr">
        <is>
          <t>REZ1969-0021</t>
        </is>
      </c>
      <c r="J64" t="inlineStr"/>
      <c r="K64" t="inlineStr">
        <is>
          <t>188</t>
        </is>
      </c>
      <c r="L64" t="inlineStr">
        <is>
          <t>No: buildings on map</t>
        </is>
      </c>
      <c r="M64" t="inlineStr"/>
      <c r="N64" t="inlineStr">
        <is>
          <t>Stage rule: Rule 3: campus ProjectStatus Planned. Campus-layer status: Planned; pending-case: n/a; ePortal: n/a.</t>
        </is>
      </c>
      <c r="O64" t="inlineStr">
        <is>
          <t>https://gisweb.pwcva.gov/arcgis/rest/services/Planning/Build_Out_Analysis/MapServer/10/552?f=html</t>
        </is>
      </c>
    </row>
    <row r="65">
      <c r="B65" t="inlineStr">
        <is>
          <t>Prince William</t>
        </is>
      </c>
      <c r="C65" t="inlineStr">
        <is>
          <t>Project Gainesville</t>
        </is>
      </c>
      <c r="D65" t="inlineStr">
        <is>
          <t>Under Construction</t>
        </is>
      </c>
      <c r="E65" t="inlineStr">
        <is>
          <t>Under construction</t>
        </is>
      </c>
      <c r="F65" t="inlineStr">
        <is>
          <t>Under Construction</t>
        </is>
      </c>
      <c r="G65" t="inlineStr">
        <is>
          <t>inferred (rule-derived stage from county layers)</t>
        </is>
      </c>
      <c r="H65" t="inlineStr">
        <is>
          <t>REZ1958-0021</t>
        </is>
      </c>
      <c r="I65" t="inlineStr">
        <is>
          <t>REZ1958-0021; SUP2023-00006</t>
        </is>
      </c>
      <c r="J65" t="inlineStr"/>
      <c r="K65" t="inlineStr"/>
      <c r="L65" t="inlineStr">
        <is>
          <t>No: buildings on map</t>
        </is>
      </c>
      <c r="M65" t="inlineStr"/>
      <c r="N65" t="inlineStr">
        <is>
          <t>Stage rule: Rule 1: &gt;=1 building 'Under Construction' in layer 9. Campus-layer status: Planned; pending-case: n/a; ePortal: n/a.</t>
        </is>
      </c>
      <c r="O65" t="inlineStr">
        <is>
          <t>https://gisweb.pwcva.gov/arcgis/rest/services/Planning/Build_Out_Analysis/MapServer/10/83?f=html</t>
        </is>
      </c>
    </row>
    <row r="66">
      <c r="B66" t="inlineStr">
        <is>
          <t>Prince William</t>
        </is>
      </c>
      <c r="C66" t="inlineStr">
        <is>
          <t>Project Gulfstream</t>
        </is>
      </c>
      <c r="D66" t="inlineStr">
        <is>
          <t>Approved / Planned</t>
        </is>
      </c>
      <c r="E66" t="inlineStr">
        <is>
          <t>Approved/Planned</t>
        </is>
      </c>
      <c r="F66" t="inlineStr">
        <is>
          <t>Approved / Planned</t>
        </is>
      </c>
      <c r="G66" t="inlineStr">
        <is>
          <t>inferred (rule-derived stage from county layers)</t>
        </is>
      </c>
      <c r="H66" t="inlineStr">
        <is>
          <t>REZ1987-0021</t>
        </is>
      </c>
      <c r="I66" t="inlineStr">
        <is>
          <t>REZ1987-0021</t>
        </is>
      </c>
      <c r="J66" t="inlineStr"/>
      <c r="K66" t="inlineStr">
        <is>
          <t>193, 194, 195, 196</t>
        </is>
      </c>
      <c r="L66" t="inlineStr">
        <is>
          <t>No: buildings on map</t>
        </is>
      </c>
      <c r="M66" t="inlineStr"/>
      <c r="N66" t="inlineStr">
        <is>
          <t>Stage rule: Rule 3: campus ProjectStatus Planned. Campus-layer status: Planned; pending-case: n/a; ePortal: n/a.</t>
        </is>
      </c>
      <c r="O66" t="inlineStr">
        <is>
          <t>https://gisweb.pwcva.gov/arcgis/rest/services/Planning/Build_Out_Analysis/MapServer/10/59?f=html</t>
        </is>
      </c>
    </row>
    <row r="67">
      <c r="B67" t="inlineStr">
        <is>
          <t>Prince William</t>
        </is>
      </c>
      <c r="C67" t="inlineStr">
        <is>
          <t>Project Industry</t>
        </is>
      </c>
      <c r="D67" t="inlineStr">
        <is>
          <t>Pending / Under Review</t>
        </is>
      </c>
      <c r="E67" t="inlineStr">
        <is>
          <t>Pending</t>
        </is>
      </c>
      <c r="F67" t="inlineStr">
        <is>
          <t>Pending / Under Review</t>
        </is>
      </c>
      <c r="G67" t="inlineStr">
        <is>
          <t>inferred (rule-derived stage from county layers)</t>
        </is>
      </c>
      <c r="H67" t="inlineStr">
        <is>
          <t>REZ2025-00003</t>
        </is>
      </c>
      <c r="I67" t="inlineStr">
        <is>
          <t>REZ2025-00003</t>
        </is>
      </c>
      <c r="J67" t="inlineStr"/>
      <c r="K67" t="inlineStr">
        <is>
          <t>197, 198</t>
        </is>
      </c>
      <c r="L67" t="inlineStr">
        <is>
          <t>No: buildings on map</t>
        </is>
      </c>
      <c r="M67" t="inlineStr"/>
      <c r="N67" t="inlineStr">
        <is>
          <t>Stage rule: Rule 4: campus ProjectStatus Pending + pending-case layer Deferred. Campus-layer status: Pending; pending-case: Deferred; ePortal: Deferred.</t>
        </is>
      </c>
      <c r="O67" t="inlineStr">
        <is>
          <t>https://gisweb.pwcva.gov/arcgis/rest/services/Planning/Build_Out_Analysis/MapServer/10/57?f=html</t>
        </is>
      </c>
    </row>
    <row r="68">
      <c r="B68" t="inlineStr">
        <is>
          <t>Prince William</t>
        </is>
      </c>
      <c r="C68" t="inlineStr">
        <is>
          <t>Project Mango Phase 4</t>
        </is>
      </c>
      <c r="D68" t="inlineStr">
        <is>
          <t>In Planning Office (site plan in review)</t>
        </is>
      </c>
      <c r="E68" t="inlineStr">
        <is>
          <t>Pending</t>
        </is>
      </c>
      <c r="F68" t="inlineStr">
        <is>
          <t>In Planning Office (site plan in review)</t>
        </is>
      </c>
      <c r="G68" t="inlineStr">
        <is>
          <t>inferred (rule-derived stage from county layers)</t>
        </is>
      </c>
      <c r="H68" t="inlineStr">
        <is>
          <t>SPR2026-00368</t>
        </is>
      </c>
      <c r="I68" t="inlineStr">
        <is>
          <t>SPR2026-00368; SPR2027-00055</t>
        </is>
      </c>
      <c r="J68" t="inlineStr"/>
      <c r="K68" t="inlineStr"/>
      <c r="L68" t="inlineStr">
        <is>
          <t>No: no geometry</t>
        </is>
      </c>
      <c r="M68" t="inlineStr">
        <is>
          <t>Not in campus layer; acreage/GFA/district not in ePortal search fields (blank)</t>
        </is>
      </c>
      <c r="N68" t="inlineStr">
        <is>
          <t>Stage rule: Rule 5: ePortal site plan in review, no campus-layer match. Campus-layer status: n/a; pending-case: n/a; ePortal: SPR2026-00368: Pending; SPR2027-00055: Pending.</t>
        </is>
      </c>
      <c r="O68" t="inlineStr">
        <is>
          <t>https://egcss.pwcgov.org/SelfService#/home</t>
        </is>
      </c>
    </row>
    <row r="69">
      <c r="B69" t="inlineStr">
        <is>
          <t>Prince William</t>
        </is>
      </c>
      <c r="C69" t="inlineStr">
        <is>
          <t>Project Well</t>
        </is>
      </c>
      <c r="D69" t="inlineStr">
        <is>
          <t>Approved / Planned</t>
        </is>
      </c>
      <c r="E69" t="inlineStr">
        <is>
          <t>Approved/Planned</t>
        </is>
      </c>
      <c r="F69" t="inlineStr">
        <is>
          <t>Approved / Planned</t>
        </is>
      </c>
      <c r="G69" t="inlineStr">
        <is>
          <t>inferred (rule-derived stage from county layers)</t>
        </is>
      </c>
      <c r="H69" t="inlineStr">
        <is>
          <t>REZ1979-0021</t>
        </is>
      </c>
      <c r="I69" t="inlineStr">
        <is>
          <t>REZ1979-0021; REZ2025-00026</t>
        </is>
      </c>
      <c r="J69" t="inlineStr"/>
      <c r="K69" t="inlineStr">
        <is>
          <t>199, 200</t>
        </is>
      </c>
      <c r="L69" t="inlineStr">
        <is>
          <t>No: buildings on map</t>
        </is>
      </c>
      <c r="M69" t="inlineStr"/>
      <c r="N69" t="inlineStr">
        <is>
          <t>Stage rule: Rule 3: campus ProjectStatus Planned. Campus-layer status: Planned; pending-case: n/a; ePortal: n/a.</t>
        </is>
      </c>
      <c r="O69" t="inlineStr">
        <is>
          <t>https://gisweb.pwcva.gov/arcgis/rest/services/Planning/Build_Out_Analysis/MapServer/10/49?f=html</t>
        </is>
      </c>
    </row>
    <row r="70">
      <c r="B70" t="inlineStr">
        <is>
          <t>Prince William</t>
        </is>
      </c>
      <c r="C70" t="inlineStr">
        <is>
          <t>QTS Manassas 1</t>
        </is>
      </c>
      <c r="D70" t="inlineStr">
        <is>
          <t>Under Construction</t>
        </is>
      </c>
      <c r="E70" t="inlineStr">
        <is>
          <t>Under construction</t>
        </is>
      </c>
      <c r="F70" t="inlineStr">
        <is>
          <t>Under Construction</t>
        </is>
      </c>
      <c r="G70" t="inlineStr">
        <is>
          <t>inferred (rule-derived stage from county layers)</t>
        </is>
      </c>
      <c r="H70" t="inlineStr">
        <is>
          <t>REZ1980-0030</t>
        </is>
      </c>
      <c r="I70" t="inlineStr">
        <is>
          <t>REZ1980-0030; REZ2020-00019; REZ2023-00002</t>
        </is>
      </c>
      <c r="J70" t="inlineStr"/>
      <c r="K70" t="inlineStr">
        <is>
          <t>201, 202, 203, 204, 205, 206</t>
        </is>
      </c>
      <c r="L70" t="inlineStr">
        <is>
          <t>No: buildings on map</t>
        </is>
      </c>
      <c r="M70" t="inlineStr"/>
      <c r="N70" t="inlineStr">
        <is>
          <t>Stage rule: Rule 1: &gt;=1 building 'Under Construction' in layer 9. Campus-layer status: Planned; pending-case: n/a; ePortal: n/a.</t>
        </is>
      </c>
      <c r="O70" t="inlineStr">
        <is>
          <t>https://gisweb.pwcva.gov/arcgis/rest/services/Planning/Build_Out_Analysis/MapServer/10/23?f=html</t>
        </is>
      </c>
    </row>
    <row r="71">
      <c r="B71" t="inlineStr">
        <is>
          <t>Prince William</t>
        </is>
      </c>
      <c r="C71" t="inlineStr">
        <is>
          <t>Quantico Ridge</t>
        </is>
      </c>
      <c r="D71" t="inlineStr">
        <is>
          <t>Void / Withdrawn / Denied</t>
        </is>
      </c>
      <c r="E71" t="inlineStr">
        <is>
          <t>Denied/Void</t>
        </is>
      </c>
      <c r="F71" t="inlineStr">
        <is>
          <t>Void / Withdrawn / Denied</t>
        </is>
      </c>
      <c r="G71" t="inlineStr">
        <is>
          <t>inferred (rule-derived stage from county layers)</t>
        </is>
      </c>
      <c r="H71" t="inlineStr">
        <is>
          <t>REZ2026-00038</t>
        </is>
      </c>
      <c r="I71" t="inlineStr">
        <is>
          <t>REZ2026-00038; SUP2026-00029</t>
        </is>
      </c>
      <c r="J71" t="inlineStr"/>
      <c r="K71" t="inlineStr"/>
      <c r="L71" t="inlineStr">
        <is>
          <t>No: no geometry</t>
        </is>
      </c>
      <c r="M71" t="inlineStr">
        <is>
          <t>Not in campus layer; acreage/GFA/district not in ePortal search fields (blank)</t>
        </is>
      </c>
      <c r="N71" t="inlineStr">
        <is>
          <t>Stage rule: All ePortal legislative cases terminal: Withdrawn. Campus-layer status: n/a; pending-case: n/a; ePortal: REZ2026-00038: Withdrawn; SUP2026-00029: Withdrawn.</t>
        </is>
      </c>
      <c r="O71" t="inlineStr">
        <is>
          <t>https://egcss.pwcgov.org/SelfService#/home</t>
        </is>
      </c>
    </row>
    <row r="72">
      <c r="B72" t="inlineStr">
        <is>
          <t>Prince William</t>
        </is>
      </c>
      <c r="C72" t="inlineStr">
        <is>
          <t>Redstone Tech Park Central</t>
        </is>
      </c>
      <c r="D72" t="inlineStr">
        <is>
          <t>Approved / Planned</t>
        </is>
      </c>
      <c r="E72" t="inlineStr">
        <is>
          <t>Approved/Planned</t>
        </is>
      </c>
      <c r="F72" t="inlineStr">
        <is>
          <t>Approved / Planned</t>
        </is>
      </c>
      <c r="G72" t="inlineStr">
        <is>
          <t>inferred (rule-derived stage from county layers)</t>
        </is>
      </c>
      <c r="H72" t="inlineStr">
        <is>
          <t>REZ1994-0013</t>
        </is>
      </c>
      <c r="I72" t="inlineStr">
        <is>
          <t>REZ1994-0013</t>
        </is>
      </c>
      <c r="J72" t="inlineStr"/>
      <c r="K72" t="inlineStr">
        <is>
          <t>207, 208</t>
        </is>
      </c>
      <c r="L72" t="inlineStr">
        <is>
          <t>No: buildings on map</t>
        </is>
      </c>
      <c r="M72" t="inlineStr"/>
      <c r="N72" t="inlineStr">
        <is>
          <t>Stage rule: Rule 3: campus ProjectStatus Planned. Campus-layer status: Planned; pending-case: n/a; ePortal: n/a.</t>
        </is>
      </c>
      <c r="O72" t="inlineStr">
        <is>
          <t>https://gisweb.pwcva.gov/arcgis/rest/services/Planning/Build_Out_Analysis/MapServer/10/84?f=html</t>
        </is>
      </c>
    </row>
    <row r="73">
      <c r="B73" t="inlineStr">
        <is>
          <t>Prince William</t>
        </is>
      </c>
      <c r="C73" t="inlineStr">
        <is>
          <t>Redstone Tech Park North</t>
        </is>
      </c>
      <c r="D73" t="inlineStr">
        <is>
          <t>Approved / Planned</t>
        </is>
      </c>
      <c r="E73" t="inlineStr">
        <is>
          <t>Approved/Planned</t>
        </is>
      </c>
      <c r="F73" t="inlineStr">
        <is>
          <t>Approved / Planned</t>
        </is>
      </c>
      <c r="G73" t="inlineStr">
        <is>
          <t>inferred (rule-derived stage from county layers)</t>
        </is>
      </c>
      <c r="H73" t="inlineStr">
        <is>
          <t>PLN2008-00253</t>
        </is>
      </c>
      <c r="I73" t="inlineStr">
        <is>
          <t>PLN2008-00253; REZ1996-0016; REZ1985-0048</t>
        </is>
      </c>
      <c r="J73" t="inlineStr"/>
      <c r="K73" t="inlineStr">
        <is>
          <t>209, 210, 211, 212, 213</t>
        </is>
      </c>
      <c r="L73" t="inlineStr">
        <is>
          <t>No: buildings on map</t>
        </is>
      </c>
      <c r="M73" t="inlineStr"/>
      <c r="N73" t="inlineStr">
        <is>
          <t>Stage rule: Rule 3: campus ProjectStatus Planned. Campus-layer status: Planned; pending-case: n/a; ePortal: n/a.</t>
        </is>
      </c>
      <c r="O73" t="inlineStr">
        <is>
          <t>https://gisweb.pwcva.gov/arcgis/rest/services/Planning/Build_Out_Analysis/MapServer/10/89?f=html</t>
        </is>
      </c>
    </row>
    <row r="74">
      <c r="B74" t="inlineStr">
        <is>
          <t>Prince William</t>
        </is>
      </c>
      <c r="C74" t="inlineStr">
        <is>
          <t>Redstone Tech Park South</t>
        </is>
      </c>
      <c r="D74" t="inlineStr">
        <is>
          <t>Approved / Planned</t>
        </is>
      </c>
      <c r="E74" t="inlineStr">
        <is>
          <t>Approved/Planned</t>
        </is>
      </c>
      <c r="F74" t="inlineStr">
        <is>
          <t>Approved / Planned</t>
        </is>
      </c>
      <c r="G74" t="inlineStr">
        <is>
          <t>inferred (rule-derived stage from county layers)</t>
        </is>
      </c>
      <c r="H74" t="inlineStr">
        <is>
          <t>PLN2007-00406</t>
        </is>
      </c>
      <c r="I74" t="inlineStr">
        <is>
          <t>PLN2007-00406; REZ1998-0006</t>
        </is>
      </c>
      <c r="J74" t="inlineStr"/>
      <c r="K74" t="inlineStr">
        <is>
          <t>214, 215</t>
        </is>
      </c>
      <c r="L74" t="inlineStr">
        <is>
          <t>No: buildings on map</t>
        </is>
      </c>
      <c r="M74" t="inlineStr"/>
      <c r="N74" t="inlineStr">
        <is>
          <t>Stage rule: Rule 3: campus ProjectStatus Planned. Campus-layer status: Planned; pending-case: n/a; ePortal: n/a.</t>
        </is>
      </c>
      <c r="O74" t="inlineStr">
        <is>
          <t>https://gisweb.pwcva.gov/arcgis/rest/services/Planning/Build_Out_Analysis/MapServer/10/76?f=html</t>
        </is>
      </c>
    </row>
    <row r="75">
      <c r="B75" t="inlineStr">
        <is>
          <t>Prince William</t>
        </is>
      </c>
      <c r="C75" t="inlineStr">
        <is>
          <t>Redstone Tech. Park South (site plan SPR2026-00246)</t>
        </is>
      </c>
      <c r="D75" t="inlineStr">
        <is>
          <t>In Planning Office (site plan in review)</t>
        </is>
      </c>
      <c r="E75" t="inlineStr">
        <is>
          <t>Pending</t>
        </is>
      </c>
      <c r="F75" t="inlineStr">
        <is>
          <t>In Planning Office (site plan in review)</t>
        </is>
      </c>
      <c r="G75" t="inlineStr">
        <is>
          <t>inferred (rule-derived stage from county layers)</t>
        </is>
      </c>
      <c r="H75" t="inlineStr">
        <is>
          <t>SPR2026-00246</t>
        </is>
      </c>
      <c r="I75" t="inlineStr">
        <is>
          <t>SPR2026-00246</t>
        </is>
      </c>
      <c r="J75" t="inlineStr"/>
      <c r="K75" t="inlineStr"/>
      <c r="L75" t="inlineStr">
        <is>
          <t>No: no geometry</t>
        </is>
      </c>
      <c r="M75" t="inlineStr">
        <is>
          <t>Not in campus layer; acreage/GFA/district not in ePortal search fields (blank)</t>
        </is>
      </c>
      <c r="N75" t="inlineStr">
        <is>
          <t>Stage rule: Rule 5: ePortal site plan in review, no campus-layer match. Campus-layer status: n/a; pending-case: n/a; ePortal: SPR2026-00246: Pending.</t>
        </is>
      </c>
      <c r="O75" t="inlineStr">
        <is>
          <t>https://egcss.pwcgov.org/SelfService#/home</t>
        </is>
      </c>
    </row>
    <row r="76">
      <c r="B76" t="inlineStr">
        <is>
          <t>Prince William</t>
        </is>
      </c>
      <c r="C76" t="inlineStr">
        <is>
          <t>Rose East/West</t>
        </is>
      </c>
      <c r="D76" t="inlineStr">
        <is>
          <t>Approved / Planned</t>
        </is>
      </c>
      <c r="E76" t="inlineStr">
        <is>
          <t>Approved/Planned</t>
        </is>
      </c>
      <c r="F76" t="inlineStr">
        <is>
          <t>Approved / Planned</t>
        </is>
      </c>
      <c r="G76" t="inlineStr">
        <is>
          <t>inferred (rule-derived stage from county layers)</t>
        </is>
      </c>
      <c r="H76" t="inlineStr">
        <is>
          <t>PLN2004-00071</t>
        </is>
      </c>
      <c r="I76" t="inlineStr">
        <is>
          <t>PLN2004-00071</t>
        </is>
      </c>
      <c r="J76" t="inlineStr"/>
      <c r="K76" t="inlineStr">
        <is>
          <t>216, 217, 218</t>
        </is>
      </c>
      <c r="L76" t="inlineStr">
        <is>
          <t>No: buildings on map</t>
        </is>
      </c>
      <c r="M76" t="inlineStr"/>
      <c r="N76" t="inlineStr">
        <is>
          <t>Stage rule: Rule 3: campus ProjectStatus Planned. Campus-layer status: Planned; pending-case: n/a; ePortal: n/a.</t>
        </is>
      </c>
      <c r="O76" t="inlineStr">
        <is>
          <t>https://gisweb.pwcva.gov/arcgis/rest/services/Planning/Build_Out_Analysis/MapServer/10/66?f=html</t>
        </is>
      </c>
    </row>
    <row r="77">
      <c r="B77" t="inlineStr">
        <is>
          <t>Prince William</t>
        </is>
      </c>
      <c r="C77" t="inlineStr">
        <is>
          <t>Six Towers Industrial Park</t>
        </is>
      </c>
      <c r="D77" t="inlineStr">
        <is>
          <t>Pending / Under Review</t>
        </is>
      </c>
      <c r="E77" t="inlineStr">
        <is>
          <t>Pending</t>
        </is>
      </c>
      <c r="F77" t="inlineStr">
        <is>
          <t>Pending / Under Review</t>
        </is>
      </c>
      <c r="G77" t="inlineStr">
        <is>
          <t>inferred (rule-derived stage from county layers)</t>
        </is>
      </c>
      <c r="H77" t="inlineStr">
        <is>
          <t>REZ2026-00019</t>
        </is>
      </c>
      <c r="I77" t="inlineStr">
        <is>
          <t>REZ2026-00019; REZ2026-00017</t>
        </is>
      </c>
      <c r="J77" t="inlineStr"/>
      <c r="K77" t="inlineStr">
        <is>
          <t>219, 220</t>
        </is>
      </c>
      <c r="L77" t="inlineStr">
        <is>
          <t>No: buildings on map</t>
        </is>
      </c>
      <c r="M77" t="inlineStr"/>
      <c r="N77" t="inlineStr">
        <is>
          <t>Stage rule: Rule 4: campus ProjectStatus Pending + pending-case layer Under Review. Campus-layer status: Pending; pending-case: Under Review; ePortal: Under Review.</t>
        </is>
      </c>
      <c r="O77" t="inlineStr">
        <is>
          <t>https://gisweb.pwcva.gov/arcgis/rest/services/Planning/Build_Out_Analysis/MapServer/10/58?f=html</t>
        </is>
      </c>
    </row>
    <row r="78">
      <c r="B78" t="inlineStr">
        <is>
          <t>Prince William</t>
        </is>
      </c>
      <c r="C78" t="inlineStr">
        <is>
          <t>South Point Phase II</t>
        </is>
      </c>
      <c r="D78" t="inlineStr">
        <is>
          <t>Under Construction</t>
        </is>
      </c>
      <c r="E78" t="inlineStr">
        <is>
          <t>Under construction</t>
        </is>
      </c>
      <c r="F78" t="inlineStr">
        <is>
          <t>Under Construction</t>
        </is>
      </c>
      <c r="G78" t="inlineStr">
        <is>
          <t>inferred (rule-derived stage from county layers)</t>
        </is>
      </c>
      <c r="H78" t="inlineStr">
        <is>
          <t>REZ2020-00021</t>
        </is>
      </c>
      <c r="I78" t="inlineStr">
        <is>
          <t>REZ2020-00021</t>
        </is>
      </c>
      <c r="J78" t="inlineStr"/>
      <c r="K78" t="inlineStr">
        <is>
          <t>221, 222</t>
        </is>
      </c>
      <c r="L78" t="inlineStr">
        <is>
          <t>No: buildings on map</t>
        </is>
      </c>
      <c r="M78" t="inlineStr"/>
      <c r="N78" t="inlineStr">
        <is>
          <t>Stage rule: Rule 1: &gt;=1 building 'Under Construction' in layer 9. Campus-layer status: Planned; pending-case: n/a; ePortal: Approved.</t>
        </is>
      </c>
      <c r="O78" t="inlineStr">
        <is>
          <t>https://gisweb.pwcva.gov/arcgis/rest/services/Planning/Build_Out_Analysis/MapServer/10/13?f=html</t>
        </is>
      </c>
    </row>
    <row r="79">
      <c r="B79" t="inlineStr">
        <is>
          <t>Prince William</t>
        </is>
      </c>
      <c r="C79" t="inlineStr">
        <is>
          <t>Southgate South</t>
        </is>
      </c>
      <c r="D79" t="inlineStr">
        <is>
          <t>Pending / Under Review</t>
        </is>
      </c>
      <c r="E79" t="inlineStr">
        <is>
          <t>Pending</t>
        </is>
      </c>
      <c r="F79" t="inlineStr">
        <is>
          <t>Pending / Under Review</t>
        </is>
      </c>
      <c r="G79" t="inlineStr">
        <is>
          <t>inferred (rule-derived stage from county layers)</t>
        </is>
      </c>
      <c r="H79" t="inlineStr">
        <is>
          <t>REZ2026-00044</t>
        </is>
      </c>
      <c r="I79" t="inlineStr">
        <is>
          <t>REZ2026-00044; SUP2026-00035</t>
        </is>
      </c>
      <c r="J79" t="inlineStr"/>
      <c r="K79" t="inlineStr">
        <is>
          <t>223, 224, 225</t>
        </is>
      </c>
      <c r="L79" t="inlineStr">
        <is>
          <t>No: buildings on map</t>
        </is>
      </c>
      <c r="M79" t="inlineStr"/>
      <c r="N79" t="inlineStr">
        <is>
          <t>Stage rule: Rule 4: campus ProjectStatus Pending + pending-case layer Pending. Campus-layer status: Pending; pending-case: Pending; ePortal: Pending.</t>
        </is>
      </c>
      <c r="O79" t="inlineStr">
        <is>
          <t>https://gisweb.pwcva.gov/arcgis/rest/services/Planning/Build_Out_Analysis/MapServer/10/132?f=html</t>
        </is>
      </c>
    </row>
    <row r="80">
      <c r="B80" t="inlineStr">
        <is>
          <t>Prince William</t>
        </is>
      </c>
      <c r="C80" t="inlineStr">
        <is>
          <t>Stack Infrastructure NVA02 Manassas</t>
        </is>
      </c>
      <c r="D80" t="inlineStr">
        <is>
          <t>Under Construction</t>
        </is>
      </c>
      <c r="E80" t="inlineStr">
        <is>
          <t>Under construction</t>
        </is>
      </c>
      <c r="F80" t="inlineStr">
        <is>
          <t>Under Construction</t>
        </is>
      </c>
      <c r="G80" t="inlineStr">
        <is>
          <t>inferred (rule-derived stage from county layers)</t>
        </is>
      </c>
      <c r="H80" t="inlineStr">
        <is>
          <t>REZ2019-00028</t>
        </is>
      </c>
      <c r="I80" t="inlineStr">
        <is>
          <t>REZ2019-00028</t>
        </is>
      </c>
      <c r="J80" t="inlineStr"/>
      <c r="K80" t="inlineStr">
        <is>
          <t>226, 227, 228, 229, 230, 231, 232</t>
        </is>
      </c>
      <c r="L80" t="inlineStr">
        <is>
          <t>No: buildings on map</t>
        </is>
      </c>
      <c r="M80" t="inlineStr"/>
      <c r="N80" t="inlineStr">
        <is>
          <t>Stage rule: Rule 1: &gt;=1 building 'Under Construction' in layer 9. Campus-layer status: Planned; pending-case: n/a; ePortal: Approved.</t>
        </is>
      </c>
      <c r="O80" t="inlineStr">
        <is>
          <t>https://gisweb.pwcva.gov/arcgis/rest/services/Planning/Build_Out_Analysis/MapServer/10/47?f=html</t>
        </is>
      </c>
    </row>
    <row r="81">
      <c r="B81" t="inlineStr">
        <is>
          <t>Prince William</t>
        </is>
      </c>
      <c r="C81" t="inlineStr">
        <is>
          <t>Stack Infrastructure NVA02 YFT</t>
        </is>
      </c>
      <c r="D81" t="inlineStr">
        <is>
          <t>Under Construction</t>
        </is>
      </c>
      <c r="E81" t="inlineStr">
        <is>
          <t>Under construction</t>
        </is>
      </c>
      <c r="F81" t="inlineStr">
        <is>
          <t>Under Construction</t>
        </is>
      </c>
      <c r="G81" t="inlineStr">
        <is>
          <t>inferred (rule-derived stage from county layers)</t>
        </is>
      </c>
      <c r="H81" t="inlineStr">
        <is>
          <t>REZ2019-00034</t>
        </is>
      </c>
      <c r="I81" t="inlineStr">
        <is>
          <t>REZ2019-00034</t>
        </is>
      </c>
      <c r="J81" t="inlineStr"/>
      <c r="K81" t="inlineStr">
        <is>
          <t>233, 234, 235</t>
        </is>
      </c>
      <c r="L81" t="inlineStr">
        <is>
          <t>No: buildings on map</t>
        </is>
      </c>
      <c r="M81" t="inlineStr"/>
      <c r="N81" t="inlineStr">
        <is>
          <t>Stage rule: Rule 1: &gt;=1 building 'Under Construction' in layer 9. Campus-layer status: Planned; pending-case: n/a; ePortal: Approved.</t>
        </is>
      </c>
      <c r="O81" t="inlineStr">
        <is>
          <t>https://gisweb.pwcva.gov/arcgis/rest/services/Planning/Build_Out_Analysis/MapServer/10/46?f=html</t>
        </is>
      </c>
    </row>
    <row r="82">
      <c r="B82" t="inlineStr">
        <is>
          <t>Prince William</t>
        </is>
      </c>
      <c r="C82" t="inlineStr">
        <is>
          <t>Stack Northern Virginia NVA05</t>
        </is>
      </c>
      <c r="D82" t="inlineStr">
        <is>
          <t>Approved / Planned</t>
        </is>
      </c>
      <c r="E82" t="inlineStr">
        <is>
          <t>Approved/Planned</t>
        </is>
      </c>
      <c r="F82" t="inlineStr">
        <is>
          <t>Approved / Planned</t>
        </is>
      </c>
      <c r="G82" t="inlineStr">
        <is>
          <t>inferred (rule-derived stage from county layers)</t>
        </is>
      </c>
      <c r="H82" t="inlineStr">
        <is>
          <t>REZ2023-00026</t>
        </is>
      </c>
      <c r="I82" t="inlineStr">
        <is>
          <t>REZ2023-00026</t>
        </is>
      </c>
      <c r="J82" t="inlineStr"/>
      <c r="K82" t="inlineStr">
        <is>
          <t>236</t>
        </is>
      </c>
      <c r="L82" t="inlineStr">
        <is>
          <t>No: buildings on map</t>
        </is>
      </c>
      <c r="M82" t="inlineStr"/>
      <c r="N82" t="inlineStr">
        <is>
          <t>Stage rule: Rule 3: campus ProjectStatus Planned. Campus-layer status: Planned; pending-case: n/a; ePortal: Approved.</t>
        </is>
      </c>
      <c r="O82" t="inlineStr">
        <is>
          <t>https://gisweb.pwcva.gov/arcgis/rest/services/Planning/Build_Out_Analysis/MapServer/10/18?f=html</t>
        </is>
      </c>
    </row>
    <row r="83">
      <c r="B83" t="inlineStr">
        <is>
          <t>Prince William</t>
        </is>
      </c>
      <c r="C83" t="inlineStr">
        <is>
          <t>Sudley Manor Drive</t>
        </is>
      </c>
      <c r="D83" t="inlineStr">
        <is>
          <t>Pending / Under Review</t>
        </is>
      </c>
      <c r="E83" t="inlineStr">
        <is>
          <t>Pending</t>
        </is>
      </c>
      <c r="F83" t="inlineStr">
        <is>
          <t>Pending / Under Review</t>
        </is>
      </c>
      <c r="G83" t="inlineStr">
        <is>
          <t>inferred (rule-derived stage from county layers)</t>
        </is>
      </c>
      <c r="H83" t="inlineStr">
        <is>
          <t>REZ2026-00039</t>
        </is>
      </c>
      <c r="I83" t="inlineStr">
        <is>
          <t>REZ2026-00039; REZ2020-00010; REZ2025-00006</t>
        </is>
      </c>
      <c r="J83" t="inlineStr"/>
      <c r="K83" t="inlineStr">
        <is>
          <t>237</t>
        </is>
      </c>
      <c r="L83" t="inlineStr">
        <is>
          <t>No: buildings on map</t>
        </is>
      </c>
      <c r="M83" t="inlineStr"/>
      <c r="N83" t="inlineStr">
        <is>
          <t>Stage rule: Rule 4: campus ProjectStatus Pending + pending-case layer Pending. Campus-layer status: Pending; pending-case: Pending; ePortal: Pending.</t>
        </is>
      </c>
      <c r="O83" t="inlineStr">
        <is>
          <t>https://gisweb.pwcva.gov/arcgis/rest/services/Planning/Build_Out_Analysis/MapServer/10/112?f=html</t>
        </is>
      </c>
    </row>
    <row r="84">
      <c r="B84" t="inlineStr">
        <is>
          <t>Prince William</t>
        </is>
      </c>
      <c r="C84" t="inlineStr">
        <is>
          <t>Sudley Manor North</t>
        </is>
      </c>
      <c r="D84" t="inlineStr">
        <is>
          <t>Approved / Planned</t>
        </is>
      </c>
      <c r="E84" t="inlineStr">
        <is>
          <t>Approved/Planned</t>
        </is>
      </c>
      <c r="F84" t="inlineStr">
        <is>
          <t>Approved / Planned</t>
        </is>
      </c>
      <c r="G84" t="inlineStr">
        <is>
          <t>inferred (rule-derived stage from county layers)</t>
        </is>
      </c>
      <c r="H84" t="inlineStr">
        <is>
          <t>REZ2020-00010</t>
        </is>
      </c>
      <c r="I84" t="inlineStr">
        <is>
          <t>REZ2020-00010</t>
        </is>
      </c>
      <c r="J84" t="inlineStr"/>
      <c r="K84" t="inlineStr">
        <is>
          <t>238</t>
        </is>
      </c>
      <c r="L84" t="inlineStr">
        <is>
          <t>No: buildings on map</t>
        </is>
      </c>
      <c r="M84" t="inlineStr"/>
      <c r="N84" t="inlineStr">
        <is>
          <t>Stage rule: Rule 3: campus ProjectStatus Planned. Campus-layer status: Planned; pending-case: n/a; ePortal: Approved.</t>
        </is>
      </c>
      <c r="O84" t="inlineStr">
        <is>
          <t>https://gisweb.pwcva.gov/arcgis/rest/services/Planning/Build_Out_Analysis/MapServer/10/562?f=html</t>
        </is>
      </c>
    </row>
    <row r="85">
      <c r="B85" t="inlineStr">
        <is>
          <t>Prince William</t>
        </is>
      </c>
      <c r="C85" t="inlineStr">
        <is>
          <t>TPC Data Centers</t>
        </is>
      </c>
      <c r="D85" t="inlineStr">
        <is>
          <t>Completed</t>
        </is>
      </c>
      <c r="E85" t="inlineStr">
        <is>
          <t>Existing/Completed</t>
        </is>
      </c>
      <c r="F85" t="inlineStr">
        <is>
          <t>Completed</t>
        </is>
      </c>
      <c r="G85" t="inlineStr">
        <is>
          <t>inferred (rule-derived stage from county layers)</t>
        </is>
      </c>
      <c r="H85" t="inlineStr">
        <is>
          <t>REZ2024-00008</t>
        </is>
      </c>
      <c r="I85" t="inlineStr">
        <is>
          <t>REZ2024-00008</t>
        </is>
      </c>
      <c r="J85" t="inlineStr"/>
      <c r="K85" t="inlineStr">
        <is>
          <t>239</t>
        </is>
      </c>
      <c r="L85" t="inlineStr">
        <is>
          <t>No: buildings on map</t>
        </is>
      </c>
      <c r="M85" t="inlineStr"/>
      <c r="N85" t="inlineStr">
        <is>
          <t>Stage rule: Rule 2: campus ProjectStatus Completed. Campus-layer status: Completed; pending-case: n/a; ePortal: Approved.</t>
        </is>
      </c>
      <c r="O85" t="inlineStr">
        <is>
          <t>https://gisweb.pwcva.gov/arcgis/rest/services/Planning/Build_Out_Analysis/MapServer/10/19?f=html</t>
        </is>
      </c>
    </row>
    <row r="86">
      <c r="B86" t="inlineStr">
        <is>
          <t>Prince William</t>
        </is>
      </c>
      <c r="C86" t="inlineStr">
        <is>
          <t>University Business Park</t>
        </is>
      </c>
      <c r="D86" t="inlineStr">
        <is>
          <t>Pending / Under Review</t>
        </is>
      </c>
      <c r="E86" t="inlineStr">
        <is>
          <t>Pending</t>
        </is>
      </c>
      <c r="F86" t="inlineStr">
        <is>
          <t>Pending / Under Review</t>
        </is>
      </c>
      <c r="G86" t="inlineStr">
        <is>
          <t>inferred (rule-derived stage from county layers)</t>
        </is>
      </c>
      <c r="H86" t="inlineStr">
        <is>
          <t>REZ2023-00019</t>
        </is>
      </c>
      <c r="I86" t="inlineStr">
        <is>
          <t>REZ2023-00019; REZ1958-0021</t>
        </is>
      </c>
      <c r="J86" t="inlineStr"/>
      <c r="K86" t="inlineStr">
        <is>
          <t>240, 241</t>
        </is>
      </c>
      <c r="L86" t="inlineStr">
        <is>
          <t>No: buildings on map</t>
        </is>
      </c>
      <c r="M86" t="inlineStr"/>
      <c r="N86" t="inlineStr">
        <is>
          <t>Stage rule: Rule 4: campus ProjectStatus Pending + pending-case layer Pending. Campus-layer status: Pending; pending-case: Pending; ePortal: Pending.</t>
        </is>
      </c>
      <c r="O86" t="inlineStr">
        <is>
          <t>https://gisweb.pwcva.gov/arcgis/rest/services/Planning/Build_Out_Analysis/MapServer/10/9?f=html</t>
        </is>
      </c>
    </row>
    <row r="87">
      <c r="B87" t="inlineStr">
        <is>
          <t>Prince William</t>
        </is>
      </c>
      <c r="C87" t="inlineStr">
        <is>
          <t>Verizon Manassas 7777 Infantry Ridge</t>
        </is>
      </c>
      <c r="D87" t="inlineStr">
        <is>
          <t>Completed</t>
        </is>
      </c>
      <c r="E87" t="inlineStr">
        <is>
          <t>Existing/Completed</t>
        </is>
      </c>
      <c r="F87" t="inlineStr">
        <is>
          <t>Completed</t>
        </is>
      </c>
      <c r="G87" t="inlineStr">
        <is>
          <t>inferred (rule-derived stage from county layers)</t>
        </is>
      </c>
      <c r="H87" t="inlineStr">
        <is>
          <t>REZ1988-0030</t>
        </is>
      </c>
      <c r="I87" t="inlineStr">
        <is>
          <t>REZ1988-0030</t>
        </is>
      </c>
      <c r="J87" t="inlineStr"/>
      <c r="K87" t="inlineStr">
        <is>
          <t>242</t>
        </is>
      </c>
      <c r="L87" t="inlineStr">
        <is>
          <t>No: buildings on map</t>
        </is>
      </c>
      <c r="M87" t="inlineStr"/>
      <c r="N87" t="inlineStr">
        <is>
          <t>Stage rule: Rule 2: campus ProjectStatus Completed. Campus-layer status: Completed; pending-case: n/a; ePortal: n/a.</t>
        </is>
      </c>
      <c r="O87" t="inlineStr">
        <is>
          <t>https://gisweb.pwcva.gov/arcgis/rest/services/Planning/Build_Out_Analysis/MapServer/10/45?f=html</t>
        </is>
      </c>
    </row>
    <row r="88">
      <c r="B88" t="inlineStr">
        <is>
          <t>Prince William</t>
        </is>
      </c>
      <c r="C88" t="inlineStr">
        <is>
          <t>Wellington Glen Technology Park</t>
        </is>
      </c>
      <c r="D88" t="inlineStr">
        <is>
          <t>Approved / Planned</t>
        </is>
      </c>
      <c r="E88" t="inlineStr">
        <is>
          <t>Approved/Planned</t>
        </is>
      </c>
      <c r="F88" t="inlineStr">
        <is>
          <t>Approved / Planned</t>
        </is>
      </c>
      <c r="G88" t="inlineStr">
        <is>
          <t>inferred (rule-derived stage from county layers)</t>
        </is>
      </c>
      <c r="H88" t="inlineStr">
        <is>
          <t>REZ2024-00018</t>
        </is>
      </c>
      <c r="I88" t="inlineStr">
        <is>
          <t>REZ2024-00018</t>
        </is>
      </c>
      <c r="J88" t="inlineStr"/>
      <c r="K88" t="inlineStr">
        <is>
          <t>243</t>
        </is>
      </c>
      <c r="L88" t="inlineStr">
        <is>
          <t>No: buildings on map</t>
        </is>
      </c>
      <c r="M88" t="inlineStr"/>
      <c r="N88" t="inlineStr">
        <is>
          <t>Stage rule: Rule 3: campus ProjectStatus Planned. Campus-layer status: Planned; pending-case: n/a; ePortal: Approved.</t>
        </is>
      </c>
      <c r="O88" t="inlineStr">
        <is>
          <t>https://gisweb.pwcva.gov/arcgis/rest/services/Planning/Build_Out_Analysis/MapServer/10/20?f=html</t>
        </is>
      </c>
    </row>
    <row r="89">
      <c r="B89" t="inlineStr">
        <is>
          <t>Prince William</t>
        </is>
      </c>
      <c r="C89" t="inlineStr">
        <is>
          <t>Yondr Bristow</t>
        </is>
      </c>
      <c r="D89" t="inlineStr">
        <is>
          <t>Approved / Planned</t>
        </is>
      </c>
      <c r="E89" t="inlineStr">
        <is>
          <t>Approved/Planned</t>
        </is>
      </c>
      <c r="F89" t="inlineStr">
        <is>
          <t>Approved / Planned</t>
        </is>
      </c>
      <c r="G89" t="inlineStr">
        <is>
          <t>inferred (rule-derived stage from county layers)</t>
        </is>
      </c>
      <c r="H89" t="inlineStr">
        <is>
          <t>REZ2017-00023</t>
        </is>
      </c>
      <c r="I89" t="inlineStr">
        <is>
          <t>REZ2017-00023</t>
        </is>
      </c>
      <c r="J89" t="inlineStr"/>
      <c r="K89" t="inlineStr">
        <is>
          <t>244, 245, 246, 247</t>
        </is>
      </c>
      <c r="L89" t="inlineStr">
        <is>
          <t>No: buildings on map</t>
        </is>
      </c>
      <c r="M89" t="inlineStr">
        <is>
          <t>3 building(s) already Completed on this campus</t>
        </is>
      </c>
      <c r="N89" t="inlineStr">
        <is>
          <t>Stage rule: Rule 3: campus ProjectStatus Planned. Campus-layer status: Planned; pending-case: n/a; ePortal: Approved.</t>
        </is>
      </c>
      <c r="O89" t="inlineStr">
        <is>
          <t>https://gisweb.pwcva.gov/arcgis/rest/services/Planning/Build_Out_Analysis/MapServer/10/11?f=html</t>
        </is>
      </c>
    </row>
    <row r="90">
      <c r="A90" t="n">
        <v>471</v>
      </c>
      <c r="B90" t="inlineStr">
        <is>
          <t>Loudoun</t>
        </is>
      </c>
      <c r="C90" t="inlineStr">
        <is>
          <t>RACEFIELD SUBSTATION</t>
        </is>
      </c>
      <c r="D90" t="inlineStr">
        <is>
          <t>Zoning/legislative</t>
        </is>
      </c>
      <c r="E90" t="inlineStr">
        <is>
          <t>Approved/Planned</t>
        </is>
      </c>
      <c r="F90" t="inlineStr">
        <is>
          <t>Approved, not yet built (inferred)</t>
        </is>
      </c>
      <c r="G90" t="inlineStr">
        <is>
          <t>mixed (county application status stated; built/not-built inferred)</t>
        </is>
      </c>
      <c r="H90" t="inlineStr">
        <is>
          <t>CMPT-2022-0007</t>
        </is>
      </c>
      <c r="I90" t="inlineStr">
        <is>
          <t>CMPT-2022-0007 (Commission Permit, Approved)</t>
        </is>
      </c>
      <c r="J90" t="inlineStr">
        <is>
          <t>2023-12-13</t>
        </is>
      </c>
      <c r="K90" t="inlineStr"/>
      <c r="L90" t="inlineStr">
        <is>
          <t>Yes</t>
        </is>
      </c>
      <c r="M90" t="inlineStr">
        <is>
          <t>See LEGI-2023-0090 for all documents, timelines and workflow - RACEFIELD SUBSTATION : A Commission Permit for a Utility Substation to serve planned data center and an existing data center on property.</t>
        </is>
      </c>
      <c r="N90" t="inlineStr">
        <is>
          <t>County-stated status of application(s): Approved. Built/not-built is INFERRED: no mapped data center building lies within the application area.</t>
        </is>
      </c>
      <c r="O90" t="inlineStr">
        <is>
          <t>https://logis.loudoun.gov/gis/rest/services/Projects/LOLA_DATA/MapServer/0/query?where=PlanNumber%3D%27CMPT-2022-0007%27&amp;outFields=PlanNumber,PlanType,PlanStatus,PlanName,PlanApplicationDate,PlanDescription&amp;f=html</t>
        </is>
      </c>
      <c r="P90" t="n">
        <v>38.946135</v>
      </c>
      <c r="Q90" t="n">
        <v>-77.551782</v>
      </c>
    </row>
    <row r="91">
      <c r="A91" t="n">
        <v>472</v>
      </c>
      <c r="B91" t="inlineStr">
        <is>
          <t>Loudoun</t>
        </is>
      </c>
      <c r="C91" t="inlineStr">
        <is>
          <t>Loudoun Business Park</t>
        </is>
      </c>
      <c r="D91" t="inlineStr">
        <is>
          <t>Zoning/legislative</t>
        </is>
      </c>
      <c r="E91" t="inlineStr">
        <is>
          <t>Pending</t>
        </is>
      </c>
      <c r="F91" t="inlineStr">
        <is>
          <t>Pending application</t>
        </is>
      </c>
      <c r="G91" t="inlineStr">
        <is>
          <t>stated</t>
        </is>
      </c>
      <c r="H91" t="inlineStr">
        <is>
          <t>SPEX-2025-0061</t>
        </is>
      </c>
      <c r="I91" t="inlineStr">
        <is>
          <t>SPEX-2025-0061 (Special Exception, In Review); SPEX-2025-0097 (Special Exception, In Review); CMPT-2025-0008 (Commission Permit, In Review); LEGI-2025-0034 (Legislative Application, In Review); CMPT-2026-0010 (Commission Permit, In Review)</t>
        </is>
      </c>
      <c r="J91" t="inlineStr">
        <is>
          <t>2025-07-09</t>
        </is>
      </c>
      <c r="K91" t="inlineStr"/>
      <c r="L91" t="inlineStr">
        <is>
          <t>Yes</t>
        </is>
      </c>
      <c r="M91" t="inlineStr">
        <is>
          <t>LOUDOUN BUSINESS PARK CMPT-2026-0010: A Commission Permit to permit a public utility. CMPT-2025-0008: A Commission Permit to permit a public utility. SPEX-2025-0061: A Special Exception to permit a data center in the Industrial Park (IP) Zoning District. SPEX-2025-0072: A Special Exception to permit</t>
        </is>
      </c>
      <c r="N91" t="inlineStr">
        <is>
          <t>County-stated status of application(s): In Review.</t>
        </is>
      </c>
      <c r="O91" t="inlineStr">
        <is>
          <t>https://logis.loudoun.gov/gis/rest/services/Projects/LOLA_DATA/MapServer/0/query?where=PlanNumber%3D%27CMPT-2026-0010%27&amp;outFields=PlanNumber,PlanType,PlanStatus,PlanName,PlanApplicationDate,PlanDescription&amp;f=html</t>
        </is>
      </c>
      <c r="P91" t="n">
        <v>38.98152</v>
      </c>
      <c r="Q91" t="n">
        <v>-77.437802</v>
      </c>
    </row>
    <row r="92">
      <c r="A92" t="n">
        <v>473</v>
      </c>
      <c r="B92" t="inlineStr">
        <is>
          <t>Loudoun</t>
        </is>
      </c>
      <c r="C92" t="inlineStr">
        <is>
          <t>606 DATA CENTER</t>
        </is>
      </c>
      <c r="D92" t="inlineStr">
        <is>
          <t>Site/engineering plan</t>
        </is>
      </c>
      <c r="E92" t="inlineStr">
        <is>
          <t>Approved/Planned</t>
        </is>
      </c>
      <c r="F92" t="inlineStr">
        <is>
          <t>Approved entitlement; buildings already on site</t>
        </is>
      </c>
      <c r="G92" t="inlineStr">
        <is>
          <t>mixed (county application status stated; built/not-built inferred)</t>
        </is>
      </c>
      <c r="H92" t="inlineStr">
        <is>
          <t>CPAP-2018-0002</t>
        </is>
      </c>
      <c r="I92" t="inlineStr">
        <is>
          <t>CPAP-2018-0002 (Engineering Plan, Approved); CPAR-2018-0009 (Engineering Plan, Approved); CPAR-2018-0027 (Engineering Plan, Approved)</t>
        </is>
      </c>
      <c r="J92" t="inlineStr">
        <is>
          <t>2018-01-26</t>
        </is>
      </c>
      <c r="K92" t="inlineStr">
        <is>
          <t>381, 426</t>
        </is>
      </c>
      <c r="L92" t="inlineStr">
        <is>
          <t>Yes</t>
        </is>
      </c>
      <c r="M92" t="inlineStr">
        <is>
          <t>606 DATA CENTER : REQUEST APPROVAL OF CONSTRUCTION PLANS AND PROFILES REVISION (CPAR) TOPREVIOUSLY APPROVED CPAP-2018-0002 TO MODIFY ROUGH GRADING AND EROSIONAND SEDIMENT CONTROLS TO ACCOMMODATE FUTURE DEVELOPMENT, IN THE PLANNED DEVELOPMENT- GENERAL INDUSTRIAL (PDGI) ZONING DISTRICT. HV | Approved entitlement; data center building(s) already mapped on/adjacent to site</t>
        </is>
      </c>
      <c r="N92" t="inlineStr">
        <is>
          <t>County-stated status of application(s): Approved. Built/not-built is INFERRED: 2 data center building point(s) lie on/adjacent to the application area.</t>
        </is>
      </c>
      <c r="O92" t="inlineStr">
        <is>
          <t>https://logis.loudoun.gov/gis/rest/services/Projects/LOLA_DATA/MapServer/0/query?where=PlanNumber%3D%27CPAR-2018-0027%27&amp;outFields=PlanNumber,PlanType,PlanStatus,PlanName,PlanApplicationDate,PlanDescription&amp;f=html</t>
        </is>
      </c>
      <c r="P92" t="n">
        <v>38.958524</v>
      </c>
      <c r="Q92" t="n">
        <v>-77.505234</v>
      </c>
    </row>
    <row r="93">
      <c r="A93" t="n">
        <v>474</v>
      </c>
      <c r="B93" t="inlineStr">
        <is>
          <t>Loudoun</t>
        </is>
      </c>
      <c r="C93" t="inlineStr">
        <is>
          <t>AREP BEAUMEADE DATA CENTER</t>
        </is>
      </c>
      <c r="D93" t="inlineStr">
        <is>
          <t>Site/engineering plan</t>
        </is>
      </c>
      <c r="E93" t="inlineStr">
        <is>
          <t>Approved/Planned</t>
        </is>
      </c>
      <c r="F93" t="inlineStr">
        <is>
          <t>Approved entitlement; buildings already on site</t>
        </is>
      </c>
      <c r="G93" t="inlineStr">
        <is>
          <t>mixed (county application status stated; built/not-built inferred)</t>
        </is>
      </c>
      <c r="H93" t="inlineStr">
        <is>
          <t>CPAP-2021-0010</t>
        </is>
      </c>
      <c r="I93" t="inlineStr">
        <is>
          <t>CPAP-2021-0010 (Engineering Plan, Approved); STMP-2021-0006 (Engineering Plan, Approved); CPAR-2021-0022 (Engineering Plan, Approved); SPAM-2022-0033 (Engineering Plan, Approved); EPLAN-2025-0072 (Engineering Plan, Approved)</t>
        </is>
      </c>
      <c r="J93" t="inlineStr">
        <is>
          <t>2021-02-25</t>
        </is>
      </c>
      <c r="K93" t="inlineStr">
        <is>
          <t>425</t>
        </is>
      </c>
      <c r="L93" t="inlineStr">
        <is>
          <t>Yes</t>
        </is>
      </c>
      <c r="M93" t="inlineStr">
        <is>
          <t>AREP BEAUMEADE DATA CENTER - Revision to previously approved STMP-2021-0006 and SPAM-2022-0033 to add 19 parking spaces | Approved entitlement; data center building(s) already mapped on/adjacent to site</t>
        </is>
      </c>
      <c r="N93" t="inlineStr">
        <is>
          <t>County-stated status of application(s): Approved. Built/not-built is INFERRED: 1 data center building point(s) lie on/adjacent to the application area.</t>
        </is>
      </c>
      <c r="O93" t="inlineStr">
        <is>
          <t>https://logis.loudoun.gov/gis/rest/services/Projects/LOLA_DATA/MapServer/0/query?where=PlanNumber%3D%27EPLAN-2025-0072%27&amp;outFields=PlanNumber,PlanType,PlanStatus,PlanName,PlanApplicationDate,PlanDescription&amp;f=html</t>
        </is>
      </c>
      <c r="P93" t="n">
        <v>39.019644</v>
      </c>
      <c r="Q93" t="n">
        <v>-77.45032500000001</v>
      </c>
    </row>
    <row r="94">
      <c r="A94" t="n">
        <v>475</v>
      </c>
      <c r="B94" t="inlineStr">
        <is>
          <t>Loudoun</t>
        </is>
      </c>
      <c r="C94" t="inlineStr">
        <is>
          <t>INOVA Health System Phase 1</t>
        </is>
      </c>
      <c r="D94" t="inlineStr">
        <is>
          <t>Site/engineering plan</t>
        </is>
      </c>
      <c r="E94" t="inlineStr">
        <is>
          <t>Approved/Planned</t>
        </is>
      </c>
      <c r="F94" t="inlineStr">
        <is>
          <t>Approved, not yet built (inferred)</t>
        </is>
      </c>
      <c r="G94" t="inlineStr">
        <is>
          <t>mixed (county application status stated; built/not-built inferred)</t>
        </is>
      </c>
      <c r="H94" t="inlineStr">
        <is>
          <t>EPLAN-2023-0051</t>
        </is>
      </c>
      <c r="I94" t="inlineStr">
        <is>
          <t>EPLAN-2023-0051 (Engineering Plan, Approved)</t>
        </is>
      </c>
      <c r="J94" t="inlineStr">
        <is>
          <t>2023-08-21</t>
        </is>
      </c>
      <c r="K94" t="inlineStr"/>
      <c r="L94" t="inlineStr">
        <is>
          <t>Yes</t>
        </is>
      </c>
      <c r="M94" t="inlineStr">
        <is>
          <t>Proposed new data center layout and associated infrastructure</t>
        </is>
      </c>
      <c r="N94" t="inlineStr">
        <is>
          <t>County-stated status of application(s): Approved. Built/not-built is INFERRED: no mapped data center building lies within the application area.</t>
        </is>
      </c>
      <c r="O94" t="inlineStr">
        <is>
          <t>https://logis.loudoun.gov/gis/rest/services/Projects/LOLA_DATA/MapServer/0/query?where=PlanNumber%3D%27EPLAN-2023-0051%27&amp;outFields=PlanNumber,PlanType,PlanStatus,PlanName,PlanApplicationDate,PlanDescription&amp;f=html</t>
        </is>
      </c>
      <c r="P94" t="n">
        <v>39.117252</v>
      </c>
      <c r="Q94" t="n">
        <v>-77.578317</v>
      </c>
    </row>
    <row r="95">
      <c r="A95" t="n">
        <v>476</v>
      </c>
      <c r="B95" t="inlineStr">
        <is>
          <t>Loudoun</t>
        </is>
      </c>
      <c r="C95" t="inlineStr">
        <is>
          <t>H5 DATA CENTER</t>
        </is>
      </c>
      <c r="D95" t="inlineStr">
        <is>
          <t>Site/engineering plan</t>
        </is>
      </c>
      <c r="E95" t="inlineStr">
        <is>
          <t>Approved/Planned</t>
        </is>
      </c>
      <c r="F95" t="inlineStr">
        <is>
          <t>Approved entitlement; buildings already on site</t>
        </is>
      </c>
      <c r="G95" t="inlineStr">
        <is>
          <t>mixed (county application status stated; built/not-built inferred)</t>
        </is>
      </c>
      <c r="H95" t="inlineStr">
        <is>
          <t>STMP-2022-0022</t>
        </is>
      </c>
      <c r="I95" t="inlineStr">
        <is>
          <t>STMP-2022-0022 (Engineering Plan, Approved); EPLAN-2023-0078 (Engineering Plan, Approved)</t>
        </is>
      </c>
      <c r="J95" t="inlineStr">
        <is>
          <t>2022-10-26</t>
        </is>
      </c>
      <c r="K95" t="inlineStr">
        <is>
          <t>254</t>
        </is>
      </c>
      <c r="L95" t="inlineStr">
        <is>
          <t>Yes</t>
        </is>
      </c>
      <c r="M95" t="inlineStr">
        <is>
          <t>SPAM Application to revise the site layout, grading plan and utility plan to reflect design revisions. | Approved entitlement; data center building(s) already mapped on/adjacent to site</t>
        </is>
      </c>
      <c r="N95" t="inlineStr">
        <is>
          <t>County-stated status of application(s): Approved. Built/not-built is INFERRED: 1 data center building point(s) lie on/adjacent to the application area.</t>
        </is>
      </c>
      <c r="O95" t="inlineStr">
        <is>
          <t>https://logis.loudoun.gov/gis/rest/services/Projects/LOLA_DATA/MapServer/0/query?where=PlanNumber%3D%27EPLAN-2023-0078%27&amp;outFields=PlanNumber,PlanType,PlanStatus,PlanName,PlanApplicationDate,PlanDescription&amp;f=html</t>
        </is>
      </c>
      <c r="P95" t="n">
        <v>39.013705</v>
      </c>
      <c r="Q95" t="n">
        <v>-77.45165900000001</v>
      </c>
    </row>
    <row r="96">
      <c r="A96" t="n">
        <v>477</v>
      </c>
      <c r="B96" t="inlineStr">
        <is>
          <t>Loudoun</t>
        </is>
      </c>
      <c r="C96" t="inlineStr">
        <is>
          <t>Ashburn East Phase 1 &amp; 2</t>
        </is>
      </c>
      <c r="D96" t="inlineStr">
        <is>
          <t>Site/engineering plan</t>
        </is>
      </c>
      <c r="E96" t="inlineStr">
        <is>
          <t>Approved/Planned</t>
        </is>
      </c>
      <c r="F96" t="inlineStr">
        <is>
          <t>Approved, not yet built (inferred)</t>
        </is>
      </c>
      <c r="G96" t="inlineStr">
        <is>
          <t>mixed (county application status stated; built/not-built inferred)</t>
        </is>
      </c>
      <c r="H96" t="inlineStr">
        <is>
          <t>EPLAN-2023-0083</t>
        </is>
      </c>
      <c r="I96" t="inlineStr">
        <is>
          <t>EPLAN-2023-0083 (Engineering Plan, Approved)</t>
        </is>
      </c>
      <c r="J96" t="inlineStr">
        <is>
          <t>2023-09-25</t>
        </is>
      </c>
      <c r="K96" t="inlineStr"/>
      <c r="L96" t="inlineStr">
        <is>
          <t>Yes</t>
        </is>
      </c>
      <c r="M96" t="inlineStr">
        <is>
          <t xml:space="preserve">ASHBURN EAST PH 2: This is an STMP application, and it is a revision to the previously approved STMP-2018-0006 and subsequent SPAM application SPAM-2019-0057 (Ashburn East Phase 1 &amp; 2). The previously approved plans proposed two data center buildings along with associated site utilities, travelways </t>
        </is>
      </c>
      <c r="N96" t="inlineStr">
        <is>
          <t>County-stated status of application(s): Approved. Built/not-built is INFERRED: no mapped data center building lies within the application area.</t>
        </is>
      </c>
      <c r="O96" t="inlineStr">
        <is>
          <t>https://logis.loudoun.gov/gis/rest/services/Projects/LOLA_DATA/MapServer/0/query?where=PlanNumber%3D%27EPLAN-2023-0083%27&amp;outFields=PlanNumber,PlanType,PlanStatus,PlanName,PlanApplicationDate,PlanDescription&amp;f=html</t>
        </is>
      </c>
      <c r="P96" t="n">
        <v>39.117252</v>
      </c>
      <c r="Q96" t="n">
        <v>-77.578317</v>
      </c>
    </row>
    <row r="97">
      <c r="A97" t="n">
        <v>478</v>
      </c>
      <c r="B97" t="inlineStr">
        <is>
          <t>Loudoun</t>
        </is>
      </c>
      <c r="C97" t="inlineStr">
        <is>
          <t>1501 Moran Road - AS02</t>
        </is>
      </c>
      <c r="D97" t="inlineStr">
        <is>
          <t>Site/engineering plan</t>
        </is>
      </c>
      <c r="E97" t="inlineStr">
        <is>
          <t>Approved/Planned</t>
        </is>
      </c>
      <c r="F97" t="inlineStr">
        <is>
          <t>Approved, not yet built (inferred)</t>
        </is>
      </c>
      <c r="G97" t="inlineStr">
        <is>
          <t>mixed (county application status stated; built/not-built inferred)</t>
        </is>
      </c>
      <c r="H97" t="inlineStr">
        <is>
          <t>EPLAN-2023-0087</t>
        </is>
      </c>
      <c r="I97" t="inlineStr">
        <is>
          <t>EPLAN-2023-0087 (Engineering Plan, Approved)</t>
        </is>
      </c>
      <c r="J97" t="inlineStr">
        <is>
          <t>2023-09-29</t>
        </is>
      </c>
      <c r="K97" t="inlineStr"/>
      <c r="L97" t="inlineStr">
        <is>
          <t>Yes</t>
        </is>
      </c>
      <c r="M97" t="inlineStr">
        <is>
          <t>1501 MORAN ROAD - AS02: This plan proposes a data center with the associated utilities, roads, and parking. STPL</t>
        </is>
      </c>
      <c r="N97" t="inlineStr">
        <is>
          <t>County-stated status of application(s): Approved. Built/not-built is INFERRED: no mapped data center building lies within the application area.</t>
        </is>
      </c>
      <c r="O97" t="inlineStr">
        <is>
          <t>https://logis.loudoun.gov/gis/rest/services/Projects/LOLA_DATA/MapServer/0/query?where=PlanNumber%3D%27EPLAN-2023-0087%27&amp;outFields=PlanNumber,PlanType,PlanStatus,PlanName,PlanApplicationDate,PlanDescription&amp;f=html</t>
        </is>
      </c>
      <c r="P97" t="n">
        <v>38.99501</v>
      </c>
      <c r="Q97" t="n">
        <v>-77.446123</v>
      </c>
    </row>
    <row r="98">
      <c r="A98" t="n">
        <v>479</v>
      </c>
      <c r="B98" t="inlineStr">
        <is>
          <t>Loudoun</t>
        </is>
      </c>
      <c r="C98" t="inlineStr">
        <is>
          <t>Allegro North Campus - Building 2A</t>
        </is>
      </c>
      <c r="D98" t="inlineStr">
        <is>
          <t>Site/engineering plan</t>
        </is>
      </c>
      <c r="E98" t="inlineStr">
        <is>
          <t>Pending</t>
        </is>
      </c>
      <c r="F98" t="inlineStr">
        <is>
          <t>Pending application</t>
        </is>
      </c>
      <c r="G98" t="inlineStr">
        <is>
          <t>stated</t>
        </is>
      </c>
      <c r="H98" t="inlineStr">
        <is>
          <t>EPLAN-2023-0104</t>
        </is>
      </c>
      <c r="I98" t="inlineStr">
        <is>
          <t>EPLAN-2023-0104 (Engineering Plan, In Review)</t>
        </is>
      </c>
      <c r="J98" t="inlineStr">
        <is>
          <t>2023-10-27</t>
        </is>
      </c>
      <c r="K98" t="inlineStr"/>
      <c r="L98" t="inlineStr">
        <is>
          <t>Yes</t>
        </is>
      </c>
      <c r="M98" t="inlineStr">
        <is>
          <t>(Conditional Approval) (STPL) ALLEGRO NORTH CAMPUS - BLDG 2A: Data Center and support facilities.</t>
        </is>
      </c>
      <c r="N98" t="inlineStr">
        <is>
          <t>County-stated status of application(s): In Review.</t>
        </is>
      </c>
      <c r="O98" t="inlineStr">
        <is>
          <t>https://logis.loudoun.gov/gis/rest/services/Projects/LOLA_DATA/MapServer/0/query?where=PlanNumber%3D%27EPLAN-2023-0104%27&amp;outFields=PlanNumber,PlanType,PlanStatus,PlanName,PlanApplicationDate,PlanDescription&amp;f=html</t>
        </is>
      </c>
      <c r="P98" t="n">
        <v>38.954486</v>
      </c>
      <c r="Q98" t="n">
        <v>-77.548073</v>
      </c>
    </row>
    <row r="99">
      <c r="A99" t="n">
        <v>480</v>
      </c>
      <c r="B99" t="inlineStr">
        <is>
          <t>Loudoun</t>
        </is>
      </c>
      <c r="C99" t="inlineStr">
        <is>
          <t>Project Motion - Phase 3</t>
        </is>
      </c>
      <c r="D99" t="inlineStr">
        <is>
          <t>Site/engineering plan</t>
        </is>
      </c>
      <c r="E99" t="inlineStr">
        <is>
          <t>Approved/Planned</t>
        </is>
      </c>
      <c r="F99" t="inlineStr">
        <is>
          <t>Approved entitlement; buildings already on site</t>
        </is>
      </c>
      <c r="G99" t="inlineStr">
        <is>
          <t>mixed (county application status stated; built/not-built inferred)</t>
        </is>
      </c>
      <c r="H99" t="inlineStr">
        <is>
          <t>EPLAN-2023-0111</t>
        </is>
      </c>
      <c r="I99" t="inlineStr">
        <is>
          <t>EPLAN-2023-0111 (Engineering Plan, Approved)</t>
        </is>
      </c>
      <c r="J99" t="inlineStr">
        <is>
          <t>2023-11-09</t>
        </is>
      </c>
      <c r="K99" t="inlineStr">
        <is>
          <t>356, 412, 469</t>
        </is>
      </c>
      <c r="L99" t="inlineStr">
        <is>
          <t>Yes</t>
        </is>
      </c>
      <c r="M99" t="inlineStr">
        <is>
          <t>PROJECT MOTION PH 3: Site Plan (STMP) for Data Center and support facilities. | Approved entitlement; data center building(s) already mapped on/adjacent to site</t>
        </is>
      </c>
      <c r="N99" t="inlineStr">
        <is>
          <t>County-stated status of application(s): Approved. Built/not-built is INFERRED: 3 data center building point(s) lie on/adjacent to the application area.</t>
        </is>
      </c>
      <c r="O99" t="inlineStr">
        <is>
          <t>https://logis.loudoun.gov/gis/rest/services/Projects/LOLA_DATA/MapServer/0/query?where=PlanNumber%3D%27EPLAN-2023-0111%27&amp;outFields=PlanNumber,PlanType,PlanStatus,PlanName,PlanApplicationDate,PlanDescription&amp;f=html</t>
        </is>
      </c>
      <c r="P99" t="n">
        <v>38.94277</v>
      </c>
      <c r="Q99" t="n">
        <v>-77.528132</v>
      </c>
    </row>
    <row r="100">
      <c r="A100" t="n">
        <v>481</v>
      </c>
      <c r="B100" t="inlineStr">
        <is>
          <t>Loudoun</t>
        </is>
      </c>
      <c r="C100" t="inlineStr">
        <is>
          <t>JK TECHNOLOGY PARK #3</t>
        </is>
      </c>
      <c r="D100" t="inlineStr">
        <is>
          <t>Site/engineering plan</t>
        </is>
      </c>
      <c r="E100" t="inlineStr">
        <is>
          <t>Pending</t>
        </is>
      </c>
      <c r="F100" t="inlineStr">
        <is>
          <t>Pending application</t>
        </is>
      </c>
      <c r="G100" t="inlineStr">
        <is>
          <t>stated</t>
        </is>
      </c>
      <c r="H100" t="inlineStr">
        <is>
          <t>EPLAN-2023-0115</t>
        </is>
      </c>
      <c r="I100" t="inlineStr">
        <is>
          <t>EPLAN-2023-0115 (Engineering Plan, In Review)</t>
        </is>
      </c>
      <c r="J100" t="inlineStr">
        <is>
          <t>2023-11-20</t>
        </is>
      </c>
      <c r="K100" t="inlineStr"/>
      <c r="L100" t="inlineStr">
        <is>
          <t>Yes</t>
        </is>
      </c>
      <c r="M100" t="inlineStr">
        <is>
          <t>(Conditional Approval) JK TECHNOLOGY PARK #3: Proposed Data Center and associated infrastructure (STPL)</t>
        </is>
      </c>
      <c r="N100" t="inlineStr">
        <is>
          <t>County-stated status of application(s): In Review.</t>
        </is>
      </c>
      <c r="O100" t="inlineStr">
        <is>
          <t>https://logis.loudoun.gov/gis/rest/services/Projects/LOLA_DATA/MapServer/0/query?where=PlanNumber%3D%27EPLAN-2023-0115%27&amp;outFields=PlanNumber,PlanType,PlanStatus,PlanName,PlanApplicationDate,PlanDescription&amp;f=html</t>
        </is>
      </c>
      <c r="P100" t="n">
        <v>38.945754</v>
      </c>
      <c r="Q100" t="n">
        <v>-77.54097</v>
      </c>
    </row>
    <row r="101">
      <c r="A101" t="n">
        <v>482</v>
      </c>
      <c r="B101" t="inlineStr">
        <is>
          <t>Loudoun</t>
        </is>
      </c>
      <c r="C101" t="inlineStr">
        <is>
          <t>Pacific Corporate Park</t>
        </is>
      </c>
      <c r="D101" t="inlineStr">
        <is>
          <t>Site/engineering plan</t>
        </is>
      </c>
      <c r="E101" t="inlineStr">
        <is>
          <t>Approved/Planned</t>
        </is>
      </c>
      <c r="F101" t="inlineStr">
        <is>
          <t>Approved entitlement; buildings already on site</t>
        </is>
      </c>
      <c r="G101" t="inlineStr">
        <is>
          <t>mixed (county application status stated; built/not-built inferred)</t>
        </is>
      </c>
      <c r="H101" t="inlineStr">
        <is>
          <t>EPLAN-2023-0116</t>
        </is>
      </c>
      <c r="I101" t="inlineStr">
        <is>
          <t>EPLAN-2023-0116 (Engineering Plan, Approved)</t>
        </is>
      </c>
      <c r="J101" t="inlineStr">
        <is>
          <t>2023-11-20</t>
        </is>
      </c>
      <c r="K101" t="inlineStr">
        <is>
          <t>467, 468</t>
        </is>
      </c>
      <c r="L101" t="inlineStr">
        <is>
          <t>Yes</t>
        </is>
      </c>
      <c r="M101" t="inlineStr">
        <is>
          <t>Bluebeam ID 305-463-286, PACIFIC CORPORATE PARK: Fast track site plan for construction of 3 data center buildings and a distribution substation. Includes new buildings, travelways, parking, stormwater facilities, sanitary lines, water lines, shared use paths/ sidewalks, landscaping and lighting. | Approved entitlement; data center building(s) already mapped on/adjacent to site</t>
        </is>
      </c>
      <c r="N101" t="inlineStr">
        <is>
          <t>County-stated status of application(s): Approved. Built/not-built is INFERRED: 2 data center building point(s) lie on/adjacent to the application area.</t>
        </is>
      </c>
      <c r="O101" t="inlineStr">
        <is>
          <t>https://logis.loudoun.gov/gis/rest/services/Projects/LOLA_DATA/MapServer/0/query?where=PlanNumber%3D%27EPLAN-2023-0116%27&amp;outFields=PlanNumber,PlanType,PlanStatus,PlanName,PlanApplicationDate,PlanDescription&amp;f=html</t>
        </is>
      </c>
      <c r="P101" t="n">
        <v>39.004633</v>
      </c>
      <c r="Q101" t="n">
        <v>-77.4469</v>
      </c>
    </row>
    <row r="102">
      <c r="A102" t="n">
        <v>483</v>
      </c>
      <c r="B102" t="inlineStr">
        <is>
          <t>Loudoun</t>
        </is>
      </c>
      <c r="C102" t="inlineStr">
        <is>
          <t>JK Technology Park #2</t>
        </is>
      </c>
      <c r="D102" t="inlineStr">
        <is>
          <t>Site/engineering plan</t>
        </is>
      </c>
      <c r="E102" t="inlineStr">
        <is>
          <t>Pending</t>
        </is>
      </c>
      <c r="F102" t="inlineStr">
        <is>
          <t>Pending application</t>
        </is>
      </c>
      <c r="G102" t="inlineStr">
        <is>
          <t>stated</t>
        </is>
      </c>
      <c r="H102" t="inlineStr">
        <is>
          <t>EPLAN-2023-0122</t>
        </is>
      </c>
      <c r="I102" t="inlineStr">
        <is>
          <t>EPLAN-2023-0122 (Engineering Plan, In Review)</t>
        </is>
      </c>
      <c r="J102" t="inlineStr">
        <is>
          <t>2023-12-01</t>
        </is>
      </c>
      <c r="K102" t="inlineStr"/>
      <c r="L102" t="inlineStr">
        <is>
          <t>Yes</t>
        </is>
      </c>
      <c r="M102" t="inlineStr">
        <is>
          <t>JK Technology Park #2 - STPL for construction of two (2) data center buildings with associated infrastructure and relocation of pond proposed with future Dulles West Boulevard (designed with CRCP-2020-0012)</t>
        </is>
      </c>
      <c r="N102" t="inlineStr">
        <is>
          <t>County-stated status of application(s): In Review.</t>
        </is>
      </c>
      <c r="O102" t="inlineStr">
        <is>
          <t>https://logis.loudoun.gov/gis/rest/services/Projects/LOLA_DATA/MapServer/0/query?where=PlanNumber%3D%27EPLAN-2023-0122%27&amp;outFields=PlanNumber,PlanType,PlanStatus,PlanName,PlanApplicationDate,PlanDescription&amp;f=html</t>
        </is>
      </c>
      <c r="P102" t="n">
        <v>38.948364</v>
      </c>
      <c r="Q102" t="n">
        <v>-77.544206</v>
      </c>
    </row>
    <row r="103">
      <c r="A103" t="n">
        <v>484</v>
      </c>
      <c r="B103" t="inlineStr">
        <is>
          <t>Loudoun</t>
        </is>
      </c>
      <c r="C103" t="inlineStr">
        <is>
          <t>PROJECT ASPEN</t>
        </is>
      </c>
      <c r="D103" t="inlineStr">
        <is>
          <t>Site/engineering plan</t>
        </is>
      </c>
      <c r="E103" t="inlineStr">
        <is>
          <t>Approved/Planned</t>
        </is>
      </c>
      <c r="F103" t="inlineStr">
        <is>
          <t>Approved entitlement; buildings already on site</t>
        </is>
      </c>
      <c r="G103" t="inlineStr">
        <is>
          <t>mixed (county application status stated; built/not-built inferred)</t>
        </is>
      </c>
      <c r="H103" t="inlineStr">
        <is>
          <t>STMP-2020-0015</t>
        </is>
      </c>
      <c r="I103" t="inlineStr">
        <is>
          <t>STMP-2020-0015 (Engineering Plan, Approved); EPLAN-2023-0128 (Engineering Plan, Approved)</t>
        </is>
      </c>
      <c r="J103" t="inlineStr">
        <is>
          <t>2020-10-27</t>
        </is>
      </c>
      <c r="K103" t="inlineStr">
        <is>
          <t>365, 373, 374</t>
        </is>
      </c>
      <c r="L103" t="inlineStr">
        <is>
          <t>Yes</t>
        </is>
      </c>
      <c r="M103" t="inlineStr">
        <is>
          <t>PROJECT ASPEN: FAST TRACK Site Plan is for the Phase 3 extension of the existing Data Center complex with associated support facilities. | Approved entitlement; data center building(s) already mapped on/adjacent to site</t>
        </is>
      </c>
      <c r="N103" t="inlineStr">
        <is>
          <t>County-stated status of application(s): Approved. Built/not-built is INFERRED: 3 data center building point(s) lie on/adjacent to the application area.</t>
        </is>
      </c>
      <c r="O103" t="inlineStr">
        <is>
          <t>https://logis.loudoun.gov/gis/rest/services/Projects/LOLA_DATA/MapServer/0/query?where=PlanNumber%3D%27EPLAN-2023-0128%27&amp;outFields=PlanNumber,PlanType,PlanStatus,PlanName,PlanApplicationDate,PlanDescription&amp;f=html</t>
        </is>
      </c>
      <c r="P103" t="n">
        <v>39.05193</v>
      </c>
      <c r="Q103" t="n">
        <v>-77.536203</v>
      </c>
    </row>
    <row r="104">
      <c r="A104" t="n">
        <v>485</v>
      </c>
      <c r="B104" t="inlineStr">
        <is>
          <t>Loudoun</t>
        </is>
      </c>
      <c r="C104" t="inlineStr">
        <is>
          <t>Allegro North Campus - Building 2B-2E Site Plan</t>
        </is>
      </c>
      <c r="D104" t="inlineStr">
        <is>
          <t>Site/engineering plan</t>
        </is>
      </c>
      <c r="E104" t="inlineStr">
        <is>
          <t>Pending</t>
        </is>
      </c>
      <c r="F104" t="inlineStr">
        <is>
          <t>Pending application</t>
        </is>
      </c>
      <c r="G104" t="inlineStr">
        <is>
          <t>stated</t>
        </is>
      </c>
      <c r="H104" t="inlineStr">
        <is>
          <t>EPLAN-2023-0130</t>
        </is>
      </c>
      <c r="I104" t="inlineStr">
        <is>
          <t>EPLAN-2023-0130 (Engineering Plan, In Review)</t>
        </is>
      </c>
      <c r="J104" t="inlineStr">
        <is>
          <t>2023-12-08</t>
        </is>
      </c>
      <c r="K104" t="inlineStr"/>
      <c r="L104" t="inlineStr">
        <is>
          <t>Yes</t>
        </is>
      </c>
      <c r="M104" t="inlineStr">
        <is>
          <t>ALLEGRO NORTH CAMPUS - BLDG 2B-2E: The Site Plan is for Buildings 2B-2E of the North Campus of a data center complex with associated support facilities.</t>
        </is>
      </c>
      <c r="N104" t="inlineStr">
        <is>
          <t>County-stated status of application(s): In Review.</t>
        </is>
      </c>
      <c r="O104" t="inlineStr">
        <is>
          <t>https://logis.loudoun.gov/gis/rest/services/Projects/LOLA_DATA/MapServer/0/query?where=PlanNumber%3D%27EPLAN-2023-0130%27&amp;outFields=PlanNumber,PlanType,PlanStatus,PlanName,PlanApplicationDate,PlanDescription&amp;f=html</t>
        </is>
      </c>
      <c r="P104" t="n">
        <v>38.956039</v>
      </c>
      <c r="Q104" t="n">
        <v>-77.54574100000001</v>
      </c>
    </row>
    <row r="105">
      <c r="A105" t="n">
        <v>486</v>
      </c>
      <c r="B105" t="inlineStr">
        <is>
          <t>Loudoun</t>
        </is>
      </c>
      <c r="C105" t="inlineStr">
        <is>
          <t>Vantage VA16</t>
        </is>
      </c>
      <c r="D105" t="inlineStr">
        <is>
          <t>Site/engineering plan</t>
        </is>
      </c>
      <c r="E105" t="inlineStr">
        <is>
          <t>Approved/Planned</t>
        </is>
      </c>
      <c r="F105" t="inlineStr">
        <is>
          <t>Approved entitlement; buildings already on site</t>
        </is>
      </c>
      <c r="G105" t="inlineStr">
        <is>
          <t>mixed (county application status stated; built/not-built inferred)</t>
        </is>
      </c>
      <c r="H105" t="inlineStr">
        <is>
          <t>EPLAN-2023-0132</t>
        </is>
      </c>
      <c r="I105" t="inlineStr">
        <is>
          <t>EPLAN-2023-0132 (Engineering Plan, Approved)</t>
        </is>
      </c>
      <c r="J105" t="inlineStr">
        <is>
          <t>2023-12-08</t>
        </is>
      </c>
      <c r="K105" t="inlineStr">
        <is>
          <t>461</t>
        </is>
      </c>
      <c r="L105" t="inlineStr">
        <is>
          <t>Yes</t>
        </is>
      </c>
      <c r="M105" t="inlineStr">
        <is>
          <t>VANTAGE DATA CENTER (VA16): Fast Track Application for a proposed Data Center building and the associated infrastructure. | Approved entitlement; data center building(s) already mapped on/adjacent to site</t>
        </is>
      </c>
      <c r="N105" t="inlineStr">
        <is>
          <t>County-stated status of application(s): Approved. Built/not-built is INFERRED: 1 data center building point(s) lie on/adjacent to the application area.</t>
        </is>
      </c>
      <c r="O105" t="inlineStr">
        <is>
          <t>https://logis.loudoun.gov/gis/rest/services/Projects/LOLA_DATA/MapServer/0/query?where=PlanNumber%3D%27EPLAN-2023-0132%27&amp;outFields=PlanNumber,PlanType,PlanStatus,PlanName,PlanApplicationDate,PlanDescription&amp;f=html</t>
        </is>
      </c>
      <c r="P105" t="n">
        <v>38.998665</v>
      </c>
      <c r="Q105" t="n">
        <v>-77.44074000000001</v>
      </c>
    </row>
    <row r="106">
      <c r="A106" t="n">
        <v>487</v>
      </c>
      <c r="B106" t="inlineStr">
        <is>
          <t>Loudoun</t>
        </is>
      </c>
      <c r="C106" t="inlineStr">
        <is>
          <t>STACK ASHBURN DATA CENTER</t>
        </is>
      </c>
      <c r="D106" t="inlineStr">
        <is>
          <t>Site/engineering plan</t>
        </is>
      </c>
      <c r="E106" t="inlineStr">
        <is>
          <t>Approved/Planned</t>
        </is>
      </c>
      <c r="F106" t="inlineStr">
        <is>
          <t>Approved entitlement; buildings already on site</t>
        </is>
      </c>
      <c r="G106" t="inlineStr">
        <is>
          <t>mixed (county application status stated; built/not-built inferred)</t>
        </is>
      </c>
      <c r="H106" t="inlineStr">
        <is>
          <t>STPL-2020-0005</t>
        </is>
      </c>
      <c r="I106" t="inlineStr">
        <is>
          <t>STPL-2020-0005 (Engineering Plan, Approved); EPLAN-2023-0138 (Engineering Plan, Approved)</t>
        </is>
      </c>
      <c r="J106" t="inlineStr">
        <is>
          <t>2020-02-07</t>
        </is>
      </c>
      <c r="K106" t="inlineStr">
        <is>
          <t>277</t>
        </is>
      </c>
      <c r="L106" t="inlineStr">
        <is>
          <t>Yes</t>
        </is>
      </c>
      <c r="M106" t="inlineStr">
        <is>
          <t>STACK ASHBURN DATA CENTER (SPAM): This is a Site Plan Amendment to STPL-2020-0005 Stack Ashburn Data Center for the relocation of tree conservation landscaping necessitated by the proposed Loudoun Water Reclaim Water utility and easement line (processed separately with LW No. 20220117). | Approved entitlement; data center building(s) already mapped on/adjacent to site</t>
        </is>
      </c>
      <c r="N106" t="inlineStr">
        <is>
          <t>County-stated status of application(s): Approved. Built/not-built is INFERRED: 1 data center building point(s) lie on/adjacent to the application area.</t>
        </is>
      </c>
      <c r="O106" t="inlineStr">
        <is>
          <t>https://logis.loudoun.gov/gis/rest/services/Projects/LOLA_DATA/MapServer/0/query?where=PlanNumber%3D%27EPLAN-2023-0138%27&amp;outFields=PlanNumber,PlanType,PlanStatus,PlanName,PlanApplicationDate,PlanDescription&amp;f=html</t>
        </is>
      </c>
      <c r="P106" t="n">
        <v>39.004567</v>
      </c>
      <c r="Q106" t="n">
        <v>-77.441866</v>
      </c>
    </row>
    <row r="107">
      <c r="A107" t="n">
        <v>488</v>
      </c>
      <c r="B107" t="inlineStr">
        <is>
          <t>Loudoun</t>
        </is>
      </c>
      <c r="C107" t="inlineStr">
        <is>
          <t>Prologis - Erin's Run Drive</t>
        </is>
      </c>
      <c r="D107" t="inlineStr">
        <is>
          <t>Site/engineering plan</t>
        </is>
      </c>
      <c r="E107" t="inlineStr">
        <is>
          <t>Pending</t>
        </is>
      </c>
      <c r="F107" t="inlineStr">
        <is>
          <t>Pending application</t>
        </is>
      </c>
      <c r="G107" t="inlineStr">
        <is>
          <t>stated</t>
        </is>
      </c>
      <c r="H107" t="inlineStr">
        <is>
          <t>EPLAN-2024-0036</t>
        </is>
      </c>
      <c r="I107" t="inlineStr">
        <is>
          <t>EPLAN-2024-0036 (Engineering Plan, In Review)</t>
        </is>
      </c>
      <c r="J107" t="inlineStr">
        <is>
          <t>2024-04-02</t>
        </is>
      </c>
      <c r="K107" t="inlineStr"/>
      <c r="L107" t="inlineStr">
        <is>
          <t>Yes</t>
        </is>
      </c>
      <c r="M107" t="inlineStr">
        <is>
          <t>STPL- Proposed redevelopment of existing parking lot into 4 data center buildings with associated improvements</t>
        </is>
      </c>
      <c r="N107" t="inlineStr">
        <is>
          <t>County-stated status of application(s): In Review.</t>
        </is>
      </c>
      <c r="O107" t="inlineStr">
        <is>
          <t>https://logis.loudoun.gov/gis/rest/services/Projects/LOLA_DATA/MapServer/0/query?where=PlanNumber%3D%27EPLAN-2024-0036%27&amp;outFields=PlanNumber,PlanType,PlanStatus,PlanName,PlanApplicationDate,PlanDescription&amp;f=html</t>
        </is>
      </c>
      <c r="P107" t="n">
        <v>38.953331</v>
      </c>
      <c r="Q107" t="n">
        <v>-77.495565</v>
      </c>
    </row>
    <row r="108">
      <c r="A108" t="n">
        <v>489</v>
      </c>
      <c r="B108" t="inlineStr">
        <is>
          <t>Loudoun</t>
        </is>
      </c>
      <c r="C108" t="inlineStr">
        <is>
          <t>Thayer Rd</t>
        </is>
      </c>
      <c r="D108" t="inlineStr">
        <is>
          <t>Site/engineering plan</t>
        </is>
      </c>
      <c r="E108" t="inlineStr">
        <is>
          <t>Pending</t>
        </is>
      </c>
      <c r="F108" t="inlineStr">
        <is>
          <t>Pending application</t>
        </is>
      </c>
      <c r="G108" t="inlineStr">
        <is>
          <t>stated</t>
        </is>
      </c>
      <c r="H108" t="inlineStr">
        <is>
          <t>EPLAN-2024-0058</t>
        </is>
      </c>
      <c r="I108" t="inlineStr">
        <is>
          <t>EPLAN-2024-0058 (Engineering Plan, In Review)</t>
        </is>
      </c>
      <c r="J108" t="inlineStr">
        <is>
          <t>2024-05-08</t>
        </is>
      </c>
      <c r="K108" t="inlineStr"/>
      <c r="L108" t="inlineStr">
        <is>
          <t>Yes</t>
        </is>
      </c>
      <c r="M108" t="inlineStr">
        <is>
          <t>(Conditional Approval) Thayer Road - This project consists of a proposed 2-story data center with a road around it, utilities, and other associated infrastructure.</t>
        </is>
      </c>
      <c r="N108" t="inlineStr">
        <is>
          <t>County-stated status of application(s): In Review.</t>
        </is>
      </c>
      <c r="O108" t="inlineStr">
        <is>
          <t>https://logis.loudoun.gov/gis/rest/services/Projects/LOLA_DATA/MapServer/0/query?where=PlanNumber%3D%27EPLAN-2024-0058%27&amp;outFields=PlanNumber,PlanType,PlanStatus,PlanName,PlanApplicationDate,PlanDescription&amp;f=html</t>
        </is>
      </c>
      <c r="P108" t="n">
        <v>39.026675</v>
      </c>
      <c r="Q108" t="n">
        <v>-77.424053</v>
      </c>
    </row>
    <row r="109">
      <c r="A109" t="n">
        <v>490</v>
      </c>
      <c r="B109" t="inlineStr">
        <is>
          <t>Loudoun</t>
        </is>
      </c>
      <c r="C109" t="inlineStr">
        <is>
          <t>TUSCARORA CROSSING LANDBAY 7</t>
        </is>
      </c>
      <c r="D109" t="inlineStr">
        <is>
          <t>Site/engineering plan</t>
        </is>
      </c>
      <c r="E109" t="inlineStr">
        <is>
          <t>Approved/Planned</t>
        </is>
      </c>
      <c r="F109" t="inlineStr">
        <is>
          <t>Approved, not yet built (inferred)</t>
        </is>
      </c>
      <c r="G109" t="inlineStr">
        <is>
          <t>mixed (county application status stated; built/not-built inferred)</t>
        </is>
      </c>
      <c r="H109" t="inlineStr">
        <is>
          <t>EPLAN-2024-0059</t>
        </is>
      </c>
      <c r="I109" t="inlineStr">
        <is>
          <t>EPLAN-2024-0059 (Engineering Plan, Approved)</t>
        </is>
      </c>
      <c r="J109" t="inlineStr">
        <is>
          <t>2024-05-08</t>
        </is>
      </c>
      <c r="K109" t="inlineStr"/>
      <c r="L109" t="inlineStr">
        <is>
          <t>Yes</t>
        </is>
      </c>
      <c r="M109" t="inlineStr">
        <is>
          <t>TUSCARORA CROSSING LB 7: REQUEST APPROVAL OF A MODIFIED PROCESS SITE PLAN (STMP) FOR TWO DATA CENTER BUILDINGS in LB 7A and 7B - ZONED PD-IP</t>
        </is>
      </c>
      <c r="N109" t="inlineStr">
        <is>
          <t>County-stated status of application(s): Approved. Built/not-built is INFERRED: no mapped data center building lies within the application area.</t>
        </is>
      </c>
      <c r="O109" t="inlineStr">
        <is>
          <t>https://logis.loudoun.gov/gis/rest/services/Projects/LOLA_DATA/MapServer/0/query?where=PlanNumber%3D%27EPLAN-2024-0059%27&amp;outFields=PlanNumber,PlanType,PlanStatus,PlanName,PlanApplicationDate,PlanDescription&amp;f=html</t>
        </is>
      </c>
      <c r="P109" t="n">
        <v>39.084559</v>
      </c>
      <c r="Q109" t="n">
        <v>-77.52959799999999</v>
      </c>
    </row>
    <row r="110">
      <c r="A110" t="n">
        <v>491</v>
      </c>
      <c r="B110" t="inlineStr">
        <is>
          <t>Loudoun</t>
        </is>
      </c>
      <c r="C110" t="inlineStr">
        <is>
          <t>Digital Dulles Phase III</t>
        </is>
      </c>
      <c r="D110" t="inlineStr">
        <is>
          <t>Site/engineering plan</t>
        </is>
      </c>
      <c r="E110" t="inlineStr">
        <is>
          <t>Pending</t>
        </is>
      </c>
      <c r="F110" t="inlineStr">
        <is>
          <t>Pending application</t>
        </is>
      </c>
      <c r="G110" t="inlineStr">
        <is>
          <t>stated</t>
        </is>
      </c>
      <c r="H110" t="inlineStr">
        <is>
          <t>EPLAN-2024-0060</t>
        </is>
      </c>
      <c r="I110" t="inlineStr">
        <is>
          <t>EPLAN-2024-0060 (Engineering Plan, In Review)</t>
        </is>
      </c>
      <c r="J110" t="inlineStr">
        <is>
          <t>2024-05-08</t>
        </is>
      </c>
      <c r="K110" t="inlineStr">
        <is>
          <t>419, 420, 462, 463</t>
        </is>
      </c>
      <c r="L110" t="inlineStr">
        <is>
          <t>Yes</t>
        </is>
      </c>
      <c r="M110" t="inlineStr">
        <is>
          <t>DIGITAL DULLES BLDGS 1-4, 10, 12, 13 + SUBSTATION PADS: Proposed development of seven data center buildings with associated infrastructure.</t>
        </is>
      </c>
      <c r="N110" t="inlineStr">
        <is>
          <t>County-stated status of application(s): In Review.</t>
        </is>
      </c>
      <c r="O110" t="inlineStr">
        <is>
          <t>https://logis.loudoun.gov/gis/rest/services/Projects/LOLA_DATA/MapServer/0/query?where=PlanNumber%3D%27EPLAN-2024-0060%27&amp;outFields=PlanNumber,PlanType,PlanStatus,PlanName,PlanApplicationDate,PlanDescription&amp;f=html</t>
        </is>
      </c>
      <c r="P110" t="n">
        <v>38.95958</v>
      </c>
      <c r="Q110" t="n">
        <v>-77.48923000000001</v>
      </c>
    </row>
    <row r="111">
      <c r="A111" t="n">
        <v>492</v>
      </c>
      <c r="B111" t="inlineStr">
        <is>
          <t>Loudoun</t>
        </is>
      </c>
      <c r="C111" t="inlineStr">
        <is>
          <t>Digital Filigree</t>
        </is>
      </c>
      <c r="D111" t="inlineStr">
        <is>
          <t>Site/engineering plan</t>
        </is>
      </c>
      <c r="E111" t="inlineStr">
        <is>
          <t>Approved/Planned</t>
        </is>
      </c>
      <c r="F111" t="inlineStr">
        <is>
          <t>Approved, not yet built (inferred)</t>
        </is>
      </c>
      <c r="G111" t="inlineStr">
        <is>
          <t>mixed (county application status stated; built/not-built inferred)</t>
        </is>
      </c>
      <c r="H111" t="inlineStr">
        <is>
          <t>EPLAN-2024-0062</t>
        </is>
      </c>
      <c r="I111" t="inlineStr">
        <is>
          <t>EPLAN-2024-0062 (Engineering Plan, Approved)</t>
        </is>
      </c>
      <c r="J111" t="inlineStr">
        <is>
          <t>2024-05-13</t>
        </is>
      </c>
      <c r="K111" t="inlineStr"/>
      <c r="L111" t="inlineStr">
        <is>
          <t>Yes</t>
        </is>
      </c>
      <c r="M111" t="inlineStr">
        <is>
          <t>DIGITAL FILIGREE DATA CENTER: Modified Processing (Fast-Track) for proposed Data Center building, with improvements including but not limited to a proposed guard booth, proposed drives aisles, parking, utilities, SWM facilities, sanitary sewer lines, water lines, and landscaping.</t>
        </is>
      </c>
      <c r="N111" t="inlineStr">
        <is>
          <t>County-stated status of application(s): Approved. Built/not-built is INFERRED: no mapped data center building lies within the application area.</t>
        </is>
      </c>
      <c r="O111" t="inlineStr">
        <is>
          <t>https://logis.loudoun.gov/gis/rest/services/Projects/LOLA_DATA/MapServer/0/query?where=PlanNumber%3D%27EPLAN-2024-0062%27&amp;outFields=PlanNumber,PlanType,PlanStatus,PlanName,PlanApplicationDate,PlanDescription&amp;f=html</t>
        </is>
      </c>
      <c r="P111" t="n">
        <v>39.013941</v>
      </c>
      <c r="Q111" t="n">
        <v>-77.45649400000001</v>
      </c>
    </row>
    <row r="112">
      <c r="A112" t="n">
        <v>493</v>
      </c>
      <c r="B112" t="inlineStr">
        <is>
          <t>Loudoun</t>
        </is>
      </c>
      <c r="C112" t="inlineStr">
        <is>
          <t>Loudoun Center LC3 Data Center SPAM</t>
        </is>
      </c>
      <c r="D112" t="inlineStr">
        <is>
          <t>Site/engineering plan</t>
        </is>
      </c>
      <c r="E112" t="inlineStr">
        <is>
          <t>Approved/Planned</t>
        </is>
      </c>
      <c r="F112" t="inlineStr">
        <is>
          <t>Approved entitlement; buildings already on site</t>
        </is>
      </c>
      <c r="G112" t="inlineStr">
        <is>
          <t>mixed (county application status stated; built/not-built inferred)</t>
        </is>
      </c>
      <c r="H112" t="inlineStr">
        <is>
          <t>EPLAN-2024-0069</t>
        </is>
      </c>
      <c r="I112" t="inlineStr">
        <is>
          <t>EPLAN-2024-0069 (Engineering Plan, Approved)</t>
        </is>
      </c>
      <c r="J112" t="inlineStr">
        <is>
          <t>2024-05-31</t>
        </is>
      </c>
      <c r="K112" t="inlineStr">
        <is>
          <t>366, 424</t>
        </is>
      </c>
      <c r="L112" t="inlineStr">
        <is>
          <t>Yes</t>
        </is>
      </c>
      <c r="M112" t="inlineStr">
        <is>
          <t>LC3 DATA CENTER: THIS APPLICATION IS AN AMENDMENT TO STPL-2020-0044, TO ADD A PERIMETER SECURITY FENCE AND GUARD SHACK TO THE PREVIOUSLY APPROVED SITE PLAN. | Approved entitlement; data center building(s) already mapped on/adjacent to site</t>
        </is>
      </c>
      <c r="N112" t="inlineStr">
        <is>
          <t>County-stated status of application(s): Approved. Built/not-built is INFERRED: 2 data center building point(s) lie on/adjacent to the application area.</t>
        </is>
      </c>
      <c r="O112" t="inlineStr">
        <is>
          <t>https://logis.loudoun.gov/gis/rest/services/Projects/LOLA_DATA/MapServer/0/query?where=PlanNumber%3D%27EPLAN-2024-0069%27&amp;outFields=PlanNumber,PlanType,PlanStatus,PlanName,PlanApplicationDate,PlanDescription&amp;f=html</t>
        </is>
      </c>
      <c r="P112" t="n">
        <v>39.01196</v>
      </c>
      <c r="Q112" t="n">
        <v>-77.461759</v>
      </c>
    </row>
    <row r="113">
      <c r="A113" t="n">
        <v>494</v>
      </c>
      <c r="B113" t="inlineStr">
        <is>
          <t>Loudoun</t>
        </is>
      </c>
      <c r="C113" t="inlineStr">
        <is>
          <t>Ashburn Data Center</t>
        </is>
      </c>
      <c r="D113" t="inlineStr">
        <is>
          <t>Site/engineering plan</t>
        </is>
      </c>
      <c r="E113" t="inlineStr">
        <is>
          <t>Pending</t>
        </is>
      </c>
      <c r="F113" t="inlineStr">
        <is>
          <t>Pending application</t>
        </is>
      </c>
      <c r="G113" t="inlineStr">
        <is>
          <t>stated</t>
        </is>
      </c>
      <c r="H113" t="inlineStr">
        <is>
          <t>EPLAN-2024-0077</t>
        </is>
      </c>
      <c r="I113" t="inlineStr">
        <is>
          <t>EPLAN-2024-0077 (Engineering Plan, In Review)</t>
        </is>
      </c>
      <c r="J113" t="inlineStr">
        <is>
          <t>2024-06-17</t>
        </is>
      </c>
      <c r="K113" t="inlineStr"/>
      <c r="L113" t="inlineStr">
        <is>
          <t>Yes</t>
        </is>
      </c>
      <c r="M113" t="inlineStr">
        <is>
          <t>Site Plan for development of 3 Data Center Buildings</t>
        </is>
      </c>
      <c r="N113" t="inlineStr">
        <is>
          <t>County-stated status of application(s): In Review.</t>
        </is>
      </c>
      <c r="O113" t="inlineStr">
        <is>
          <t>https://logis.loudoun.gov/gis/rest/services/Projects/LOLA_DATA/MapServer/0/query?where=PlanNumber%3D%27EPLAN-2024-0077%27&amp;outFields=PlanNumber,PlanType,PlanStatus,PlanName,PlanApplicationDate,PlanDescription&amp;f=html</t>
        </is>
      </c>
      <c r="P113" t="n">
        <v>39.024051</v>
      </c>
      <c r="Q113" t="n">
        <v>-77.44653099999999</v>
      </c>
    </row>
    <row r="114">
      <c r="A114" t="n">
        <v>495</v>
      </c>
      <c r="B114" t="inlineStr">
        <is>
          <t>Loudoun</t>
        </is>
      </c>
      <c r="C114" t="inlineStr">
        <is>
          <t>Dulles Design</t>
        </is>
      </c>
      <c r="D114" t="inlineStr">
        <is>
          <t>Site/engineering plan</t>
        </is>
      </c>
      <c r="E114" t="inlineStr">
        <is>
          <t>Pending</t>
        </is>
      </c>
      <c r="F114" t="inlineStr">
        <is>
          <t>Pending application</t>
        </is>
      </c>
      <c r="G114" t="inlineStr">
        <is>
          <t>stated</t>
        </is>
      </c>
      <c r="H114" t="inlineStr">
        <is>
          <t>EPLAN-2024-0081</t>
        </is>
      </c>
      <c r="I114" t="inlineStr">
        <is>
          <t>EPLAN-2024-0081 (Engineering Plan, In Review)</t>
        </is>
      </c>
      <c r="J114" t="inlineStr">
        <is>
          <t>2024-06-20</t>
        </is>
      </c>
      <c r="K114" t="inlineStr"/>
      <c r="L114" t="inlineStr">
        <is>
          <t>Yes</t>
        </is>
      </c>
      <c r="M114" t="inlineStr">
        <is>
          <t>(Conditional Approval) DULLES DESIGN DATA CENTER: Proposed 2-Story Data Center (STPL)</t>
        </is>
      </c>
      <c r="N114" t="inlineStr">
        <is>
          <t>County-stated status of application(s): In Review.</t>
        </is>
      </c>
      <c r="O114" t="inlineStr">
        <is>
          <t>https://logis.loudoun.gov/gis/rest/services/Projects/LOLA_DATA/MapServer/0/query?where=PlanNumber%3D%27EPLAN-2024-0081%27&amp;outFields=PlanNumber,PlanType,PlanStatus,PlanName,PlanApplicationDate,PlanDescription&amp;f=html</t>
        </is>
      </c>
      <c r="P114" t="n">
        <v>39.019937</v>
      </c>
      <c r="Q114" t="n">
        <v>-77.42774199999999</v>
      </c>
    </row>
    <row r="115">
      <c r="A115" t="n">
        <v>496</v>
      </c>
      <c r="B115" t="inlineStr">
        <is>
          <t>Loudoun</t>
        </is>
      </c>
      <c r="C115" t="inlineStr">
        <is>
          <t>IAD03 Relocation Drive Phase II</t>
        </is>
      </c>
      <c r="D115" t="inlineStr">
        <is>
          <t>Site/engineering plan</t>
        </is>
      </c>
      <c r="E115" t="inlineStr">
        <is>
          <t>Approved/Planned</t>
        </is>
      </c>
      <c r="F115" t="inlineStr">
        <is>
          <t>Approved entitlement; buildings already on site</t>
        </is>
      </c>
      <c r="G115" t="inlineStr">
        <is>
          <t>mixed (county application status stated; built/not-built inferred)</t>
        </is>
      </c>
      <c r="H115" t="inlineStr">
        <is>
          <t>EPLAN-2024-0082</t>
        </is>
      </c>
      <c r="I115" t="inlineStr">
        <is>
          <t>EPLAN-2024-0082 (Engineering Plan, Approved)</t>
        </is>
      </c>
      <c r="J115" t="inlineStr">
        <is>
          <t>2024-06-21</t>
        </is>
      </c>
      <c r="K115" t="inlineStr">
        <is>
          <t>438</t>
        </is>
      </c>
      <c r="L115" t="inlineStr">
        <is>
          <t>Yes</t>
        </is>
      </c>
      <c r="M115" t="inlineStr">
        <is>
          <t>IAD03 Relocation Drive Phase II - Proposed Data Center building addition to add approximately 69k sf of GFA to the existing data center on the property. | Approved entitlement; data center building(s) already mapped on/adjacent to site</t>
        </is>
      </c>
      <c r="N115" t="inlineStr">
        <is>
          <t>County-stated status of application(s): Approved. Built/not-built is INFERRED: 1 data center building point(s) lie on/adjacent to the application area.</t>
        </is>
      </c>
      <c r="O115" t="inlineStr">
        <is>
          <t>https://logis.loudoun.gov/gis/rest/services/Projects/LOLA_DATA/MapServer/0/query?where=PlanNumber%3D%27EPLAN-2024-0082%27&amp;outFields=PlanNumber,PlanType,PlanStatus,PlanName,PlanApplicationDate,PlanDescription&amp;f=html</t>
        </is>
      </c>
      <c r="P115" t="n">
        <v>38.988456</v>
      </c>
      <c r="Q115" t="n">
        <v>-77.440907</v>
      </c>
    </row>
    <row r="116">
      <c r="A116" t="n">
        <v>497</v>
      </c>
      <c r="B116" t="inlineStr">
        <is>
          <t>Loudoun</t>
        </is>
      </c>
      <c r="C116" t="inlineStr">
        <is>
          <t>DULLES BERRY LC8 DATA CENTER</t>
        </is>
      </c>
      <c r="D116" t="inlineStr">
        <is>
          <t>Site/engineering plan</t>
        </is>
      </c>
      <c r="E116" t="inlineStr">
        <is>
          <t>Pending</t>
        </is>
      </c>
      <c r="F116" t="inlineStr">
        <is>
          <t>Pending application</t>
        </is>
      </c>
      <c r="G116" t="inlineStr">
        <is>
          <t>stated</t>
        </is>
      </c>
      <c r="H116" t="inlineStr">
        <is>
          <t>STMP-2022-0009</t>
        </is>
      </c>
      <c r="I116" t="inlineStr">
        <is>
          <t>STMP-2022-0009 (Engineering Plan, Approved); EPLAN-2024-0093 (Engineering Plan, Approved); EPLAN-2026-0014 (Engineering Plan, In Review)</t>
        </is>
      </c>
      <c r="J116" t="inlineStr">
        <is>
          <t>2022-06-22</t>
        </is>
      </c>
      <c r="K116" t="inlineStr">
        <is>
          <t>434</t>
        </is>
      </c>
      <c r="L116" t="inlineStr">
        <is>
          <t>Yes</t>
        </is>
      </c>
      <c r="M116" t="inlineStr">
        <is>
          <t>DULLES BERRY LC8 DATA CENTER - This application is for the revision to approved EPLAN-2024-0093 Dulles Berry LC8 Data Center. Revisions include a proposed retaining wall, revisions to the limits of disturbance, associated grading, and minor revisions to utilities and tree conservation areas.</t>
        </is>
      </c>
      <c r="N116" t="inlineStr">
        <is>
          <t>County-stated status of application(s): Approved, In Review.</t>
        </is>
      </c>
      <c r="O116" t="inlineStr">
        <is>
          <t>https://logis.loudoun.gov/gis/rest/services/Projects/LOLA_DATA/MapServer/0/query?where=PlanNumber%3D%27EPLAN-2026-0014%27&amp;outFields=PlanNumber,PlanType,PlanStatus,PlanName,PlanApplicationDate,PlanDescription&amp;f=html</t>
        </is>
      </c>
      <c r="P116" t="n">
        <v>39.001438</v>
      </c>
      <c r="Q116" t="n">
        <v>-77.46981100000001</v>
      </c>
    </row>
    <row r="117">
      <c r="A117" t="n">
        <v>498</v>
      </c>
      <c r="B117" t="inlineStr">
        <is>
          <t>Loudoun</t>
        </is>
      </c>
      <c r="C117" t="inlineStr">
        <is>
          <t>110 Terminal Drive Data Center</t>
        </is>
      </c>
      <c r="D117" t="inlineStr">
        <is>
          <t>Site/engineering plan</t>
        </is>
      </c>
      <c r="E117" t="inlineStr">
        <is>
          <t>Pending</t>
        </is>
      </c>
      <c r="F117" t="inlineStr">
        <is>
          <t>Pending application</t>
        </is>
      </c>
      <c r="G117" t="inlineStr">
        <is>
          <t>stated</t>
        </is>
      </c>
      <c r="H117" t="inlineStr">
        <is>
          <t>EPLAN-2024-0105</t>
        </is>
      </c>
      <c r="I117" t="inlineStr">
        <is>
          <t>EPLAN-2024-0105 (Engineering Plan, In Review)</t>
        </is>
      </c>
      <c r="J117" t="inlineStr">
        <is>
          <t>2024-08-01</t>
        </is>
      </c>
      <c r="K117" t="inlineStr"/>
      <c r="L117" t="inlineStr">
        <is>
          <t>Yes</t>
        </is>
      </c>
      <c r="M117" t="inlineStr">
        <is>
          <t>110 TERMINAL DRIVE DATA CENTER: Proposed Data Center and its associated infrastructure improvements.</t>
        </is>
      </c>
      <c r="N117" t="inlineStr">
        <is>
          <t>County-stated status of application(s): In Review.</t>
        </is>
      </c>
      <c r="O117" t="inlineStr">
        <is>
          <t>https://logis.loudoun.gov/gis/rest/services/Projects/LOLA_DATA/MapServer/0/query?where=PlanNumber%3D%27EPLAN-2024-0105%27&amp;outFields=PlanNumber,PlanType,PlanStatus,PlanName,PlanApplicationDate,PlanDescription&amp;f=html</t>
        </is>
      </c>
      <c r="P117" t="n">
        <v>38.985308</v>
      </c>
      <c r="Q117" t="n">
        <v>-77.418864</v>
      </c>
    </row>
    <row r="118">
      <c r="A118" t="n">
        <v>499</v>
      </c>
      <c r="B118" t="inlineStr">
        <is>
          <t>Loudoun</t>
        </is>
      </c>
      <c r="C118" t="inlineStr">
        <is>
          <t>Data Centers at Compass Creek</t>
        </is>
      </c>
      <c r="D118" t="inlineStr">
        <is>
          <t>Site/engineering plan</t>
        </is>
      </c>
      <c r="E118" t="inlineStr">
        <is>
          <t>Approved/Planned</t>
        </is>
      </c>
      <c r="F118" t="inlineStr">
        <is>
          <t>Approved, not yet built (inferred)</t>
        </is>
      </c>
      <c r="G118" t="inlineStr">
        <is>
          <t>mixed (county application status stated; built/not-built inferred)</t>
        </is>
      </c>
      <c r="H118" t="inlineStr">
        <is>
          <t>EPLAN-2024-0114</t>
        </is>
      </c>
      <c r="I118" t="inlineStr">
        <is>
          <t>EPLAN-2024-0114 (Engineering Plan, Approved)</t>
        </is>
      </c>
      <c r="J118" t="inlineStr">
        <is>
          <t>2024-08-14</t>
        </is>
      </c>
      <c r="K118" t="inlineStr"/>
      <c r="L118" t="inlineStr">
        <is>
          <t>Yes</t>
        </is>
      </c>
      <c r="M118" t="inlineStr">
        <is>
          <t>DATA CENTERS AT COMPASS CREEK: Site Plan Revision to STPL-2023-0004 (SPAM was not allowed due to SF changes)</t>
        </is>
      </c>
      <c r="N118" t="inlineStr">
        <is>
          <t>County-stated status of application(s): Approved. Built/not-built is INFERRED: no mapped data center building lies within the application area.</t>
        </is>
      </c>
      <c r="O118" t="inlineStr">
        <is>
          <t>https://logis.loudoun.gov/gis/rest/services/Projects/LOLA_DATA/MapServer/0/query?where=PlanNumber%3D%27EPLAN-2024-0114%27&amp;outFields=PlanNumber,PlanType,PlanStatus,PlanName,PlanApplicationDate,PlanDescription&amp;f=html</t>
        </is>
      </c>
      <c r="P118" t="n">
        <v>39.117252</v>
      </c>
      <c r="Q118" t="n">
        <v>-77.578317</v>
      </c>
    </row>
    <row r="119">
      <c r="A119" t="n">
        <v>500</v>
      </c>
      <c r="B119" t="inlineStr">
        <is>
          <t>Loudoun</t>
        </is>
      </c>
      <c r="C119" t="inlineStr">
        <is>
          <t>Site Plan Amendment for EPLAN-2023-0128</t>
        </is>
      </c>
      <c r="D119" t="inlineStr">
        <is>
          <t>Site/engineering plan</t>
        </is>
      </c>
      <c r="E119" t="inlineStr">
        <is>
          <t>Approved/Planned</t>
        </is>
      </c>
      <c r="F119" t="inlineStr">
        <is>
          <t>Approved entitlement; buildings already on site</t>
        </is>
      </c>
      <c r="G119" t="inlineStr">
        <is>
          <t>mixed (county application status stated; built/not-built inferred)</t>
        </is>
      </c>
      <c r="H119" t="inlineStr">
        <is>
          <t>EPLAN-2024-0139</t>
        </is>
      </c>
      <c r="I119" t="inlineStr">
        <is>
          <t>EPLAN-2024-0139 (Engineering Plan, Approved)</t>
        </is>
      </c>
      <c r="J119" t="inlineStr">
        <is>
          <t>2024-09-20</t>
        </is>
      </c>
      <c r="K119" t="inlineStr">
        <is>
          <t>365, 373, 374</t>
        </is>
      </c>
      <c r="L119" t="inlineStr">
        <is>
          <t>Yes</t>
        </is>
      </c>
      <c r="M119" t="inlineStr">
        <is>
          <t>PROJECT ASPEN SPAM: This is a revision to EPLAN-2023-0128 to adjust the Mechanical Yard (MYD) per new specifications provided by the Owner. The revision does not change the Data Center, Electrical Yard or any of the outer loop road. (SPAM) | Approved entitlement; data center building(s) already mapped on/adjacent to site</t>
        </is>
      </c>
      <c r="N119" t="inlineStr">
        <is>
          <t>County-stated status of application(s): Approved. Built/not-built is INFERRED: 3 data center building point(s) lie on/adjacent to the application area.</t>
        </is>
      </c>
      <c r="O119" t="inlineStr">
        <is>
          <t>https://logis.loudoun.gov/gis/rest/services/Projects/LOLA_DATA/MapServer/0/query?where=PlanNumber%3D%27EPLAN-2024-0139%27&amp;outFields=PlanNumber,PlanType,PlanStatus,PlanName,PlanApplicationDate,PlanDescription&amp;f=html</t>
        </is>
      </c>
      <c r="P119" t="n">
        <v>39.05193</v>
      </c>
      <c r="Q119" t="n">
        <v>-77.536203</v>
      </c>
    </row>
    <row r="120">
      <c r="A120" t="n">
        <v>501</v>
      </c>
      <c r="B120" t="inlineStr">
        <is>
          <t>Loudoun</t>
        </is>
      </c>
      <c r="C120" t="inlineStr">
        <is>
          <t>Dulles Electric Data Centers</t>
        </is>
      </c>
      <c r="D120" t="inlineStr">
        <is>
          <t>Site/engineering plan</t>
        </is>
      </c>
      <c r="E120" t="inlineStr">
        <is>
          <t>Pending</t>
        </is>
      </c>
      <c r="F120" t="inlineStr">
        <is>
          <t>Pending application</t>
        </is>
      </c>
      <c r="G120" t="inlineStr">
        <is>
          <t>stated</t>
        </is>
      </c>
      <c r="H120" t="inlineStr">
        <is>
          <t>EPLAN-2024-0154</t>
        </is>
      </c>
      <c r="I120" t="inlineStr">
        <is>
          <t>EPLAN-2024-0154 (Engineering Plan, In Review)</t>
        </is>
      </c>
      <c r="J120" t="inlineStr">
        <is>
          <t>2024-10-16</t>
        </is>
      </c>
      <c r="K120" t="inlineStr"/>
      <c r="L120" t="inlineStr">
        <is>
          <t>Yes</t>
        </is>
      </c>
      <c r="M120" t="inlineStr">
        <is>
          <t>(Conditionally Approved) DULLES ELECTRIC DATA CENTERS: Construction of two 2-story data center buildings and associated infrastructure.</t>
        </is>
      </c>
      <c r="N120" t="inlineStr">
        <is>
          <t>County-stated status of application(s): In Review.</t>
        </is>
      </c>
      <c r="O120" t="inlineStr">
        <is>
          <t>https://logis.loudoun.gov/gis/rest/services/Projects/LOLA_DATA/MapServer/0/query?where=PlanNumber%3D%27EPLAN-2024-0154%27&amp;outFields=PlanNumber,PlanType,PlanStatus,PlanName,PlanApplicationDate,PlanDescription&amp;f=html</t>
        </is>
      </c>
      <c r="P120" t="n">
        <v>38.99159</v>
      </c>
      <c r="Q120" t="n">
        <v>-77.427407</v>
      </c>
    </row>
    <row r="121">
      <c r="A121" t="n">
        <v>502</v>
      </c>
      <c r="B121" t="inlineStr">
        <is>
          <t>Loudoun</t>
        </is>
      </c>
      <c r="C121" t="inlineStr">
        <is>
          <t>Mercure Business Park Lot 22</t>
        </is>
      </c>
      <c r="D121" t="inlineStr">
        <is>
          <t>Site/engineering plan</t>
        </is>
      </c>
      <c r="E121" t="inlineStr">
        <is>
          <t>Pending</t>
        </is>
      </c>
      <c r="F121" t="inlineStr">
        <is>
          <t>Pending application</t>
        </is>
      </c>
      <c r="G121" t="inlineStr">
        <is>
          <t>stated</t>
        </is>
      </c>
      <c r="H121" t="inlineStr">
        <is>
          <t>EPLAN-2024-0161</t>
        </is>
      </c>
      <c r="I121" t="inlineStr">
        <is>
          <t>EPLAN-2024-0161 (Engineering Plan, In Review)</t>
        </is>
      </c>
      <c r="J121" t="inlineStr">
        <is>
          <t>2024-10-30</t>
        </is>
      </c>
      <c r="K121" t="inlineStr"/>
      <c r="L121" t="inlineStr">
        <is>
          <t>Yes</t>
        </is>
      </c>
      <c r="M121" t="inlineStr">
        <is>
          <t>MERCURE BUSINESS PARK LOT 22 - The purpose of this site plan amendment is to change the use of the existing building from flex warehouse to data center.</t>
        </is>
      </c>
      <c r="N121" t="inlineStr">
        <is>
          <t>County-stated status of application(s): In Review.</t>
        </is>
      </c>
      <c r="O121" t="inlineStr">
        <is>
          <t>https://logis.loudoun.gov/gis/rest/services/Projects/LOLA_DATA/MapServer/0/query?where=PlanNumber%3D%27EPLAN-2024-0161%27&amp;outFields=PlanNumber,PlanType,PlanStatus,PlanName,PlanApplicationDate,PlanDescription&amp;f=html</t>
        </is>
      </c>
      <c r="P121" t="n">
        <v>38.985782</v>
      </c>
      <c r="Q121" t="n">
        <v>-77.478256</v>
      </c>
    </row>
    <row r="122">
      <c r="A122" t="n">
        <v>503</v>
      </c>
      <c r="B122" t="inlineStr">
        <is>
          <t>Loudoun</t>
        </is>
      </c>
      <c r="C122" t="inlineStr">
        <is>
          <t>Mercure Business Park Lot 19 &amp; LOT 20</t>
        </is>
      </c>
      <c r="D122" t="inlineStr">
        <is>
          <t>Site/engineering plan</t>
        </is>
      </c>
      <c r="E122" t="inlineStr">
        <is>
          <t>Pending</t>
        </is>
      </c>
      <c r="F122" t="inlineStr">
        <is>
          <t>Pending application</t>
        </is>
      </c>
      <c r="G122" t="inlineStr">
        <is>
          <t>stated</t>
        </is>
      </c>
      <c r="H122" t="inlineStr">
        <is>
          <t>EPLAN-2024-0162</t>
        </is>
      </c>
      <c r="I122" t="inlineStr">
        <is>
          <t>EPLAN-2024-0162 (Engineering Plan, In Review)</t>
        </is>
      </c>
      <c r="J122" t="inlineStr">
        <is>
          <t>2024-10-30</t>
        </is>
      </c>
      <c r="K122" t="inlineStr"/>
      <c r="L122" t="inlineStr">
        <is>
          <t>Yes</t>
        </is>
      </c>
      <c r="M122" t="inlineStr">
        <is>
          <t>MERCURE BUSINESS PARK LOTS 19 AND 20 - The purpose of this site plan amendment is to change the use of the existing building from flex warehouse to data center.</t>
        </is>
      </c>
      <c r="N122" t="inlineStr">
        <is>
          <t>County-stated status of application(s): In Review.</t>
        </is>
      </c>
      <c r="O122" t="inlineStr">
        <is>
          <t>https://logis.loudoun.gov/gis/rest/services/Projects/LOLA_DATA/MapServer/0/query?where=PlanNumber%3D%27EPLAN-2024-0162%27&amp;outFields=PlanNumber,PlanType,PlanStatus,PlanName,PlanApplicationDate,PlanDescription&amp;f=html</t>
        </is>
      </c>
      <c r="P122" t="n">
        <v>38.982985</v>
      </c>
      <c r="Q122" t="n">
        <v>-77.47917099999999</v>
      </c>
    </row>
    <row r="123">
      <c r="A123" t="n">
        <v>504</v>
      </c>
      <c r="B123" t="inlineStr">
        <is>
          <t>Loudoun</t>
        </is>
      </c>
      <c r="C123" t="inlineStr">
        <is>
          <t>Clintmar</t>
        </is>
      </c>
      <c r="D123" t="inlineStr">
        <is>
          <t>Site/engineering plan</t>
        </is>
      </c>
      <c r="E123" t="inlineStr">
        <is>
          <t>Pending</t>
        </is>
      </c>
      <c r="F123" t="inlineStr">
        <is>
          <t>Pending application</t>
        </is>
      </c>
      <c r="G123" t="inlineStr">
        <is>
          <t>stated</t>
        </is>
      </c>
      <c r="H123" t="inlineStr">
        <is>
          <t>EPLAN-2024-0163</t>
        </is>
      </c>
      <c r="I123" t="inlineStr">
        <is>
          <t>EPLAN-2024-0163 (Engineering Plan, In Review)</t>
        </is>
      </c>
      <c r="J123" t="inlineStr">
        <is>
          <t>2024-11-01</t>
        </is>
      </c>
      <c r="K123" t="inlineStr"/>
      <c r="L123" t="inlineStr">
        <is>
          <t>Yes</t>
        </is>
      </c>
      <c r="M123" t="inlineStr">
        <is>
          <t>CLINTMAR DATA CENTERS: The development of vacant parcels to provide a 2-story Data Center with associated infrastructure and improvements. (Bluebeam Session# 640-079-749)</t>
        </is>
      </c>
      <c r="N123" t="inlineStr">
        <is>
          <t>County-stated status of application(s): In Review.</t>
        </is>
      </c>
      <c r="O123" t="inlineStr">
        <is>
          <t>https://logis.loudoun.gov/gis/rest/services/Projects/LOLA_DATA/MapServer/0/query?where=PlanNumber%3D%27EPLAN-2024-0163%27&amp;outFields=PlanNumber,PlanType,PlanStatus,PlanName,PlanApplicationDate,PlanDescription&amp;f=html</t>
        </is>
      </c>
      <c r="P123" t="n">
        <v>38.954173</v>
      </c>
      <c r="Q123" t="n">
        <v>-77.53397699999999</v>
      </c>
    </row>
    <row r="124">
      <c r="A124" t="n">
        <v>505</v>
      </c>
      <c r="B124" t="inlineStr">
        <is>
          <t>Loudoun</t>
        </is>
      </c>
      <c r="C124" t="inlineStr">
        <is>
          <t>22990 Indian Creek Drive</t>
        </is>
      </c>
      <c r="D124" t="inlineStr">
        <is>
          <t>Site/engineering plan</t>
        </is>
      </c>
      <c r="E124" t="inlineStr">
        <is>
          <t>Pending</t>
        </is>
      </c>
      <c r="F124" t="inlineStr">
        <is>
          <t>Pending application</t>
        </is>
      </c>
      <c r="G124" t="inlineStr">
        <is>
          <t>stated</t>
        </is>
      </c>
      <c r="H124" t="inlineStr">
        <is>
          <t>EPLAN-2024-0178</t>
        </is>
      </c>
      <c r="I124" t="inlineStr">
        <is>
          <t>EPLAN-2024-0178 (Engineering Plan, In Review)</t>
        </is>
      </c>
      <c r="J124" t="inlineStr">
        <is>
          <t>2024-11-11</t>
        </is>
      </c>
      <c r="K124" t="inlineStr"/>
      <c r="L124" t="inlineStr">
        <is>
          <t>Yes</t>
        </is>
      </c>
      <c r="M124" t="inlineStr">
        <is>
          <t>22990 INDIAN CREEK DR - The purpose of this site plan amendment is to change the use of the existing building from flex warehouse to data center.</t>
        </is>
      </c>
      <c r="N124" t="inlineStr">
        <is>
          <t>County-stated status of application(s): In Review.</t>
        </is>
      </c>
      <c r="O124" t="inlineStr">
        <is>
          <t>https://logis.loudoun.gov/gis/rest/services/Projects/LOLA_DATA/MapServer/0/query?where=PlanNumber%3D%27EPLAN-2024-0178%27&amp;outFields=PlanNumber,PlanType,PlanStatus,PlanName,PlanApplicationDate,PlanDescription&amp;f=html</t>
        </is>
      </c>
      <c r="P124" t="n">
        <v>38.981147</v>
      </c>
      <c r="Q124" t="n">
        <v>-77.43167699999999</v>
      </c>
    </row>
    <row r="125">
      <c r="A125" t="n">
        <v>506</v>
      </c>
      <c r="B125" t="inlineStr">
        <is>
          <t>Loudoun</t>
        </is>
      </c>
      <c r="C125" t="inlineStr">
        <is>
          <t>44122 Mercure Circle</t>
        </is>
      </c>
      <c r="D125" t="inlineStr">
        <is>
          <t>Site/engineering plan</t>
        </is>
      </c>
      <c r="E125" t="inlineStr">
        <is>
          <t>Pending</t>
        </is>
      </c>
      <c r="F125" t="inlineStr">
        <is>
          <t>Pending application</t>
        </is>
      </c>
      <c r="G125" t="inlineStr">
        <is>
          <t>stated</t>
        </is>
      </c>
      <c r="H125" t="inlineStr">
        <is>
          <t>EPLAN-2024-0180</t>
        </is>
      </c>
      <c r="I125" t="inlineStr">
        <is>
          <t>EPLAN-2024-0180 (Engineering Plan, In Review)</t>
        </is>
      </c>
      <c r="J125" t="inlineStr">
        <is>
          <t>2024-11-14</t>
        </is>
      </c>
      <c r="K125" t="inlineStr"/>
      <c r="L125" t="inlineStr">
        <is>
          <t>Yes</t>
        </is>
      </c>
      <c r="M125" t="inlineStr">
        <is>
          <t>MERCURE BUSINESS PARK LOT 4A1B - The purpose of this site plan is to change the use of the existing building from flex warehouse to data center.</t>
        </is>
      </c>
      <c r="N125" t="inlineStr">
        <is>
          <t>County-stated status of application(s): In Review.</t>
        </is>
      </c>
      <c r="O125" t="inlineStr">
        <is>
          <t>https://logis.loudoun.gov/gis/rest/services/Projects/LOLA_DATA/MapServer/0/query?where=PlanNumber%3D%27EPLAN-2024-0180%27&amp;outFields=PlanNumber,PlanType,PlanStatus,PlanName,PlanApplicationDate,PlanDescription&amp;f=html</t>
        </is>
      </c>
      <c r="P125" t="n">
        <v>38.984671</v>
      </c>
      <c r="Q125" t="n">
        <v>-77.482163</v>
      </c>
    </row>
    <row r="126">
      <c r="A126" t="n">
        <v>507</v>
      </c>
      <c r="B126" t="inlineStr">
        <is>
          <t>Loudoun</t>
        </is>
      </c>
      <c r="C126" t="inlineStr">
        <is>
          <t>44112 Mercure Circle</t>
        </is>
      </c>
      <c r="D126" t="inlineStr">
        <is>
          <t>Site/engineering plan</t>
        </is>
      </c>
      <c r="E126" t="inlineStr">
        <is>
          <t>Pending</t>
        </is>
      </c>
      <c r="F126" t="inlineStr">
        <is>
          <t>Pending application</t>
        </is>
      </c>
      <c r="G126" t="inlineStr">
        <is>
          <t>stated</t>
        </is>
      </c>
      <c r="H126" t="inlineStr">
        <is>
          <t>EPLAN-2024-0181</t>
        </is>
      </c>
      <c r="I126" t="inlineStr">
        <is>
          <t>EPLAN-2024-0181 (Engineering Plan, In Review)</t>
        </is>
      </c>
      <c r="J126" t="inlineStr">
        <is>
          <t>2024-11-14</t>
        </is>
      </c>
      <c r="K126" t="inlineStr"/>
      <c r="L126" t="inlineStr">
        <is>
          <t>Yes</t>
        </is>
      </c>
      <c r="M126" t="inlineStr">
        <is>
          <t>MERCURE BUSINESS PARK LOT 4A1A: The purpose of this site plan amendment is to change the use of the existing building from flex warehouse to data center.</t>
        </is>
      </c>
      <c r="N126" t="inlineStr">
        <is>
          <t>County-stated status of application(s): In Review.</t>
        </is>
      </c>
      <c r="O126" t="inlineStr">
        <is>
          <t>https://logis.loudoun.gov/gis/rest/services/Projects/LOLA_DATA/MapServer/0/query?where=PlanNumber%3D%27EPLAN-2024-0181%27&amp;outFields=PlanNumber,PlanType,PlanStatus,PlanName,PlanApplicationDate,PlanDescription&amp;f=html</t>
        </is>
      </c>
      <c r="P126" t="n">
        <v>38.983846</v>
      </c>
      <c r="Q126" t="n">
        <v>-77.48197999999999</v>
      </c>
    </row>
    <row r="127">
      <c r="A127" t="n">
        <v>508</v>
      </c>
      <c r="B127" t="inlineStr">
        <is>
          <t>Loudoun</t>
        </is>
      </c>
      <c r="C127" t="inlineStr">
        <is>
          <t>Farah-Naples Data Center Site Plan</t>
        </is>
      </c>
      <c r="D127" t="inlineStr">
        <is>
          <t>Site/engineering plan</t>
        </is>
      </c>
      <c r="E127" t="inlineStr">
        <is>
          <t>Pending</t>
        </is>
      </c>
      <c r="F127" t="inlineStr">
        <is>
          <t>Pending application</t>
        </is>
      </c>
      <c r="G127" t="inlineStr">
        <is>
          <t>stated</t>
        </is>
      </c>
      <c r="H127" t="inlineStr">
        <is>
          <t>EPLAN-2024-0184</t>
        </is>
      </c>
      <c r="I127" t="inlineStr">
        <is>
          <t>EPLAN-2024-0184 (Engineering Plan, In Review)</t>
        </is>
      </c>
      <c r="J127" t="inlineStr">
        <is>
          <t>2024-11-19</t>
        </is>
      </c>
      <c r="K127" t="inlineStr"/>
      <c r="L127" t="inlineStr">
        <is>
          <t>Yes</t>
        </is>
      </c>
      <c r="M127" t="inlineStr">
        <is>
          <t>This project proposes construction of an approximately 100,000 SF data center, parking lot and associated utilities to serve the building. The total disturbed area is 10.58 AC.</t>
        </is>
      </c>
      <c r="N127" t="inlineStr">
        <is>
          <t>County-stated status of application(s): In Review.</t>
        </is>
      </c>
      <c r="O127" t="inlineStr">
        <is>
          <t>https://logis.loudoun.gov/gis/rest/services/Projects/LOLA_DATA/MapServer/0/query?where=PlanNumber%3D%27EPLAN-2024-0184%27&amp;outFields=PlanNumber,PlanType,PlanStatus,PlanName,PlanApplicationDate,PlanDescription&amp;f=html</t>
        </is>
      </c>
      <c r="P127" t="n">
        <v>38.956844</v>
      </c>
      <c r="Q127" t="n">
        <v>-77.51367</v>
      </c>
    </row>
    <row r="128">
      <c r="A128" t="n">
        <v>509</v>
      </c>
      <c r="B128" t="inlineStr">
        <is>
          <t>Loudoun</t>
        </is>
      </c>
      <c r="C128" t="inlineStr">
        <is>
          <t>NTT VA6 AND VA7 SITE PLAN AMENDMENT 2024</t>
        </is>
      </c>
      <c r="D128" t="inlineStr">
        <is>
          <t>Site/engineering plan</t>
        </is>
      </c>
      <c r="E128" t="inlineStr">
        <is>
          <t>Approved/Planned</t>
        </is>
      </c>
      <c r="F128" t="inlineStr">
        <is>
          <t>Approved, not yet built (inferred)</t>
        </is>
      </c>
      <c r="G128" t="inlineStr">
        <is>
          <t>mixed (county application status stated; built/not-built inferred)</t>
        </is>
      </c>
      <c r="H128" t="inlineStr">
        <is>
          <t>EPLAN-2024-0188</t>
        </is>
      </c>
      <c r="I128" t="inlineStr">
        <is>
          <t>EPLAN-2024-0188 (Engineering Plan, Approved)</t>
        </is>
      </c>
      <c r="J128" t="inlineStr">
        <is>
          <t>2024-11-21</t>
        </is>
      </c>
      <c r="K128" t="inlineStr"/>
      <c r="L128" t="inlineStr">
        <is>
          <t>Yes</t>
        </is>
      </c>
      <c r="M128" t="inlineStr">
        <is>
          <t>NTT VA7 DATA CENTER: SPAM of STMP-2021-0005 to revise Bldg VA7 to the new prototype.</t>
        </is>
      </c>
      <c r="N128" t="inlineStr">
        <is>
          <t>County-stated status of application(s): Approved. Built/not-built is INFERRED: no mapped data center building lies within the application area.</t>
        </is>
      </c>
      <c r="O128" t="inlineStr">
        <is>
          <t>https://logis.loudoun.gov/gis/rest/services/Projects/LOLA_DATA/MapServer/0/query?where=PlanNumber%3D%27EPLAN-2024-0188%27&amp;outFields=PlanNumber,PlanType,PlanStatus,PlanName,PlanApplicationDate,PlanDescription&amp;f=html</t>
        </is>
      </c>
      <c r="P128" t="n">
        <v>39.117252</v>
      </c>
      <c r="Q128" t="n">
        <v>-77.578317</v>
      </c>
    </row>
    <row r="129">
      <c r="A129" t="n">
        <v>510</v>
      </c>
      <c r="B129" t="inlineStr">
        <is>
          <t>Loudoun</t>
        </is>
      </c>
      <c r="C129" t="inlineStr">
        <is>
          <t>ParagonPark III Technology Park</t>
        </is>
      </c>
      <c r="D129" t="inlineStr">
        <is>
          <t>Site/engineering plan</t>
        </is>
      </c>
      <c r="E129" t="inlineStr">
        <is>
          <t>Pending</t>
        </is>
      </c>
      <c r="F129" t="inlineStr">
        <is>
          <t>Pending application</t>
        </is>
      </c>
      <c r="G129" t="inlineStr">
        <is>
          <t>stated</t>
        </is>
      </c>
      <c r="H129" t="inlineStr">
        <is>
          <t>EPLAN-2024-0200</t>
        </is>
      </c>
      <c r="I129" t="inlineStr">
        <is>
          <t>EPLAN-2024-0200 (Engineering Plan, In Review)</t>
        </is>
      </c>
      <c r="J129" t="inlineStr">
        <is>
          <t>2024-12-11</t>
        </is>
      </c>
      <c r="K129" t="inlineStr"/>
      <c r="L129" t="inlineStr">
        <is>
          <t>Yes</t>
        </is>
      </c>
      <c r="M129" t="inlineStr">
        <is>
          <t>PARAGON PARK III TECH PARK: STPL for two Data Centers building, ROW dedication for right turn lane off Pacific Blvd, parking, SWM/BMP, public water and sanitary sewer lines, and landscaping.</t>
        </is>
      </c>
      <c r="N129" t="inlineStr">
        <is>
          <t>County-stated status of application(s): In Review.</t>
        </is>
      </c>
      <c r="O129" t="inlineStr">
        <is>
          <t>https://logis.loudoun.gov/gis/rest/services/Projects/LOLA_DATA/MapServer/0/query?where=PlanNumber%3D%27EPLAN-2024-0200%27&amp;outFields=PlanNumber,PlanType,PlanStatus,PlanName,PlanApplicationDate,PlanDescription&amp;f=html</t>
        </is>
      </c>
      <c r="P129" t="n">
        <v>39.117252</v>
      </c>
      <c r="Q129" t="n">
        <v>-77.578317</v>
      </c>
    </row>
    <row r="130">
      <c r="A130" t="n">
        <v>511</v>
      </c>
      <c r="B130" t="inlineStr">
        <is>
          <t>Loudoun</t>
        </is>
      </c>
      <c r="C130" t="inlineStr">
        <is>
          <t>Tech Park at Dulles</t>
        </is>
      </c>
      <c r="D130" t="inlineStr">
        <is>
          <t>Site/engineering plan</t>
        </is>
      </c>
      <c r="E130" t="inlineStr">
        <is>
          <t>Pending</t>
        </is>
      </c>
      <c r="F130" t="inlineStr">
        <is>
          <t>Pending application</t>
        </is>
      </c>
      <c r="G130" t="inlineStr">
        <is>
          <t>stated</t>
        </is>
      </c>
      <c r="H130" t="inlineStr">
        <is>
          <t>EPLAN-2024-0205</t>
        </is>
      </c>
      <c r="I130" t="inlineStr">
        <is>
          <t>EPLAN-2024-0205 (Engineering Plan, In Review)</t>
        </is>
      </c>
      <c r="J130" t="inlineStr">
        <is>
          <t>2024-12-20</t>
        </is>
      </c>
      <c r="K130" t="inlineStr"/>
      <c r="L130" t="inlineStr">
        <is>
          <t>Yes</t>
        </is>
      </c>
      <c r="M130" t="inlineStr">
        <is>
          <t>Site plan for the construction of 3 Data Center buildings, a warehouse building, and associated infrastructure</t>
        </is>
      </c>
      <c r="N130" t="inlineStr">
        <is>
          <t>County-stated status of application(s): In Review.</t>
        </is>
      </c>
      <c r="O130" t="inlineStr">
        <is>
          <t>https://logis.loudoun.gov/gis/rest/services/Projects/LOLA_DATA/MapServer/0/query?where=PlanNumber%3D%27EPLAN-2024-0205%27&amp;outFields=PlanNumber,PlanType,PlanStatus,PlanName,PlanApplicationDate,PlanDescription&amp;f=html</t>
        </is>
      </c>
      <c r="P130" t="n">
        <v>38.953331</v>
      </c>
      <c r="Q130" t="n">
        <v>-77.50018799999999</v>
      </c>
    </row>
    <row r="131">
      <c r="A131" t="n">
        <v>512</v>
      </c>
      <c r="B131" t="inlineStr">
        <is>
          <t>Loudoun</t>
        </is>
      </c>
      <c r="C131" t="inlineStr">
        <is>
          <t>Compass Creek Section 4</t>
        </is>
      </c>
      <c r="D131" t="inlineStr">
        <is>
          <t>Site/engineering plan</t>
        </is>
      </c>
      <c r="E131" t="inlineStr">
        <is>
          <t>Approved/Planned</t>
        </is>
      </c>
      <c r="F131" t="inlineStr">
        <is>
          <t>Approved, not yet built (inferred)</t>
        </is>
      </c>
      <c r="G131" t="inlineStr">
        <is>
          <t>mixed (county application status stated; built/not-built inferred)</t>
        </is>
      </c>
      <c r="H131" t="inlineStr">
        <is>
          <t>EPLAN-2024-0207</t>
        </is>
      </c>
      <c r="I131" t="inlineStr">
        <is>
          <t>EPLAN-2024-0207 (Engineering Plan, Approved)</t>
        </is>
      </c>
      <c r="J131" t="inlineStr">
        <is>
          <t>2024-12-23</t>
        </is>
      </c>
      <c r="K131" t="inlineStr"/>
      <c r="L131" t="inlineStr">
        <is>
          <t>Yes</t>
        </is>
      </c>
      <c r="M131" t="inlineStr">
        <is>
          <t>DATA CENTERS @ COMPASS CREEK SPAM: Site Plan Amendment to existing EPLAN-2024-0114</t>
        </is>
      </c>
      <c r="N131" t="inlineStr">
        <is>
          <t>County-stated status of application(s): Approved. Built/not-built is INFERRED: no mapped data center building lies within the application area.</t>
        </is>
      </c>
      <c r="O131" t="inlineStr">
        <is>
          <t>https://logis.loudoun.gov/gis/rest/services/Projects/LOLA_DATA/MapServer/0/query?where=PlanNumber%3D%27EPLAN-2024-0207%27&amp;outFields=PlanNumber,PlanType,PlanStatus,PlanName,PlanApplicationDate,PlanDescription&amp;f=html</t>
        </is>
      </c>
      <c r="P131" t="n">
        <v>39.117252</v>
      </c>
      <c r="Q131" t="n">
        <v>-77.578317</v>
      </c>
    </row>
    <row r="132">
      <c r="A132" t="n">
        <v>513</v>
      </c>
      <c r="B132" t="inlineStr">
        <is>
          <t>Loudoun</t>
        </is>
      </c>
      <c r="C132" t="inlineStr">
        <is>
          <t>Samuels Mill Assemblage</t>
        </is>
      </c>
      <c r="D132" t="inlineStr">
        <is>
          <t>Site/engineering plan</t>
        </is>
      </c>
      <c r="E132" t="inlineStr">
        <is>
          <t>Pending</t>
        </is>
      </c>
      <c r="F132" t="inlineStr">
        <is>
          <t>Pending application</t>
        </is>
      </c>
      <c r="G132" t="inlineStr">
        <is>
          <t>stated</t>
        </is>
      </c>
      <c r="H132" t="inlineStr">
        <is>
          <t>EPLAN-2024-0211</t>
        </is>
      </c>
      <c r="I132" t="inlineStr">
        <is>
          <t>EPLAN-2024-0211 (Engineering Plan, In Review)</t>
        </is>
      </c>
      <c r="J132" t="inlineStr">
        <is>
          <t>2024-12-30</t>
        </is>
      </c>
      <c r="K132" t="inlineStr"/>
      <c r="L132" t="inlineStr">
        <is>
          <t>Yes</t>
        </is>
      </c>
      <c r="M132" t="inlineStr">
        <is>
          <t>SAMUELS MILL ASSEMBLAGE: 2-story data center and associated infrastructure.</t>
        </is>
      </c>
      <c r="N132" t="inlineStr">
        <is>
          <t>County-stated status of application(s): In Review.</t>
        </is>
      </c>
      <c r="O132" t="inlineStr">
        <is>
          <t>https://logis.loudoun.gov/gis/rest/services/Projects/LOLA_DATA/MapServer/0/query?where=PlanNumber%3D%27EPLAN-2024-0211%27&amp;outFields=PlanNumber,PlanType,PlanStatus,PlanName,PlanApplicationDate,PlanDescription&amp;f=html</t>
        </is>
      </c>
      <c r="P132" t="n">
        <v>39.078914</v>
      </c>
      <c r="Q132" t="n">
        <v>-77.528918</v>
      </c>
    </row>
    <row r="133">
      <c r="A133" t="n">
        <v>514</v>
      </c>
      <c r="B133" t="inlineStr">
        <is>
          <t>Loudoun</t>
        </is>
      </c>
      <c r="C133" t="inlineStr">
        <is>
          <t>Project Motion - Phase 4</t>
        </is>
      </c>
      <c r="D133" t="inlineStr">
        <is>
          <t>Site/engineering plan</t>
        </is>
      </c>
      <c r="E133" t="inlineStr">
        <is>
          <t>Pending</t>
        </is>
      </c>
      <c r="F133" t="inlineStr">
        <is>
          <t>Pending application</t>
        </is>
      </c>
      <c r="G133" t="inlineStr">
        <is>
          <t>stated</t>
        </is>
      </c>
      <c r="H133" t="inlineStr">
        <is>
          <t>EPLAN-2024-0212</t>
        </is>
      </c>
      <c r="I133" t="inlineStr">
        <is>
          <t>EPLAN-2024-0212 (Engineering Plan, In Review)</t>
        </is>
      </c>
      <c r="J133" t="inlineStr">
        <is>
          <t>2024-12-31</t>
        </is>
      </c>
      <c r="K133" t="inlineStr">
        <is>
          <t>356, 412, 469</t>
        </is>
      </c>
      <c r="L133" t="inlineStr">
        <is>
          <t>Yes</t>
        </is>
      </c>
      <c r="M133" t="inlineStr">
        <is>
          <t>(Conditional Approval) PROJECT MOTION - PH 4: Site Plan for Data Center and support facilities.</t>
        </is>
      </c>
      <c r="N133" t="inlineStr">
        <is>
          <t>County-stated status of application(s): In Review.</t>
        </is>
      </c>
      <c r="O133" t="inlineStr">
        <is>
          <t>https://logis.loudoun.gov/gis/rest/services/Projects/LOLA_DATA/MapServer/0/query?where=PlanNumber%3D%27EPLAN-2024-0212%27&amp;outFields=PlanNumber,PlanType,PlanStatus,PlanName,PlanApplicationDate,PlanDescription&amp;f=html</t>
        </is>
      </c>
      <c r="P133" t="n">
        <v>38.94277</v>
      </c>
      <c r="Q133" t="n">
        <v>-77.528132</v>
      </c>
    </row>
    <row r="134">
      <c r="A134" t="n">
        <v>515</v>
      </c>
      <c r="B134" t="inlineStr">
        <is>
          <t>Loudoun</t>
        </is>
      </c>
      <c r="C134" t="inlineStr">
        <is>
          <t>Parcel J at Ashburn Center</t>
        </is>
      </c>
      <c r="D134" t="inlineStr">
        <is>
          <t>Site/engineering plan</t>
        </is>
      </c>
      <c r="E134" t="inlineStr">
        <is>
          <t>Approved/Planned</t>
        </is>
      </c>
      <c r="F134" t="inlineStr">
        <is>
          <t>Approved entitlement; buildings already on site</t>
        </is>
      </c>
      <c r="G134" t="inlineStr">
        <is>
          <t>mixed (county application status stated; built/not-built inferred)</t>
        </is>
      </c>
      <c r="H134" t="inlineStr">
        <is>
          <t>EPLAN-2025-0004</t>
        </is>
      </c>
      <c r="I134" t="inlineStr">
        <is>
          <t>EPLAN-2025-0004 (Engineering Plan, Approved)</t>
        </is>
      </c>
      <c r="J134" t="inlineStr">
        <is>
          <t>2025-01-03</t>
        </is>
      </c>
      <c r="K134" t="inlineStr">
        <is>
          <t>252, 253</t>
        </is>
      </c>
      <c r="L134" t="inlineStr">
        <is>
          <t>Yes</t>
        </is>
      </c>
      <c r="M134" t="inlineStr">
        <is>
          <t>Gen yard design for a data center | Approved entitlement; data center building(s) already mapped on/adjacent to site</t>
        </is>
      </c>
      <c r="N134" t="inlineStr">
        <is>
          <t>County-stated status of application(s): Approved. Built/not-built is INFERRED: 2 data center building point(s) lie on/adjacent to the application area.</t>
        </is>
      </c>
      <c r="O134" t="inlineStr">
        <is>
          <t>https://logis.loudoun.gov/gis/rest/services/Projects/LOLA_DATA/MapServer/0/query?where=PlanNumber%3D%27EPLAN-2025-0004%27&amp;outFields=PlanNumber,PlanType,PlanStatus,PlanName,PlanApplicationDate,PlanDescription&amp;f=html</t>
        </is>
      </c>
      <c r="P134" t="n">
        <v>39.015094</v>
      </c>
      <c r="Q134" t="n">
        <v>-77.482652</v>
      </c>
    </row>
    <row r="135">
      <c r="A135" t="n">
        <v>516</v>
      </c>
      <c r="B135" t="inlineStr">
        <is>
          <t>Loudoun</t>
        </is>
      </c>
      <c r="C135" t="inlineStr">
        <is>
          <t>H&amp;M PROPERTY</t>
        </is>
      </c>
      <c r="D135" t="inlineStr">
        <is>
          <t>Site/engineering plan</t>
        </is>
      </c>
      <c r="E135" t="inlineStr">
        <is>
          <t>Approved/Planned</t>
        </is>
      </c>
      <c r="F135" t="inlineStr">
        <is>
          <t>Approved entitlement; buildings already on site</t>
        </is>
      </c>
      <c r="G135" t="inlineStr">
        <is>
          <t>mixed (county application status stated; built/not-built inferred)</t>
        </is>
      </c>
      <c r="H135" t="inlineStr">
        <is>
          <t>STMP-2020-0016</t>
        </is>
      </c>
      <c r="I135" t="inlineStr">
        <is>
          <t>STMP-2020-0016 (Engineering Plan, Approved); EPLAN-2025-0012 (Engineering Plan, Approved)</t>
        </is>
      </c>
      <c r="J135" t="inlineStr">
        <is>
          <t>2020-11-04</t>
        </is>
      </c>
      <c r="K135" t="inlineStr">
        <is>
          <t>436, 470</t>
        </is>
      </c>
      <c r="L135" t="inlineStr">
        <is>
          <t>Yes</t>
        </is>
      </c>
      <c r="M135" t="inlineStr">
        <is>
          <t>Proposed Data Center | Approved entitlement; data center building(s) already mapped on/adjacent to site</t>
        </is>
      </c>
      <c r="N135" t="inlineStr">
        <is>
          <t>County-stated status of application(s): Approved. Built/not-built is INFERRED: 2 data center building point(s) lie on/adjacent to the application area.</t>
        </is>
      </c>
      <c r="O135" t="inlineStr">
        <is>
          <t>https://logis.loudoun.gov/gis/rest/services/Projects/LOLA_DATA/MapServer/0/query?where=PlanNumber%3D%27EPLAN-2025-0012%27&amp;outFields=PlanNumber,PlanType,PlanStatus,PlanName,PlanApplicationDate,PlanDescription&amp;f=html</t>
        </is>
      </c>
      <c r="P135" t="n">
        <v>38.921615</v>
      </c>
      <c r="Q135" t="n">
        <v>-77.482795</v>
      </c>
    </row>
    <row r="136">
      <c r="A136" t="n">
        <v>517</v>
      </c>
      <c r="B136" t="inlineStr">
        <is>
          <t>Loudoun</t>
        </is>
      </c>
      <c r="C136" t="inlineStr">
        <is>
          <t>Sterling Technology Park</t>
        </is>
      </c>
      <c r="D136" t="inlineStr">
        <is>
          <t>Site/engineering plan</t>
        </is>
      </c>
      <c r="E136" t="inlineStr">
        <is>
          <t>Pending</t>
        </is>
      </c>
      <c r="F136" t="inlineStr">
        <is>
          <t>Pending application</t>
        </is>
      </c>
      <c r="G136" t="inlineStr">
        <is>
          <t>stated</t>
        </is>
      </c>
      <c r="H136" t="inlineStr">
        <is>
          <t>EPLAN-2025-0027</t>
        </is>
      </c>
      <c r="I136" t="inlineStr">
        <is>
          <t>EPLAN-2025-0027 (Engineering Plan, In Review)</t>
        </is>
      </c>
      <c r="J136" t="inlineStr">
        <is>
          <t>2025-02-12</t>
        </is>
      </c>
      <c r="K136" t="inlineStr"/>
      <c r="L136" t="inlineStr">
        <is>
          <t>Yes</t>
        </is>
      </c>
      <c r="M136" t="inlineStr">
        <is>
          <t>(Conditional Approval) Sterling Technology Park - Proposed Construction of Data Center Building ,Mechanical Yards, Guard Booth, and related infrastructure</t>
        </is>
      </c>
      <c r="N136" t="inlineStr">
        <is>
          <t>County-stated status of application(s): In Review.</t>
        </is>
      </c>
      <c r="O136" t="inlineStr">
        <is>
          <t>https://logis.loudoun.gov/gis/rest/services/Projects/LOLA_DATA/MapServer/0/query?where=PlanNumber%3D%27EPLAN-2025-0027%27&amp;outFields=PlanNumber,PlanType,PlanStatus,PlanName,PlanApplicationDate,PlanDescription&amp;f=html</t>
        </is>
      </c>
      <c r="P136" t="n">
        <v>38.996071</v>
      </c>
      <c r="Q136" t="n">
        <v>-77.428844</v>
      </c>
    </row>
    <row r="137">
      <c r="A137" t="n">
        <v>518</v>
      </c>
      <c r="B137" t="inlineStr">
        <is>
          <t>Loudoun</t>
        </is>
      </c>
      <c r="C137" t="inlineStr">
        <is>
          <t>Ashburn Shallow Bay</t>
        </is>
      </c>
      <c r="D137" t="inlineStr">
        <is>
          <t>Site/engineering plan</t>
        </is>
      </c>
      <c r="E137" t="inlineStr">
        <is>
          <t>Pending</t>
        </is>
      </c>
      <c r="F137" t="inlineStr">
        <is>
          <t>Pending application</t>
        </is>
      </c>
      <c r="G137" t="inlineStr">
        <is>
          <t>stated</t>
        </is>
      </c>
      <c r="H137" t="inlineStr">
        <is>
          <t>EPLAN-2025-0028</t>
        </is>
      </c>
      <c r="I137" t="inlineStr">
        <is>
          <t>EPLAN-2025-0028 (Engineering Plan, In Review)</t>
        </is>
      </c>
      <c r="J137" t="inlineStr">
        <is>
          <t>2025-02-12</t>
        </is>
      </c>
      <c r="K137" t="inlineStr"/>
      <c r="L137" t="inlineStr">
        <is>
          <t>Yes</t>
        </is>
      </c>
      <c r="M137" t="inlineStr">
        <is>
          <t>(Conditional Approval) Ashburn Shallow Bay - Proposed Construction of one Data Center building, Guard Booth, Circulation Drives, and associated infrastructure.</t>
        </is>
      </c>
      <c r="N137" t="inlineStr">
        <is>
          <t>County-stated status of application(s): In Review.</t>
        </is>
      </c>
      <c r="O137" t="inlineStr">
        <is>
          <t>https://logis.loudoun.gov/gis/rest/services/Projects/LOLA_DATA/MapServer/0/query?where=PlanNumber%3D%27EPLAN-2025-0028%27&amp;outFields=PlanNumber,PlanType,PlanStatus,PlanName,PlanApplicationDate,PlanDescription&amp;f=html</t>
        </is>
      </c>
      <c r="P137" t="n">
        <v>39.021116</v>
      </c>
      <c r="Q137" t="n">
        <v>-77.456917</v>
      </c>
    </row>
    <row r="138">
      <c r="A138" t="n">
        <v>519</v>
      </c>
      <c r="B138" t="inlineStr">
        <is>
          <t>Loudoun</t>
        </is>
      </c>
      <c r="C138" t="inlineStr">
        <is>
          <t>Ashbrook Tech Center</t>
        </is>
      </c>
      <c r="D138" t="inlineStr">
        <is>
          <t>Site/engineering plan</t>
        </is>
      </c>
      <c r="E138" t="inlineStr">
        <is>
          <t>Pending</t>
        </is>
      </c>
      <c r="F138" t="inlineStr">
        <is>
          <t>Pending application</t>
        </is>
      </c>
      <c r="G138" t="inlineStr">
        <is>
          <t>stated</t>
        </is>
      </c>
      <c r="H138" t="inlineStr">
        <is>
          <t>EPLAN-2025-0061</t>
        </is>
      </c>
      <c r="I138" t="inlineStr">
        <is>
          <t>EPLAN-2025-0061 (Engineering Plan, In Review)</t>
        </is>
      </c>
      <c r="J138" t="inlineStr">
        <is>
          <t>2025-03-21</t>
        </is>
      </c>
      <c r="K138" t="inlineStr"/>
      <c r="L138" t="inlineStr">
        <is>
          <t>Yes</t>
        </is>
      </c>
      <c r="M138" t="inlineStr">
        <is>
          <t>ASHBROOK TECH CENTER: Site plan application for the development of three data center buildings with one substation and improvements per applicable proffers.</t>
        </is>
      </c>
      <c r="N138" t="inlineStr">
        <is>
          <t>County-stated status of application(s): In Review.</t>
        </is>
      </c>
      <c r="O138" t="inlineStr">
        <is>
          <t>https://logis.loudoun.gov/gis/rest/services/Projects/LOLA_DATA/MapServer/0/query?where=PlanNumber%3D%27EPLAN-2025-0061%27&amp;outFields=PlanNumber,PlanType,PlanStatus,PlanName,PlanApplicationDate,PlanDescription&amp;f=html</t>
        </is>
      </c>
      <c r="P138" t="n">
        <v>39.064508</v>
      </c>
      <c r="Q138" t="n">
        <v>-77.473365</v>
      </c>
    </row>
    <row r="139">
      <c r="A139" t="n">
        <v>520</v>
      </c>
      <c r="B139" t="inlineStr">
        <is>
          <t>Loudoun</t>
        </is>
      </c>
      <c r="C139" t="inlineStr">
        <is>
          <t>Prologis Park Building 4</t>
        </is>
      </c>
      <c r="D139" t="inlineStr">
        <is>
          <t>Site/engineering plan</t>
        </is>
      </c>
      <c r="E139" t="inlineStr">
        <is>
          <t>Pending</t>
        </is>
      </c>
      <c r="F139" t="inlineStr">
        <is>
          <t>Pending application</t>
        </is>
      </c>
      <c r="G139" t="inlineStr">
        <is>
          <t>stated</t>
        </is>
      </c>
      <c r="H139" t="inlineStr">
        <is>
          <t>EPLAN-2025-0102</t>
        </is>
      </c>
      <c r="I139" t="inlineStr">
        <is>
          <t>EPLAN-2025-0102 (Engineering Plan, In Review)</t>
        </is>
      </c>
      <c r="J139" t="inlineStr">
        <is>
          <t>2025-06-18</t>
        </is>
      </c>
      <c r="K139" t="inlineStr">
        <is>
          <t>361, 362, 363</t>
        </is>
      </c>
      <c r="L139" t="inlineStr">
        <is>
          <t>Yes</t>
        </is>
      </c>
      <c r="M139" t="inlineStr">
        <is>
          <t>THE SUBJECT OF THIS APPLICATION CONSISTS OF THE DESIGN OF A 1-STORY DATA CENTER BUILDING AND ASSOCIATED UTILITIES AND INFRASTRUCTURE.</t>
        </is>
      </c>
      <c r="N139" t="inlineStr">
        <is>
          <t>County-stated status of application(s): In Review.</t>
        </is>
      </c>
      <c r="O139" t="inlineStr">
        <is>
          <t>https://logis.loudoun.gov/gis/rest/services/Projects/LOLA_DATA/MapServer/0/query?where=PlanNumber%3D%27EPLAN-2025-0102%27&amp;outFields=PlanNumber,PlanType,PlanStatus,PlanName,PlanApplicationDate,PlanDescription&amp;f=html</t>
        </is>
      </c>
      <c r="P139" t="n">
        <v>38.957222</v>
      </c>
      <c r="Q139" t="n">
        <v>-77.497714</v>
      </c>
    </row>
    <row r="140">
      <c r="A140" t="n">
        <v>521</v>
      </c>
      <c r="B140" t="inlineStr">
        <is>
          <t>Loudoun</t>
        </is>
      </c>
      <c r="C140" t="inlineStr">
        <is>
          <t>CyrusOne Sterling 11 Data Center Phase 2</t>
        </is>
      </c>
      <c r="D140" t="inlineStr">
        <is>
          <t>Site/engineering plan</t>
        </is>
      </c>
      <c r="E140" t="inlineStr">
        <is>
          <t>Approved/Planned</t>
        </is>
      </c>
      <c r="F140" t="inlineStr">
        <is>
          <t>Approved entitlement; buildings already on site</t>
        </is>
      </c>
      <c r="G140" t="inlineStr">
        <is>
          <t>mixed (county application status stated; built/not-built inferred)</t>
        </is>
      </c>
      <c r="H140" t="inlineStr">
        <is>
          <t>EPLAN-2025-0124</t>
        </is>
      </c>
      <c r="I140" t="inlineStr">
        <is>
          <t>EPLAN-2025-0124 (Engineering Plan, Approved)</t>
        </is>
      </c>
      <c r="J140" t="inlineStr">
        <is>
          <t>2025-07-31</t>
        </is>
      </c>
      <c r="K140" t="inlineStr">
        <is>
          <t>381, 426</t>
        </is>
      </c>
      <c r="L140" t="inlineStr">
        <is>
          <t>Yes</t>
        </is>
      </c>
      <c r="M140" t="inlineStr">
        <is>
          <t>CYRUSONE STERLING 11 DATA CENTER - PHASE 2: Revision to the approved plan (STMP-2022-0017) showing electrical &amp; telecom duct banks as well as an updated loading dock footprint. | Approved entitlement; data center building(s) already mapped on/adjacent to site</t>
        </is>
      </c>
      <c r="N140" t="inlineStr">
        <is>
          <t>County-stated status of application(s): Approved. Built/not-built is INFERRED: 2 data center building point(s) lie on/adjacent to the application area.</t>
        </is>
      </c>
      <c r="O140" t="inlineStr">
        <is>
          <t>https://logis.loudoun.gov/gis/rest/services/Projects/LOLA_DATA/MapServer/0/query?where=PlanNumber%3D%27EPLAN-2025-0124%27&amp;outFields=PlanNumber,PlanType,PlanStatus,PlanName,PlanApplicationDate,PlanDescription&amp;f=html</t>
        </is>
      </c>
      <c r="P140" t="n">
        <v>38.958524</v>
      </c>
      <c r="Q140" t="n">
        <v>-77.505234</v>
      </c>
    </row>
    <row r="141">
      <c r="A141" t="n">
        <v>522</v>
      </c>
      <c r="B141" t="inlineStr">
        <is>
          <t>Loudoun</t>
        </is>
      </c>
      <c r="C141" t="inlineStr">
        <is>
          <t>Greenlin Park</t>
        </is>
      </c>
      <c r="D141" t="inlineStr">
        <is>
          <t>Site/engineering plan</t>
        </is>
      </c>
      <c r="E141" t="inlineStr">
        <is>
          <t>Pending</t>
        </is>
      </c>
      <c r="F141" t="inlineStr">
        <is>
          <t>Pending application</t>
        </is>
      </c>
      <c r="G141" t="inlineStr">
        <is>
          <t>stated</t>
        </is>
      </c>
      <c r="H141" t="inlineStr">
        <is>
          <t>EPLAN-2025-0126</t>
        </is>
      </c>
      <c r="I141" t="inlineStr">
        <is>
          <t>EPLAN-2025-0126 (Engineering Plan, In Review)</t>
        </is>
      </c>
      <c r="J141" t="inlineStr">
        <is>
          <t>2025-08-08</t>
        </is>
      </c>
      <c r="K141" t="inlineStr"/>
      <c r="L141" t="inlineStr">
        <is>
          <t>Yes</t>
        </is>
      </c>
      <c r="M141" t="inlineStr">
        <is>
          <t>GREENLIN PARK: The properties are currently zoned PD-IP, located in the ariport impact OD, and is under the 1993 Revised Loudoun County Zoning Ordinance. The properties will be developed into four 1-story data centers with a substation and associated improvements. The total disturbed area is 51.62 A</t>
        </is>
      </c>
      <c r="N141" t="inlineStr">
        <is>
          <t>County-stated status of application(s): In Review.</t>
        </is>
      </c>
      <c r="O141" t="inlineStr">
        <is>
          <t>https://logis.loudoun.gov/gis/rest/services/Projects/LOLA_DATA/MapServer/0/query?where=PlanNumber%3D%27EPLAN-2025-0126%27&amp;outFields=PlanNumber,PlanType,PlanStatus,PlanName,PlanApplicationDate,PlanDescription&amp;f=html</t>
        </is>
      </c>
      <c r="P141" t="n">
        <v>39.055131</v>
      </c>
      <c r="Q141" t="n">
        <v>-77.551466</v>
      </c>
    </row>
    <row r="142">
      <c r="A142" t="n">
        <v>523</v>
      </c>
      <c r="B142" t="inlineStr">
        <is>
          <t>Loudoun</t>
        </is>
      </c>
      <c r="C142" t="inlineStr">
        <is>
          <t>1501 Moran Road - AS02 Final Site Plan REVISION</t>
        </is>
      </c>
      <c r="D142" t="inlineStr">
        <is>
          <t>Site/engineering plan</t>
        </is>
      </c>
      <c r="E142" t="inlineStr">
        <is>
          <t>Approved/Planned</t>
        </is>
      </c>
      <c r="F142" t="inlineStr">
        <is>
          <t>Approved, not yet built (inferred)</t>
        </is>
      </c>
      <c r="G142" t="inlineStr">
        <is>
          <t>mixed (county application status stated; built/not-built inferred)</t>
        </is>
      </c>
      <c r="H142" t="inlineStr">
        <is>
          <t>EPLAN-2025-0149</t>
        </is>
      </c>
      <c r="I142" t="inlineStr">
        <is>
          <t>EPLAN-2025-0149 (Engineering Plan, Approved)</t>
        </is>
      </c>
      <c r="J142" t="inlineStr">
        <is>
          <t>2025-09-05</t>
        </is>
      </c>
      <c r="K142" t="inlineStr"/>
      <c r="L142" t="inlineStr">
        <is>
          <t>Yes</t>
        </is>
      </c>
      <c r="M142" t="inlineStr">
        <is>
          <t>Site Plan Amendment to previously approved EPLAN-2023-0087 which is a 42 megawatt data center with the associated infrastructure, roads, parking, &amp; utilities.</t>
        </is>
      </c>
      <c r="N142" t="inlineStr">
        <is>
          <t>County-stated status of application(s): Approved. Built/not-built is INFERRED: no mapped data center building lies within the application area.</t>
        </is>
      </c>
      <c r="O142" t="inlineStr">
        <is>
          <t>https://logis.loudoun.gov/gis/rest/services/Projects/LOLA_DATA/MapServer/0/query?where=PlanNumber%3D%27EPLAN-2025-0149%27&amp;outFields=PlanNumber,PlanType,PlanStatus,PlanName,PlanApplicationDate,PlanDescription&amp;f=html</t>
        </is>
      </c>
      <c r="P142" t="n">
        <v>38.99501</v>
      </c>
      <c r="Q142" t="n">
        <v>-77.446123</v>
      </c>
    </row>
    <row r="143">
      <c r="A143" t="n">
        <v>524</v>
      </c>
      <c r="B143" t="inlineStr">
        <is>
          <t>Loudoun</t>
        </is>
      </c>
      <c r="C143" t="inlineStr">
        <is>
          <t>Corscale VA2 Building 1 SPAM 1</t>
        </is>
      </c>
      <c r="D143" t="inlineStr">
        <is>
          <t>Site/engineering plan</t>
        </is>
      </c>
      <c r="E143" t="inlineStr">
        <is>
          <t>Approved/Planned</t>
        </is>
      </c>
      <c r="F143" t="inlineStr">
        <is>
          <t>Approved, not yet built (inferred)</t>
        </is>
      </c>
      <c r="G143" t="inlineStr">
        <is>
          <t>mixed (county application status stated; built/not-built inferred)</t>
        </is>
      </c>
      <c r="H143" t="inlineStr">
        <is>
          <t>EPLAN-2025-0152</t>
        </is>
      </c>
      <c r="I143" t="inlineStr">
        <is>
          <t>EPLAN-2025-0152 (Engineering Plan, Approved)</t>
        </is>
      </c>
      <c r="J143" t="inlineStr">
        <is>
          <t>2025-09-10</t>
        </is>
      </c>
      <c r="K143" t="inlineStr"/>
      <c r="L143" t="inlineStr">
        <is>
          <t>Yes</t>
        </is>
      </c>
      <c r="M143" t="inlineStr">
        <is>
          <t>CORSCALE VA2 BLDG 1 (SPAM): Revision to STPL-2022-0012, a data center within the Kincora IP District.</t>
        </is>
      </c>
      <c r="N143" t="inlineStr">
        <is>
          <t>County-stated status of application(s): Approved. Built/not-built is INFERRED: no mapped data center building lies within the application area.</t>
        </is>
      </c>
      <c r="O143" t="inlineStr">
        <is>
          <t>https://logis.loudoun.gov/gis/rest/services/Projects/LOLA_DATA/MapServer/0/query?where=PlanNumber%3D%27EPLAN-2025-0152%27&amp;outFields=PlanNumber,PlanType,PlanStatus,PlanName,PlanApplicationDate,PlanDescription&amp;f=html</t>
        </is>
      </c>
      <c r="P143" t="n">
        <v>39.037598</v>
      </c>
      <c r="Q143" t="n">
        <v>-77.43378300000001</v>
      </c>
    </row>
    <row r="144">
      <c r="A144" t="n">
        <v>525</v>
      </c>
      <c r="B144" t="inlineStr">
        <is>
          <t>Loudoun</t>
        </is>
      </c>
      <c r="C144" t="inlineStr">
        <is>
          <t>21673 Beaumeade Cirlce</t>
        </is>
      </c>
      <c r="D144" t="inlineStr">
        <is>
          <t>Site/engineering plan</t>
        </is>
      </c>
      <c r="E144" t="inlineStr">
        <is>
          <t>Pending</t>
        </is>
      </c>
      <c r="F144" t="inlineStr">
        <is>
          <t>Pending application</t>
        </is>
      </c>
      <c r="G144" t="inlineStr">
        <is>
          <t>stated</t>
        </is>
      </c>
      <c r="H144" t="inlineStr">
        <is>
          <t>EPLAN-2025-0171</t>
        </is>
      </c>
      <c r="I144" t="inlineStr">
        <is>
          <t>EPLAN-2025-0171 (Engineering Plan, In Review)</t>
        </is>
      </c>
      <c r="J144" t="inlineStr">
        <is>
          <t>2025-10-10</t>
        </is>
      </c>
      <c r="K144" t="inlineStr">
        <is>
          <t>405</t>
        </is>
      </c>
      <c r="L144" t="inlineStr">
        <is>
          <t>Yes</t>
        </is>
      </c>
      <c r="M144" t="inlineStr">
        <is>
          <t>(Conditional Approval) Datacenter site revision updated building footprint for Building 2, revised storm sewer layout, revised parking, gate and fence location, access road and curb and gutter updated, water and reclaimed water realigned, water service line and sanitary sewer lateral locations updat</t>
        </is>
      </c>
      <c r="N144" t="inlineStr">
        <is>
          <t>County-stated status of application(s): In Review.</t>
        </is>
      </c>
      <c r="O144" t="inlineStr">
        <is>
          <t>https://logis.loudoun.gov/gis/rest/services/Projects/LOLA_DATA/MapServer/0/query?where=PlanNumber%3D%27EPLAN-2025-0171%27&amp;outFields=PlanNumber,PlanType,PlanStatus,PlanName,PlanApplicationDate,PlanDescription&amp;f=html</t>
        </is>
      </c>
      <c r="P144" t="n">
        <v>39.018806</v>
      </c>
      <c r="Q144" t="n">
        <v>-77.45822200000001</v>
      </c>
    </row>
    <row r="145">
      <c r="A145" t="n">
        <v>526</v>
      </c>
      <c r="B145" t="inlineStr">
        <is>
          <t>Loudoun</t>
        </is>
      </c>
      <c r="C145" t="inlineStr">
        <is>
          <t>Site Plan Amendment for H5 Data Center</t>
        </is>
      </c>
      <c r="D145" t="inlineStr">
        <is>
          <t>Site/engineering plan</t>
        </is>
      </c>
      <c r="E145" t="inlineStr">
        <is>
          <t>Pending</t>
        </is>
      </c>
      <c r="F145" t="inlineStr">
        <is>
          <t>Pending application</t>
        </is>
      </c>
      <c r="G145" t="inlineStr">
        <is>
          <t>stated</t>
        </is>
      </c>
      <c r="H145" t="inlineStr">
        <is>
          <t>EPLAN-2025-0180</t>
        </is>
      </c>
      <c r="I145" t="inlineStr">
        <is>
          <t>EPLAN-2025-0180 (Engineering Plan, In Review)</t>
        </is>
      </c>
      <c r="J145" t="inlineStr">
        <is>
          <t>2025-10-17</t>
        </is>
      </c>
      <c r="K145" t="inlineStr">
        <is>
          <t>254</t>
        </is>
      </c>
      <c r="L145" t="inlineStr">
        <is>
          <t>Yes</t>
        </is>
      </c>
      <c r="M145" t="inlineStr">
        <is>
          <t>Revisions to an approved Data Center Site plan to make minor site design adjustments to accommodate the updated security gate, gate equipment and security fence. This plan is associated with EPLAN-2023-0078</t>
        </is>
      </c>
      <c r="N145" t="inlineStr">
        <is>
          <t>County-stated status of application(s): In Review.</t>
        </is>
      </c>
      <c r="O145" t="inlineStr">
        <is>
          <t>https://logis.loudoun.gov/gis/rest/services/Projects/LOLA_DATA/MapServer/0/query?where=PlanNumber%3D%27EPLAN-2025-0180%27&amp;outFields=PlanNumber,PlanType,PlanStatus,PlanName,PlanApplicationDate,PlanDescription&amp;f=html</t>
        </is>
      </c>
      <c r="P145" t="n">
        <v>39.013705</v>
      </c>
      <c r="Q145" t="n">
        <v>-77.45165900000001</v>
      </c>
    </row>
    <row r="146">
      <c r="A146" t="n">
        <v>527</v>
      </c>
      <c r="B146" t="inlineStr">
        <is>
          <t>Loudoun</t>
        </is>
      </c>
      <c r="C146" t="inlineStr">
        <is>
          <t>LC11 &amp; LC12 DATA CENTER</t>
        </is>
      </c>
      <c r="D146" t="inlineStr">
        <is>
          <t>Site/engineering plan</t>
        </is>
      </c>
      <c r="E146" t="inlineStr">
        <is>
          <t>Pending</t>
        </is>
      </c>
      <c r="F146" t="inlineStr">
        <is>
          <t>Pending application</t>
        </is>
      </c>
      <c r="G146" t="inlineStr">
        <is>
          <t>stated</t>
        </is>
      </c>
      <c r="H146" t="inlineStr">
        <is>
          <t>EPLAN-2025-0181</t>
        </is>
      </c>
      <c r="I146" t="inlineStr">
        <is>
          <t>EPLAN-2025-0181 (Engineering Plan, In Review)</t>
        </is>
      </c>
      <c r="J146" t="inlineStr">
        <is>
          <t>2025-10-17</t>
        </is>
      </c>
      <c r="K146" t="inlineStr">
        <is>
          <t>464</t>
        </is>
      </c>
      <c r="L146" t="inlineStr">
        <is>
          <t>Yes</t>
        </is>
      </c>
      <c r="M146" t="inlineStr">
        <is>
          <t>LC11 &amp; LC12 DATA CENTER - REVISION TO APPROVED STPL-2023-0001. REVISIONS INCLUDEADDITION OF SECURITY FENCE AND GUARD SHACK, PAVEMENT/PARKING REVISIONS AND MINOR UTILITY REVISIONS.</t>
        </is>
      </c>
      <c r="N146" t="inlineStr">
        <is>
          <t>County-stated status of application(s): In Review.</t>
        </is>
      </c>
      <c r="O146" t="inlineStr">
        <is>
          <t>https://logis.loudoun.gov/gis/rest/services/Projects/LOLA_DATA/MapServer/0/query?where=PlanNumber%3D%27EPLAN-2025-0181%27&amp;outFields=PlanNumber,PlanType,PlanStatus,PlanName,PlanApplicationDate,PlanDescription&amp;f=html</t>
        </is>
      </c>
      <c r="P146" t="n">
        <v>39.006036</v>
      </c>
      <c r="Q146" t="n">
        <v>-77.476804</v>
      </c>
    </row>
    <row r="147">
      <c r="A147" t="n">
        <v>528</v>
      </c>
      <c r="B147" t="inlineStr">
        <is>
          <t>Loudoun</t>
        </is>
      </c>
      <c r="C147" t="inlineStr">
        <is>
          <t>BELMONT INNOVATION CAMPUS BUILDINGS 1,2 &amp; 5</t>
        </is>
      </c>
      <c r="D147" t="inlineStr">
        <is>
          <t>Site/engineering plan</t>
        </is>
      </c>
      <c r="E147" t="inlineStr">
        <is>
          <t>Pending</t>
        </is>
      </c>
      <c r="F147" t="inlineStr">
        <is>
          <t>Pending application</t>
        </is>
      </c>
      <c r="G147" t="inlineStr">
        <is>
          <t>stated</t>
        </is>
      </c>
      <c r="H147" t="inlineStr">
        <is>
          <t>EPLAN-2025-0195</t>
        </is>
      </c>
      <c r="I147" t="inlineStr">
        <is>
          <t>EPLAN-2025-0195 (Engineering Plan, In Review)</t>
        </is>
      </c>
      <c r="J147" t="inlineStr">
        <is>
          <t>2025-11-05</t>
        </is>
      </c>
      <c r="K147" t="inlineStr"/>
      <c r="L147" t="inlineStr">
        <is>
          <t>Yes</t>
        </is>
      </c>
      <c r="M147" t="inlineStr">
        <is>
          <t>BELMONT INNOVATION CAMPUS BUILDINGS 1, 2 and 5 - CONSTRUCTION OF 3 DATA CENTER BUILDINGS WITH ALL ASSOCIATED ACCESS &amp; UTILITIES.</t>
        </is>
      </c>
      <c r="N147" t="inlineStr">
        <is>
          <t>County-stated status of application(s): In Review.</t>
        </is>
      </c>
      <c r="O147" t="inlineStr">
        <is>
          <t>https://logis.loudoun.gov/gis/rest/services/Projects/LOLA_DATA/MapServer/0/query?where=PlanNumber%3D%27EPLAN-2025-0195%27&amp;outFields=PlanNumber,PlanType,PlanStatus,PlanName,PlanApplicationDate,PlanDescription&amp;f=html</t>
        </is>
      </c>
      <c r="P147" t="n">
        <v>39.070565</v>
      </c>
      <c r="Q147" t="n">
        <v>-77.509006</v>
      </c>
    </row>
    <row r="148">
      <c r="A148" t="n">
        <v>529</v>
      </c>
      <c r="B148" t="inlineStr">
        <is>
          <t>Loudoun</t>
        </is>
      </c>
      <c r="C148" t="inlineStr">
        <is>
          <t>LC9 &amp; LC10 Data Center</t>
        </is>
      </c>
      <c r="D148" t="inlineStr">
        <is>
          <t>Site/engineering plan</t>
        </is>
      </c>
      <c r="E148" t="inlineStr">
        <is>
          <t>Pending</t>
        </is>
      </c>
      <c r="F148" t="inlineStr">
        <is>
          <t>Pending application</t>
        </is>
      </c>
      <c r="G148" t="inlineStr">
        <is>
          <t>stated</t>
        </is>
      </c>
      <c r="H148" t="inlineStr">
        <is>
          <t>EPLAN-2026-0039</t>
        </is>
      </c>
      <c r="I148" t="inlineStr">
        <is>
          <t>EPLAN-2026-0039 (Engineering Plan, In Review)</t>
        </is>
      </c>
      <c r="J148" t="inlineStr">
        <is>
          <t>2026-03-31</t>
        </is>
      </c>
      <c r="K148" t="inlineStr">
        <is>
          <t>434</t>
        </is>
      </c>
      <c r="L148" t="inlineStr">
        <is>
          <t>Yes</t>
        </is>
      </c>
      <c r="M148" t="inlineStr">
        <is>
          <t>LC9 &amp; LC10 DATA CENTER - CONSTRUCTION OF A TWO (2) 2-STORY DATA CENTER BUILDINGS AND ASSOCIATED INFRASTRUCTURE</t>
        </is>
      </c>
      <c r="N148" t="inlineStr">
        <is>
          <t>County-stated status of application(s): In Review.</t>
        </is>
      </c>
      <c r="O148" t="inlineStr">
        <is>
          <t>https://logis.loudoun.gov/gis/rest/services/Projects/LOLA_DATA/MapServer/0/query?where=PlanNumber%3D%27EPLAN-2026-0039%27&amp;outFields=PlanNumber,PlanType,PlanStatus,PlanName,PlanApplicationDate,PlanDescription&amp;f=html</t>
        </is>
      </c>
      <c r="P148" t="n">
        <v>39.002819</v>
      </c>
      <c r="Q148" t="n">
        <v>-77.469628</v>
      </c>
    </row>
    <row r="149">
      <c r="A149" t="n">
        <v>530</v>
      </c>
      <c r="B149" t="inlineStr">
        <is>
          <t>Loudoun</t>
        </is>
      </c>
      <c r="C149" t="inlineStr">
        <is>
          <t>Site Plan Amendment for NTT Global Data Centers VA</t>
        </is>
      </c>
      <c r="D149" t="inlineStr">
        <is>
          <t>Site/engineering plan</t>
        </is>
      </c>
      <c r="E149" t="inlineStr">
        <is>
          <t>Pending</t>
        </is>
      </c>
      <c r="F149" t="inlineStr">
        <is>
          <t>Pending application</t>
        </is>
      </c>
      <c r="G149" t="inlineStr">
        <is>
          <t>stated</t>
        </is>
      </c>
      <c r="H149" t="inlineStr">
        <is>
          <t>EPLAN-2026-0075</t>
        </is>
      </c>
      <c r="I149" t="inlineStr">
        <is>
          <t>EPLAN-2026-0075 (Engineering Plan, In Review)</t>
        </is>
      </c>
      <c r="J149" t="inlineStr">
        <is>
          <t>2026-05-28</t>
        </is>
      </c>
      <c r="K149" t="inlineStr">
        <is>
          <t>335</t>
        </is>
      </c>
      <c r="L149" t="inlineStr">
        <is>
          <t>Yes</t>
        </is>
      </c>
      <c r="M149" t="inlineStr">
        <is>
          <t>Revision associated with this site plan revision include additional floor area for the guard shack booth at the secure entrance to the subject site per approved site plan STMP-2022-0004</t>
        </is>
      </c>
      <c r="N149" t="inlineStr">
        <is>
          <t>County-stated status of application(s): In Review.</t>
        </is>
      </c>
      <c r="O149" t="inlineStr">
        <is>
          <t>https://logis.loudoun.gov/gis/rest/services/Projects/LOLA_DATA/MapServer/0/query?where=PlanNumber%3D%27EPLAN-2026-0075%27&amp;outFields=PlanNumber,PlanType,PlanStatus,PlanName,PlanApplicationDate,PlanDescription&amp;f=html</t>
        </is>
      </c>
      <c r="P149" t="n">
        <v>39.017691</v>
      </c>
      <c r="Q149" t="n">
        <v>-77.475081</v>
      </c>
    </row>
    <row r="150">
      <c r="A150" t="n">
        <v>531</v>
      </c>
      <c r="B150" t="inlineStr">
        <is>
          <t>Loudoun</t>
        </is>
      </c>
      <c r="C150" t="inlineStr">
        <is>
          <t>Twin Creeks Buildings 4 &amp; 5</t>
        </is>
      </c>
      <c r="D150" t="inlineStr">
        <is>
          <t>Site/engineering plan</t>
        </is>
      </c>
      <c r="E150" t="inlineStr">
        <is>
          <t>Pending</t>
        </is>
      </c>
      <c r="F150" t="inlineStr">
        <is>
          <t>Pending application</t>
        </is>
      </c>
      <c r="G150" t="inlineStr">
        <is>
          <t>stated</t>
        </is>
      </c>
      <c r="H150" t="inlineStr">
        <is>
          <t>EPLAN-2026-0078</t>
        </is>
      </c>
      <c r="I150" t="inlineStr">
        <is>
          <t>EPLAN-2026-0078 (Engineering Plan, In Review)</t>
        </is>
      </c>
      <c r="J150" t="inlineStr">
        <is>
          <t>2026-06-03</t>
        </is>
      </c>
      <c r="K150" t="inlineStr"/>
      <c r="L150" t="inlineStr">
        <is>
          <t>Yes</t>
        </is>
      </c>
      <c r="M150" t="inlineStr">
        <is>
          <t>TWIN CREEKS DATA CENTERS: Site containing two data center buildings with associated infrastructure and landscaping. (REVISION OF APPROVED PLAN STPL-2022-0040)</t>
        </is>
      </c>
      <c r="N150" t="inlineStr">
        <is>
          <t>County-stated status of application(s): In Review.</t>
        </is>
      </c>
      <c r="O150" t="inlineStr">
        <is>
          <t>https://logis.loudoun.gov/gis/rest/services/Projects/LOLA_DATA/MapServer/0/query?where=PlanNumber%3D%27EPLAN-2026-0078%27&amp;outFields=PlanNumber,PlanType,PlanStatus,PlanName,PlanApplicationDate,PlanDescription&amp;f=html</t>
        </is>
      </c>
      <c r="P150" t="n">
        <v>39.074127</v>
      </c>
      <c r="Q150" t="n">
        <v>-77.526346</v>
      </c>
    </row>
    <row r="151">
      <c r="A151" t="n">
        <v>532</v>
      </c>
      <c r="B151" t="inlineStr">
        <is>
          <t>Loudoun</t>
        </is>
      </c>
      <c r="C151" t="inlineStr">
        <is>
          <t>Arcola Grove Data Centers Site Plan</t>
        </is>
      </c>
      <c r="D151" t="inlineStr">
        <is>
          <t>Site/engineering plan</t>
        </is>
      </c>
      <c r="E151" t="inlineStr">
        <is>
          <t>Pending</t>
        </is>
      </c>
      <c r="F151" t="inlineStr">
        <is>
          <t>Pending application</t>
        </is>
      </c>
      <c r="G151" t="inlineStr">
        <is>
          <t>stated</t>
        </is>
      </c>
      <c r="H151" t="inlineStr">
        <is>
          <t>EPLAN-2026-0083</t>
        </is>
      </c>
      <c r="I151" t="inlineStr">
        <is>
          <t>EPLAN-2026-0083 (Engineering Plan, In Review)</t>
        </is>
      </c>
      <c r="J151" t="inlineStr">
        <is>
          <t>2026-06-17</t>
        </is>
      </c>
      <c r="K151" t="inlineStr"/>
      <c r="L151" t="inlineStr">
        <is>
          <t>Yes</t>
        </is>
      </c>
      <c r="M151" t="inlineStr">
        <is>
          <t>Site Plan for 2 proposed Data Center buildings, guard booth and all associated infrastructure.</t>
        </is>
      </c>
      <c r="N151" t="inlineStr">
        <is>
          <t>County-stated status of application(s): In Review.</t>
        </is>
      </c>
      <c r="O151" t="inlineStr">
        <is>
          <t>https://logis.loudoun.gov/gis/rest/services/Projects/LOLA_DATA/MapServer/0/query?where=PlanNumber%3D%27EPLAN-2026-0083%27&amp;outFields=PlanNumber,PlanType,PlanStatus,PlanName,PlanApplicationDate,PlanDescription&amp;f=html</t>
        </is>
      </c>
      <c r="P151" t="n">
        <v>38.942647</v>
      </c>
      <c r="Q151" t="n">
        <v>-77.537779</v>
      </c>
    </row>
    <row r="152">
      <c r="A152" t="n">
        <v>533</v>
      </c>
      <c r="B152" t="inlineStr">
        <is>
          <t>Loudoun</t>
        </is>
      </c>
      <c r="C152" t="inlineStr">
        <is>
          <t>Thayer Road</t>
        </is>
      </c>
      <c r="D152" t="inlineStr">
        <is>
          <t>Site/engineering plan</t>
        </is>
      </c>
      <c r="E152" t="inlineStr">
        <is>
          <t>Pending</t>
        </is>
      </c>
      <c r="F152" t="inlineStr">
        <is>
          <t>Pending application</t>
        </is>
      </c>
      <c r="G152" t="inlineStr">
        <is>
          <t>stated</t>
        </is>
      </c>
      <c r="H152" t="inlineStr">
        <is>
          <t>EPLAN-2026-0084</t>
        </is>
      </c>
      <c r="I152" t="inlineStr">
        <is>
          <t>EPLAN-2026-0084 (Engineering Plan, In Review)</t>
        </is>
      </c>
      <c r="J152" t="inlineStr">
        <is>
          <t>2026-06-25</t>
        </is>
      </c>
      <c r="K152" t="inlineStr"/>
      <c r="L152" t="inlineStr">
        <is>
          <t>Yes</t>
        </is>
      </c>
      <c r="M152" t="inlineStr">
        <is>
          <t>THAYER RD DATA CENTER SPAM: THIS SPAM IS TO ADJUST THE BUILDING HEIGHT OF THE PROPOSED BUILDING FROM 45' TO 65'. NOTE THAT THE SIGNING ENGINEER FOR GORDON IS ONLY VALIDATING THE CHANGE IN BUILDING HEIGHT ON THE CLOUDED SHEETS IN THE SHEET INDEX ONLY. Amending EPLAN-2024-0058</t>
        </is>
      </c>
      <c r="N152" t="inlineStr">
        <is>
          <t>County-stated status of application(s): In Review.</t>
        </is>
      </c>
      <c r="O152" t="inlineStr">
        <is>
          <t>https://logis.loudoun.gov/gis/rest/services/Projects/LOLA_DATA/MapServer/0/query?where=PlanNumber%3D%27EPLAN-2026-0084%27&amp;outFields=PlanNumber,PlanType,PlanStatus,PlanName,PlanApplicationDate,PlanDescription&amp;f=html</t>
        </is>
      </c>
      <c r="P152" t="n">
        <v>39.026675</v>
      </c>
      <c r="Q152" t="n">
        <v>-77.424053</v>
      </c>
    </row>
    <row r="153">
      <c r="A153" t="n">
        <v>534</v>
      </c>
      <c r="B153" t="inlineStr">
        <is>
          <t>Loudoun</t>
        </is>
      </c>
      <c r="C153" t="inlineStr">
        <is>
          <t>Bridgefield Tech Center</t>
        </is>
      </c>
      <c r="D153" t="inlineStr">
        <is>
          <t>Site/engineering plan</t>
        </is>
      </c>
      <c r="E153" t="inlineStr">
        <is>
          <t>Pending</t>
        </is>
      </c>
      <c r="F153" t="inlineStr">
        <is>
          <t>Pending application</t>
        </is>
      </c>
      <c r="G153" t="inlineStr">
        <is>
          <t>stated</t>
        </is>
      </c>
      <c r="H153" t="inlineStr">
        <is>
          <t>EPLAN-2026-0110</t>
        </is>
      </c>
      <c r="I153" t="inlineStr">
        <is>
          <t>EPLAN-2026-0110 (Engineering Plan, In Review)</t>
        </is>
      </c>
      <c r="J153" t="inlineStr">
        <is>
          <t>2026-07-28</t>
        </is>
      </c>
      <c r="K153" t="inlineStr"/>
      <c r="L153" t="inlineStr">
        <is>
          <t>Yes</t>
        </is>
      </c>
      <c r="M153" t="inlineStr">
        <is>
          <t>BRIDGEFIELD TECH CENTER: Site plan application for the development of data center buildings.</t>
        </is>
      </c>
      <c r="N153" t="inlineStr">
        <is>
          <t>County-stated status of application(s): In Review.</t>
        </is>
      </c>
      <c r="O153" t="inlineStr">
        <is>
          <t>https://logis.loudoun.gov/gis/rest/services/Projects/LOLA_DATA/MapServer/0/query?where=PlanNumber%3D%27EPLAN-2026-0110%27&amp;outFields=PlanNumber,PlanType,PlanStatus,PlanName,PlanApplicationDate,PlanDescription&amp;f=html</t>
        </is>
      </c>
      <c r="P153" t="n">
        <v>39.061527</v>
      </c>
      <c r="Q153" t="n">
        <v>-77.444738</v>
      </c>
    </row>
    <row r="154">
      <c r="A154" t="n">
        <v>535</v>
      </c>
      <c r="B154" t="inlineStr">
        <is>
          <t>Loudoun</t>
        </is>
      </c>
      <c r="C154" t="inlineStr">
        <is>
          <t>Twin Creeks Buildings 1-3</t>
        </is>
      </c>
      <c r="D154" t="inlineStr">
        <is>
          <t>Site/engineering plan</t>
        </is>
      </c>
      <c r="E154" t="inlineStr">
        <is>
          <t>Pending</t>
        </is>
      </c>
      <c r="F154" t="inlineStr">
        <is>
          <t>Pending application</t>
        </is>
      </c>
      <c r="G154" t="inlineStr">
        <is>
          <t>stated</t>
        </is>
      </c>
      <c r="H154" t="inlineStr">
        <is>
          <t>EPLAN-2026-0111</t>
        </is>
      </c>
      <c r="I154" t="inlineStr">
        <is>
          <t>EPLAN-2026-0111 (Engineering Plan, In Review)</t>
        </is>
      </c>
      <c r="J154" t="inlineStr">
        <is>
          <t>2026-07-29</t>
        </is>
      </c>
      <c r="K154" t="inlineStr"/>
      <c r="L154" t="inlineStr">
        <is>
          <t>Yes</t>
        </is>
      </c>
      <c r="M154" t="inlineStr">
        <is>
          <t>Project proposing Data Center buildings 1-3 of the Twin Creeks site with associated landscaping and infrastructure.</t>
        </is>
      </c>
      <c r="N154" t="inlineStr">
        <is>
          <t>County-stated status of application(s): In Review.</t>
        </is>
      </c>
      <c r="O154" t="inlineStr">
        <is>
          <t>https://logis.loudoun.gov/gis/rest/services/Projects/LOLA_DATA/MapServer/0/query?where=PlanNumber%3D%27EPLAN-2026-0111%27&amp;outFields=PlanNumber,PlanType,PlanStatus,PlanName,PlanApplicationDate,PlanDescription&amp;f=html</t>
        </is>
      </c>
      <c r="P154" t="n">
        <v>39.073987</v>
      </c>
      <c r="Q154" t="n">
        <v>-77.517009</v>
      </c>
    </row>
    <row r="155">
      <c r="A155" t="n">
        <v>536</v>
      </c>
      <c r="B155" t="inlineStr">
        <is>
          <t>Loudoun</t>
        </is>
      </c>
      <c r="C155" t="inlineStr">
        <is>
          <t>AWS 42949 Fadeley Lane</t>
        </is>
      </c>
      <c r="D155" t="inlineStr">
        <is>
          <t>Site/engineering plan</t>
        </is>
      </c>
      <c r="E155" t="inlineStr">
        <is>
          <t>Pending</t>
        </is>
      </c>
      <c r="F155" t="inlineStr">
        <is>
          <t>Pending application</t>
        </is>
      </c>
      <c r="G155" t="inlineStr">
        <is>
          <t>stated</t>
        </is>
      </c>
      <c r="H155" t="inlineStr">
        <is>
          <t>EPLAN-2026-0116</t>
        </is>
      </c>
      <c r="I155" t="inlineStr">
        <is>
          <t>EPLAN-2026-0116 (Engineering Plan, In Review)</t>
        </is>
      </c>
      <c r="J155" t="inlineStr">
        <is>
          <t>2026-08-11</t>
        </is>
      </c>
      <c r="K155" t="inlineStr">
        <is>
          <t>318, 319, 320, 321, 322, 400</t>
        </is>
      </c>
      <c r="L155" t="inlineStr">
        <is>
          <t>Yes</t>
        </is>
      </c>
      <c r="M155" t="inlineStr">
        <is>
          <t>The applicant requests approval for a minor addition to a principal building on an approved Special Exception pursuant to Section 10.11.01.H.2. for a 14,177-square-foot footprint addition to the existing data center facility (Building 081) at 42949 Fadeley Lane. The proposed minor addition to the ex</t>
        </is>
      </c>
      <c r="N155" t="inlineStr">
        <is>
          <t>County-stated status of application(s): In Review.</t>
        </is>
      </c>
      <c r="O155" t="inlineStr">
        <is>
          <t>https://logis.loudoun.gov/gis/rest/services/Projects/LOLA_DATA/MapServer/0/query?where=PlanNumber%3D%27EPLAN-2026-0116%27&amp;outFields=PlanNumber,PlanType,PlanStatus,PlanName,PlanApplicationDate,PlanDescription&amp;f=html</t>
        </is>
      </c>
      <c r="P155" t="n">
        <v>38.948735</v>
      </c>
      <c r="Q155" t="n">
        <v>-77.52183100000001</v>
      </c>
    </row>
    <row r="156">
      <c r="A156" t="n">
        <v>537</v>
      </c>
      <c r="B156" t="inlineStr">
        <is>
          <t>Loudoun</t>
        </is>
      </c>
      <c r="C156" t="inlineStr">
        <is>
          <t>Cross Mill Center</t>
        </is>
      </c>
      <c r="D156" t="inlineStr">
        <is>
          <t>Site/engineering plan</t>
        </is>
      </c>
      <c r="E156" t="inlineStr">
        <is>
          <t>Pending</t>
        </is>
      </c>
      <c r="F156" t="inlineStr">
        <is>
          <t>Pending application</t>
        </is>
      </c>
      <c r="G156" t="inlineStr">
        <is>
          <t>stated</t>
        </is>
      </c>
      <c r="H156" t="inlineStr">
        <is>
          <t>EPLAN-2026-0140</t>
        </is>
      </c>
      <c r="I156" t="inlineStr">
        <is>
          <t>EPLAN-2026-0140 (Engineering Plan, In Review)</t>
        </is>
      </c>
      <c r="J156" t="inlineStr">
        <is>
          <t>2026-09-17</t>
        </is>
      </c>
      <c r="K156" t="inlineStr"/>
      <c r="L156" t="inlineStr">
        <is>
          <t>Yes</t>
        </is>
      </c>
      <c r="M156" t="inlineStr">
        <is>
          <t>CROSS MILL CENTER - This plan proposes the development of two data center buildings with associated infrastructure and construction of proffered road improvmeents along Sycolin Road</t>
        </is>
      </c>
      <c r="N156" t="inlineStr">
        <is>
          <t>County-stated status of application(s): In Review.</t>
        </is>
      </c>
      <c r="O156" t="inlineStr">
        <is>
          <t>https://logis.loudoun.gov/gis/rest/services/Projects/LOLA_DATA/MapServer/0/query?where=PlanNumber%3D%27EPLAN-2026-0140%27&amp;outFields=PlanNumber,PlanType,PlanStatus,PlanName,PlanApplicationDate,PlanDescription&amp;f=html</t>
        </is>
      </c>
      <c r="P156" t="n">
        <v>39.062834</v>
      </c>
      <c r="Q156" t="n">
        <v>-77.550211</v>
      </c>
    </row>
    <row r="157">
      <c r="A157" t="n">
        <v>538</v>
      </c>
      <c r="B157" t="inlineStr">
        <is>
          <t>Loudoun</t>
        </is>
      </c>
      <c r="C157" t="inlineStr">
        <is>
          <t>ALIGNED ENERGY DATA CENTER</t>
        </is>
      </c>
      <c r="D157" t="inlineStr">
        <is>
          <t>Zoning/legislative</t>
        </is>
      </c>
      <c r="E157" t="inlineStr">
        <is>
          <t>Approved/Planned</t>
        </is>
      </c>
      <c r="F157" t="inlineStr">
        <is>
          <t>Approved entitlement; buildings already on site</t>
        </is>
      </c>
      <c r="G157" t="inlineStr">
        <is>
          <t>mixed (county application status stated; built/not-built inferred)</t>
        </is>
      </c>
      <c r="H157" t="inlineStr">
        <is>
          <t>LEGI-2023-0035</t>
        </is>
      </c>
      <c r="I157" t="inlineStr">
        <is>
          <t>LEGI-2023-0035 (Legislative Application, Approved); SPEX-2022-0024 (Special Exception, Approved); ZMAP-2022-0008 (Zoning Map Amendment, Approved); ZMOD-2022-0028 (Zoning Modification, Approved); SPMI-2022-0014 (Special Exception, Approved); ZMOD-2022-0083 (Zoning Modification, Approved)</t>
        </is>
      </c>
      <c r="J157" t="inlineStr">
        <is>
          <t>2022-05-25</t>
        </is>
      </c>
      <c r="K157" t="inlineStr">
        <is>
          <t>438</t>
        </is>
      </c>
      <c r="L157" t="inlineStr">
        <is>
          <t>Yes</t>
        </is>
      </c>
      <c r="M157" t="inlineStr">
        <is>
          <t>ALIGNED ENERGY DATA CENTER : A Zoning Modification to modify Section 5-664 Data Center 1. (D)(1) Pedestrian and Bicycle Facilities. 2. To modify Section 5-664(E)(2) Landscaping/Buffering/Screening. The applicant proposes to modify thisstandard by replacing the Road Corridor Buffer Type 3 and six-foo | Approved entitlement; data center building(s) already mapped on/adjacent to site</t>
        </is>
      </c>
      <c r="N157" t="inlineStr">
        <is>
          <t>County-stated status of application(s): Approved. Built/not-built is INFERRED: 1 data center building point(s) lie on/adjacent to the application area.</t>
        </is>
      </c>
      <c r="O157" t="inlineStr">
        <is>
          <t>https://logis.loudoun.gov/gis/rest/services/Projects/LOLA_DATA/MapServer/0/query?where=PlanNumber%3D%27ZMOD-2022-0083%27&amp;outFields=PlanNumber,PlanType,PlanStatus,PlanName,PlanApplicationDate,PlanDescription&amp;f=html</t>
        </is>
      </c>
      <c r="P157" t="n">
        <v>38.988601</v>
      </c>
      <c r="Q157" t="n">
        <v>-77.44080700000001</v>
      </c>
    </row>
    <row r="158">
      <c r="A158" t="n">
        <v>539</v>
      </c>
      <c r="B158" t="inlineStr">
        <is>
          <t>Loudoun</t>
        </is>
      </c>
      <c r="C158" t="inlineStr">
        <is>
          <t>BELMONT INNOVATION CAMPUS</t>
        </is>
      </c>
      <c r="D158" t="inlineStr">
        <is>
          <t>Zoning/legislative</t>
        </is>
      </c>
      <c r="E158" t="inlineStr">
        <is>
          <t>Approved/Planned</t>
        </is>
      </c>
      <c r="F158" t="inlineStr">
        <is>
          <t>Approved, not yet built (inferred)</t>
        </is>
      </c>
      <c r="G158" t="inlineStr">
        <is>
          <t>mixed (county application status stated; built/not-built inferred)</t>
        </is>
      </c>
      <c r="H158" t="inlineStr">
        <is>
          <t>LEGI-2023-0048</t>
        </is>
      </c>
      <c r="I158" t="inlineStr">
        <is>
          <t>LEGI-2023-0048 (Legislative Application, Approved); SPMI-2023-0013 (Special Exception, Approved)</t>
        </is>
      </c>
      <c r="J158" t="inlineStr">
        <is>
          <t>2022-10-31</t>
        </is>
      </c>
      <c r="K158" t="inlineStr"/>
      <c r="L158" t="inlineStr">
        <is>
          <t>Yes</t>
        </is>
      </c>
      <c r="M158" t="inlineStr">
        <is>
          <t>See LEGI-2023-0048 for all documents, timelines and workflow - BELMONT INNOVATION CAMPUS : A Minor Special Exception to allow for increased data center development potential on the Property</t>
        </is>
      </c>
      <c r="N158" t="inlineStr">
        <is>
          <t>County-stated status of application(s): Approved. Built/not-built is INFERRED: no mapped data center building lies within the application area.</t>
        </is>
      </c>
      <c r="O158" t="inlineStr">
        <is>
          <t>https://logis.loudoun.gov/gis/rest/services/Projects/LOLA_DATA/MapServer/0/query?where=PlanNumber%3D%27SPMI-2023-0013%27&amp;outFields=PlanNumber,PlanType,PlanStatus,PlanName,PlanApplicationDate,PlanDescription&amp;f=html</t>
        </is>
      </c>
      <c r="P158" t="n">
        <v>39.073219</v>
      </c>
      <c r="Q158" t="n">
        <v>-77.509468</v>
      </c>
    </row>
    <row r="159">
      <c r="A159" t="n">
        <v>540</v>
      </c>
      <c r="B159" t="inlineStr">
        <is>
          <t>Loudoun</t>
        </is>
      </c>
      <c r="C159" t="inlineStr">
        <is>
          <t>VANTAGE DATA CENTER - BROAD RUN</t>
        </is>
      </c>
      <c r="D159" t="inlineStr">
        <is>
          <t>Zoning/legislative</t>
        </is>
      </c>
      <c r="E159" t="inlineStr">
        <is>
          <t>Approved/Planned</t>
        </is>
      </c>
      <c r="F159" t="inlineStr">
        <is>
          <t>Approved entitlement; buildings already on site</t>
        </is>
      </c>
      <c r="G159" t="inlineStr">
        <is>
          <t>mixed (county application status stated; built/not-built inferred)</t>
        </is>
      </c>
      <c r="H159" t="inlineStr">
        <is>
          <t>LEGI-2023-0062</t>
        </is>
      </c>
      <c r="I159" t="inlineStr">
        <is>
          <t>LEGI-2023-0062 (Legislative Application, Approved); ZRTD-2023-0001 (Zoning Map Amendment, Approved)</t>
        </is>
      </c>
      <c r="J159" t="inlineStr">
        <is>
          <t>2023-02-16</t>
        </is>
      </c>
      <c r="K159" t="inlineStr">
        <is>
          <t>461</t>
        </is>
      </c>
      <c r="L159" t="inlineStr">
        <is>
          <t>Yes</t>
        </is>
      </c>
      <c r="M159" t="inlineStr">
        <is>
          <t>VANTAGE DATA CENTER - BROAD RUN : A Zoning Conversion in the Route 28 Tax District to increase the development potential by allowing all permitted uses in the PD-IP District under the Revised 1993 Zoning Ordinance. | Approved entitlement; data center building(s) already mapped on/adjacent to site</t>
        </is>
      </c>
      <c r="N159" t="inlineStr">
        <is>
          <t>County-stated status of application(s): Approved. Built/not-built is INFERRED: 1 data center building point(s) lie on/adjacent to the application area.</t>
        </is>
      </c>
      <c r="O159" t="inlineStr">
        <is>
          <t>https://logis.loudoun.gov/gis/rest/services/Projects/LOLA_DATA/MapServer/0/query?where=PlanNumber%3D%27ZRTD-2023-0001%27&amp;outFields=PlanNumber,PlanType,PlanStatus,PlanName,PlanApplicationDate,PlanDescription&amp;f=html</t>
        </is>
      </c>
      <c r="P159" t="n">
        <v>38.998665</v>
      </c>
      <c r="Q159" t="n">
        <v>-77.44074000000001</v>
      </c>
    </row>
    <row r="160">
      <c r="A160" t="n">
        <v>541</v>
      </c>
      <c r="B160" t="inlineStr">
        <is>
          <t>Loudoun</t>
        </is>
      </c>
      <c r="C160" t="inlineStr">
        <is>
          <t>ARCOLA GROVE REZONING</t>
        </is>
      </c>
      <c r="D160" t="inlineStr">
        <is>
          <t>Zoning/legislative</t>
        </is>
      </c>
      <c r="E160" t="inlineStr">
        <is>
          <t>Approved/Planned</t>
        </is>
      </c>
      <c r="F160" t="inlineStr">
        <is>
          <t>Approved, not yet built (inferred)</t>
        </is>
      </c>
      <c r="G160" t="inlineStr">
        <is>
          <t>mixed (county application status stated; built/not-built inferred)</t>
        </is>
      </c>
      <c r="H160" t="inlineStr">
        <is>
          <t>LEGI-2023-0071</t>
        </is>
      </c>
      <c r="I160" t="inlineStr">
        <is>
          <t>LEGI-2023-0071 (Legislative Application, Approved); ZMAP-2023-0005 (Zoning Map Amendment, Approved)</t>
        </is>
      </c>
      <c r="J160" t="inlineStr">
        <is>
          <t>2023-07-10</t>
        </is>
      </c>
      <c r="K160" t="inlineStr"/>
      <c r="L160" t="inlineStr">
        <is>
          <t>Yes</t>
        </is>
      </c>
      <c r="M160" t="inlineStr">
        <is>
          <t>See LEGI-2023-0071 for all documents, timelines and workflow - ARCOLA GROVE REZONING : A Zoning Map Amendment to rezone approximately 30 acres to build a Utility Transmission Substation and data center. Four of the parcels comprising the property are zoned Planned Development-Industrial Park (PD-IP)</t>
        </is>
      </c>
      <c r="N160" t="inlineStr">
        <is>
          <t>County-stated status of application(s): Approved. Built/not-built is INFERRED: no mapped data center building lies within the application area.</t>
        </is>
      </c>
      <c r="O160" t="inlineStr">
        <is>
          <t>https://logis.loudoun.gov/gis/rest/services/Projects/LOLA_DATA/MapServer/0/query?where=PlanNumber%3D%27ZMAP-2023-0005%27&amp;outFields=PlanNumber,PlanType,PlanStatus,PlanName,PlanApplicationDate,PlanDescription&amp;f=html</t>
        </is>
      </c>
      <c r="P160" t="n">
        <v>38.943773</v>
      </c>
      <c r="Q160" t="n">
        <v>-77.535968</v>
      </c>
    </row>
    <row r="161">
      <c r="A161" t="n">
        <v>542</v>
      </c>
      <c r="B161" t="inlineStr">
        <is>
          <t>Loudoun</t>
        </is>
      </c>
      <c r="C161" t="inlineStr">
        <is>
          <t>ZEBRA EAST</t>
        </is>
      </c>
      <c r="D161" t="inlineStr">
        <is>
          <t>Zoning/legislative</t>
        </is>
      </c>
      <c r="E161" t="inlineStr">
        <is>
          <t>Approved/Planned</t>
        </is>
      </c>
      <c r="F161" t="inlineStr">
        <is>
          <t>Approved, not yet built (inferred)</t>
        </is>
      </c>
      <c r="G161" t="inlineStr">
        <is>
          <t>mixed (county application status stated; built/not-built inferred)</t>
        </is>
      </c>
      <c r="H161" t="inlineStr">
        <is>
          <t>LEGI-2023-0077</t>
        </is>
      </c>
      <c r="I161" t="inlineStr">
        <is>
          <t>LEGI-2023-0077 (Legislative Application, Approved); ZCPA-2023-0005 (Zoning Concept Plan Amendment, Approved)</t>
        </is>
      </c>
      <c r="J161" t="inlineStr">
        <is>
          <t>2023-07-26</t>
        </is>
      </c>
      <c r="K161" t="inlineStr"/>
      <c r="L161" t="inlineStr">
        <is>
          <t>Yes</t>
        </is>
      </c>
      <c r="M161" t="inlineStr">
        <is>
          <t>See LEGI-2023-0077 for all documents, timelines and workflow - ZEBRA EAST : A ZCPA applicaiton to amend a proffer statement associated with ZMAP-1998-0003 to permit additional FAR, and to develop data center uses.</t>
        </is>
      </c>
      <c r="N161" t="inlineStr">
        <is>
          <t>County-stated status of application(s): Approved. Built/not-built is INFERRED: no mapped data center building lies within the application area.</t>
        </is>
      </c>
      <c r="O161" t="inlineStr">
        <is>
          <t>https://logis.loudoun.gov/gis/rest/services/Projects/LOLA_DATA/MapServer/0/query?where=PlanNumber%3D%27ZCPA-2023-0005%27&amp;outFields=PlanNumber,PlanType,PlanStatus,PlanName,PlanApplicationDate,PlanDescription&amp;f=html</t>
        </is>
      </c>
      <c r="P161" t="n">
        <v>39.005403</v>
      </c>
      <c r="Q161" t="n">
        <v>-77.471503</v>
      </c>
    </row>
    <row r="162">
      <c r="A162" t="n">
        <v>543</v>
      </c>
      <c r="B162" t="inlineStr">
        <is>
          <t>Loudoun</t>
        </is>
      </c>
      <c r="C162" t="inlineStr">
        <is>
          <t>Quantum Park</t>
        </is>
      </c>
      <c r="D162" t="inlineStr">
        <is>
          <t>Zoning/legislative</t>
        </is>
      </c>
      <c r="E162" t="inlineStr">
        <is>
          <t>Pending</t>
        </is>
      </c>
      <c r="F162" t="inlineStr">
        <is>
          <t>Pending application</t>
        </is>
      </c>
      <c r="G162" t="inlineStr">
        <is>
          <t>stated</t>
        </is>
      </c>
      <c r="H162" t="inlineStr">
        <is>
          <t>LEGI-2023-0097</t>
        </is>
      </c>
      <c r="I162" t="inlineStr">
        <is>
          <t>LEGI-2023-0097 (Legislative Application, In Review)</t>
        </is>
      </c>
      <c r="J162" t="inlineStr">
        <is>
          <t>2023-11-09</t>
        </is>
      </c>
      <c r="K162" t="inlineStr">
        <is>
          <t>372</t>
        </is>
      </c>
      <c r="L162" t="inlineStr">
        <is>
          <t>Yes</t>
        </is>
      </c>
      <c r="M162" t="inlineStr">
        <is>
          <t>QUANTUM PARK: ZCPA-2023-0008: A Zoning Concept Plan Amendment to expand the permitted building envelope for the development of office and data center uses consistent with the PD-OP zoning district, proffers approved with ZMAP-1998-0003, and the revised 1993 Zoning Ordinance.</t>
        </is>
      </c>
      <c r="N162" t="inlineStr">
        <is>
          <t>County-stated status of application(s): In Review.</t>
        </is>
      </c>
      <c r="O162" t="inlineStr">
        <is>
          <t>https://logis.loudoun.gov/gis/rest/services/Projects/LOLA_DATA/MapServer/0/query?where=PlanNumber%3D%27LEGI-2023-0097%27&amp;outFields=PlanNumber,PlanType,PlanStatus,PlanName,PlanApplicationDate,PlanDescription&amp;f=html</t>
        </is>
      </c>
      <c r="P162" t="n">
        <v>39.010166</v>
      </c>
      <c r="Q162" t="n">
        <v>-77.470941</v>
      </c>
    </row>
    <row r="163">
      <c r="A163" t="n">
        <v>544</v>
      </c>
      <c r="B163" t="inlineStr">
        <is>
          <t>Loudoun</t>
        </is>
      </c>
      <c r="C163" t="inlineStr">
        <is>
          <t>GLENN DRIVE NORTH &amp; SOUTH</t>
        </is>
      </c>
      <c r="D163" t="inlineStr">
        <is>
          <t>Zoning/legislative</t>
        </is>
      </c>
      <c r="E163" t="inlineStr">
        <is>
          <t>Pending</t>
        </is>
      </c>
      <c r="F163" t="inlineStr">
        <is>
          <t>Pending application</t>
        </is>
      </c>
      <c r="G163" t="inlineStr">
        <is>
          <t>stated</t>
        </is>
      </c>
      <c r="H163" t="inlineStr">
        <is>
          <t>LEGI-2024-0003</t>
        </is>
      </c>
      <c r="I163" t="inlineStr">
        <is>
          <t>LEGI-2024-0003 (Legislative Application, In Review); SPEX-2024-0010 (Special Exception, In Review); SPEX-2024-0065 (Special Exception, In Review); ZMAP-2026-0001 (Zoning Map Amendment, In Review)</t>
        </is>
      </c>
      <c r="J163" t="inlineStr">
        <is>
          <t>2024-01-22</t>
        </is>
      </c>
      <c r="K163" t="inlineStr"/>
      <c r="L163" t="inlineStr">
        <is>
          <t>Yes</t>
        </is>
      </c>
      <c r="M163" t="inlineStr">
        <is>
          <t>GLENN DRIVE NORTH &amp; SOUTH ZMAP-2024-0002: A Zoning Conversion in the Route 28 Tax District of 42.3 acres from the Planned Development–Industrial Park (PD-IP) Zoning District under the 1972 Zoning Ordinance to the Industrial Park (IP) Zoning District under the Zoning Ordinance. SPEX-2024-0010: A Spec</t>
        </is>
      </c>
      <c r="N163" t="inlineStr">
        <is>
          <t>County-stated status of application(s): In Review.</t>
        </is>
      </c>
      <c r="O163" t="inlineStr">
        <is>
          <t>https://logis.loudoun.gov/gis/rest/services/Projects/LOLA_DATA/MapServer/0/query?where=PlanNumber%3D%27ZMAP-2026-0001%27&amp;outFields=PlanNumber,PlanType,PlanStatus,PlanName,PlanApplicationDate,PlanDescription&amp;f=html</t>
        </is>
      </c>
      <c r="P163" t="n">
        <v>38.98738</v>
      </c>
      <c r="Q163" t="n">
        <v>-77.41848899999999</v>
      </c>
    </row>
    <row r="164">
      <c r="A164" t="n">
        <v>545</v>
      </c>
      <c r="B164" t="inlineStr">
        <is>
          <t>Loudoun</t>
        </is>
      </c>
      <c r="C164" t="inlineStr">
        <is>
          <t>Global Plaza</t>
        </is>
      </c>
      <c r="D164" t="inlineStr">
        <is>
          <t>Zoning/legislative</t>
        </is>
      </c>
      <c r="E164" t="inlineStr">
        <is>
          <t>Pending</t>
        </is>
      </c>
      <c r="F164" t="inlineStr">
        <is>
          <t>Pending application</t>
        </is>
      </c>
      <c r="G164" t="inlineStr">
        <is>
          <t>stated</t>
        </is>
      </c>
      <c r="H164" t="inlineStr">
        <is>
          <t>SPEX-2024-0011</t>
        </is>
      </c>
      <c r="I164" t="inlineStr">
        <is>
          <t>SPEX-2024-0011 (Special Exception, In Review); LEGI-2024-0004 (Legislative Application, In Review); SPEX-2025-0027 (Special Exception, In Review)</t>
        </is>
      </c>
      <c r="J164" t="inlineStr">
        <is>
          <t>2024-02-27</t>
        </is>
      </c>
      <c r="K164" t="inlineStr"/>
      <c r="L164" t="inlineStr">
        <is>
          <t>Yes</t>
        </is>
      </c>
      <c r="M164" t="inlineStr">
        <is>
          <t>GLOBAL PLAZA: A Special Exceptions to allow for a 1.0 floor area ratio (FAR) of data center uses. A Minor Special Exception to modify the building setback along the northern property boundary.</t>
        </is>
      </c>
      <c r="N164" t="inlineStr">
        <is>
          <t>County-stated status of application(s): In Review.</t>
        </is>
      </c>
      <c r="O164" t="inlineStr">
        <is>
          <t>https://logis.loudoun.gov/gis/rest/services/Projects/LOLA_DATA/MapServer/0/query?where=PlanNumber%3D%27SPEX-2025-0027%27&amp;outFields=PlanNumber,PlanType,PlanStatus,PlanName,PlanApplicationDate,PlanDescription&amp;f=html</t>
        </is>
      </c>
      <c r="P164" t="n">
        <v>38.986294</v>
      </c>
      <c r="Q164" t="n">
        <v>-77.43885</v>
      </c>
    </row>
    <row r="165">
      <c r="A165" t="n">
        <v>546</v>
      </c>
      <c r="B165" t="inlineStr">
        <is>
          <t>Loudoun</t>
        </is>
      </c>
      <c r="C165" t="inlineStr">
        <is>
          <t>Cochran Tech Park</t>
        </is>
      </c>
      <c r="D165" t="inlineStr">
        <is>
          <t>Zoning/legislative</t>
        </is>
      </c>
      <c r="E165" t="inlineStr">
        <is>
          <t>Pending</t>
        </is>
      </c>
      <c r="F165" t="inlineStr">
        <is>
          <t>Pending application</t>
        </is>
      </c>
      <c r="G165" t="inlineStr">
        <is>
          <t>stated</t>
        </is>
      </c>
      <c r="H165" t="inlineStr">
        <is>
          <t>LEGI-2024-0037</t>
        </is>
      </c>
      <c r="I165" t="inlineStr">
        <is>
          <t>LEGI-2024-0037 (Legislative Application, In Review); SPEX-2025-0029 (Special Exception, In Review); SPEX-2025-0054 (Special Exception, In Review)</t>
        </is>
      </c>
      <c r="J165" t="inlineStr">
        <is>
          <t>2024-07-30</t>
        </is>
      </c>
      <c r="K165" t="inlineStr"/>
      <c r="L165" t="inlineStr">
        <is>
          <t>Yes</t>
        </is>
      </c>
      <c r="M165" t="inlineStr">
        <is>
          <t>COCHRAN TECH: See LEGI-2024-0037 for all timelines, document, and updates. A Special Exception to allow a data center development on moderately steep slopes in the IP Zoning District.</t>
        </is>
      </c>
      <c r="N165" t="inlineStr">
        <is>
          <t>County-stated status of application(s): In Review.</t>
        </is>
      </c>
      <c r="O165" t="inlineStr">
        <is>
          <t>https://logis.loudoun.gov/gis/rest/services/Projects/LOLA_DATA/MapServer/0/query?where=PlanNumber%3D%27SPEX-2025-0054%27&amp;outFields=PlanNumber,PlanType,PlanStatus,PlanName,PlanApplicationDate,PlanDescription&amp;f=html</t>
        </is>
      </c>
      <c r="P165" t="n">
        <v>39.07685</v>
      </c>
      <c r="Q165" t="n">
        <v>-77.514629</v>
      </c>
    </row>
    <row r="166">
      <c r="A166" t="n">
        <v>547</v>
      </c>
      <c r="B166" t="inlineStr">
        <is>
          <t>Loudoun</t>
        </is>
      </c>
      <c r="C166" t="inlineStr">
        <is>
          <t>DULLES DISTRIBUTION CENTER PHASE 1 &amp; 2</t>
        </is>
      </c>
      <c r="D166" t="inlineStr">
        <is>
          <t>Zoning/legislative</t>
        </is>
      </c>
      <c r="E166" t="inlineStr">
        <is>
          <t>Pending</t>
        </is>
      </c>
      <c r="F166" t="inlineStr">
        <is>
          <t>Pending application</t>
        </is>
      </c>
      <c r="G166" t="inlineStr">
        <is>
          <t>stated</t>
        </is>
      </c>
      <c r="H166" t="inlineStr">
        <is>
          <t>LEGI-2024-0039</t>
        </is>
      </c>
      <c r="I166" t="inlineStr">
        <is>
          <t>LEGI-2024-0039 (Legislative Application, In Review)</t>
        </is>
      </c>
      <c r="J166" t="inlineStr">
        <is>
          <t>2024-09-04</t>
        </is>
      </c>
      <c r="K166" t="inlineStr"/>
      <c r="L166" t="inlineStr">
        <is>
          <t>Yes</t>
        </is>
      </c>
      <c r="M166" t="inlineStr">
        <is>
          <t>DULLES DISTRIBUTION CENTER PHASE 1 &amp; 2 ZMAP-2024-0013: A Zoning Conversion in the Route 28 Tax District to convert approximately 32.48 acres from the Planned Development - Industrial Park (PD-IP) Zoning District under the 1972 Loudoun County Zoning Ordinance to the Industrial Park (IP) Zoning Distri</t>
        </is>
      </c>
      <c r="N166" t="inlineStr">
        <is>
          <t>County-stated status of application(s): In Review.</t>
        </is>
      </c>
      <c r="O166" t="inlineStr">
        <is>
          <t>https://logis.loudoun.gov/gis/rest/services/Projects/LOLA_DATA/MapServer/0/query?where=PlanNumber%3D%27LEGI-2024-0039%27&amp;outFields=PlanNumber,PlanType,PlanStatus,PlanName,PlanApplicationDate,PlanDescription&amp;f=html</t>
        </is>
      </c>
      <c r="P166" t="n">
        <v>38.977889</v>
      </c>
      <c r="Q166" t="n">
        <v>-77.442348</v>
      </c>
    </row>
    <row r="167">
      <c r="A167" t="n">
        <v>548</v>
      </c>
      <c r="B167" t="inlineStr">
        <is>
          <t>Loudoun</t>
        </is>
      </c>
      <c r="C167" t="inlineStr">
        <is>
          <t>Dulles Downs</t>
        </is>
      </c>
      <c r="D167" t="inlineStr">
        <is>
          <t>Zoning/legislative</t>
        </is>
      </c>
      <c r="E167" t="inlineStr">
        <is>
          <t>Pending</t>
        </is>
      </c>
      <c r="F167" t="inlineStr">
        <is>
          <t>Pending application</t>
        </is>
      </c>
      <c r="G167" t="inlineStr">
        <is>
          <t>stated</t>
        </is>
      </c>
      <c r="H167" t="inlineStr">
        <is>
          <t>SPEX-2024-0057</t>
        </is>
      </c>
      <c r="I167" t="inlineStr">
        <is>
          <t>SPEX-2024-0057 (Special Exception, In Review); LEGI-2024-0041 (Legislative Application, In Review)</t>
        </is>
      </c>
      <c r="J167" t="inlineStr">
        <is>
          <t>2024-08-08</t>
        </is>
      </c>
      <c r="K167" t="inlineStr">
        <is>
          <t>248, 251, 316, 317</t>
        </is>
      </c>
      <c r="L167" t="inlineStr">
        <is>
          <t>Yes</t>
        </is>
      </c>
      <c r="M167" t="inlineStr">
        <is>
          <t>DULLES DOWNS ZMAP-2024-0014: A Zoning Conversion in the Route 28 Tax District to convert two parcels (PINs 045-28-2657 and 045-37-0852) comprising 26.913 acres from the Planned Development - Industrial Park (PD-IP) Zoning District under the 1972 Loudoun County Zoning Ordinance to the Industrial Park</t>
        </is>
      </c>
      <c r="N167" t="inlineStr">
        <is>
          <t>County-stated status of application(s): In Review.</t>
        </is>
      </c>
      <c r="O167" t="inlineStr">
        <is>
          <t>https://logis.loudoun.gov/gis/rest/services/Projects/LOLA_DATA/MapServer/0/query?where=PlanNumber%3D%27LEGI-2024-0041%27&amp;outFields=PlanNumber,PlanType,PlanStatus,PlanName,PlanApplicationDate,PlanDescription&amp;f=html</t>
        </is>
      </c>
      <c r="P167" t="n">
        <v>38.991237</v>
      </c>
      <c r="Q167" t="n">
        <v>-77.440843</v>
      </c>
    </row>
    <row r="168">
      <c r="A168" t="n">
        <v>549</v>
      </c>
      <c r="B168" t="inlineStr">
        <is>
          <t>Loudoun</t>
        </is>
      </c>
      <c r="C168" t="inlineStr">
        <is>
          <t>West Dulles &amp; Dulles Commerce Center</t>
        </is>
      </c>
      <c r="D168" t="inlineStr">
        <is>
          <t>Zoning/legislative</t>
        </is>
      </c>
      <c r="E168" t="inlineStr">
        <is>
          <t>Pending</t>
        </is>
      </c>
      <c r="F168" t="inlineStr">
        <is>
          <t>Pending application</t>
        </is>
      </c>
      <c r="G168" t="inlineStr">
        <is>
          <t>stated</t>
        </is>
      </c>
      <c r="H168" t="inlineStr">
        <is>
          <t>SPEX-2024-0058</t>
        </is>
      </c>
      <c r="I168" t="inlineStr">
        <is>
          <t>SPEX-2024-0058 (Special Exception, In Review); LEGI-2024-0042 (Legislative Application, In Review)</t>
        </is>
      </c>
      <c r="J168" t="inlineStr">
        <is>
          <t>2024-08-27</t>
        </is>
      </c>
      <c r="K168" t="inlineStr">
        <is>
          <t>361, 362, 363</t>
        </is>
      </c>
      <c r="L168" t="inlineStr">
        <is>
          <t>Yes</t>
        </is>
      </c>
      <c r="M168" t="inlineStr">
        <is>
          <t>WEST DULLES AND DULLES COMMERCE CENTER ZMAP-2024-0015: A Zoning Map Amendment of 94.35 acres from the General Industry (GI) Zoning District to the Industrial Park (IP) Zoning District. SPEX-2024-0058: A Special Exception to permit data center development up to a 1.0 floor area ratio (FAR). SPEX-2024</t>
        </is>
      </c>
      <c r="N168" t="inlineStr">
        <is>
          <t>County-stated status of application(s): In Review.</t>
        </is>
      </c>
      <c r="O168" t="inlineStr">
        <is>
          <t>https://logis.loudoun.gov/gis/rest/services/Projects/LOLA_DATA/MapServer/0/query?where=PlanNumber%3D%27LEGI-2024-0042%27&amp;outFields=PlanNumber,PlanType,PlanStatus,PlanName,PlanApplicationDate,PlanDescription&amp;f=html</t>
        </is>
      </c>
      <c r="P168" t="n">
        <v>38.955572</v>
      </c>
      <c r="Q168" t="n">
        <v>-77.496838</v>
      </c>
    </row>
    <row r="169">
      <c r="A169" t="n">
        <v>550</v>
      </c>
      <c r="B169" t="inlineStr">
        <is>
          <t>Loudoun</t>
        </is>
      </c>
      <c r="C169" t="inlineStr">
        <is>
          <t>Equinix Ashburn East</t>
        </is>
      </c>
      <c r="D169" t="inlineStr">
        <is>
          <t>Zoning/legislative</t>
        </is>
      </c>
      <c r="E169" t="inlineStr">
        <is>
          <t>Pending</t>
        </is>
      </c>
      <c r="F169" t="inlineStr">
        <is>
          <t>Pending application</t>
        </is>
      </c>
      <c r="G169" t="inlineStr">
        <is>
          <t>stated</t>
        </is>
      </c>
      <c r="H169" t="inlineStr">
        <is>
          <t>SPEX-2024-0063</t>
        </is>
      </c>
      <c r="I169" t="inlineStr">
        <is>
          <t>SPEX-2024-0063 (Special Exception, In Review); SPEX-2025-0057 (Special Exception, In Review); LEGI-2024-0047 (Legislative Application, In Review)</t>
        </is>
      </c>
      <c r="J169" t="inlineStr">
        <is>
          <t>2025-08-26</t>
        </is>
      </c>
      <c r="K169" t="inlineStr">
        <is>
          <t>369, 370</t>
        </is>
      </c>
      <c r="L169" t="inlineStr">
        <is>
          <t>Yes</t>
        </is>
      </c>
      <c r="M169" t="inlineStr">
        <is>
          <t>EQUINIX ASHBURN EAST: SPEX-2024-0063: A Special Exception to allow data center development up to a 1.0 floor area ratio (FAR). SPEX-2025-0057: A Special Exception to permit a data center use in the Industrial Park (IP) Zoning District.</t>
        </is>
      </c>
      <c r="N169" t="inlineStr">
        <is>
          <t>County-stated status of application(s): In Review.</t>
        </is>
      </c>
      <c r="O169" t="inlineStr">
        <is>
          <t>https://logis.loudoun.gov/gis/rest/services/Projects/LOLA_DATA/MapServer/0/query?where=PlanNumber%3D%27LEGI-2024-0047%27&amp;outFields=PlanNumber,PlanType,PlanStatus,PlanName,PlanApplicationDate,PlanDescription&amp;f=html</t>
        </is>
      </c>
      <c r="P169" t="n">
        <v>39.012419</v>
      </c>
      <c r="Q169" t="n">
        <v>-77.45356700000001</v>
      </c>
    </row>
    <row r="170">
      <c r="A170" t="n">
        <v>551</v>
      </c>
      <c r="B170" t="inlineStr">
        <is>
          <t>Loudoun</t>
        </is>
      </c>
      <c r="C170" t="inlineStr">
        <is>
          <t>Horseshoe Drive</t>
        </is>
      </c>
      <c r="D170" t="inlineStr">
        <is>
          <t>Zoning/legislative</t>
        </is>
      </c>
      <c r="E170" t="inlineStr">
        <is>
          <t>Pending</t>
        </is>
      </c>
      <c r="F170" t="inlineStr">
        <is>
          <t>Pending application</t>
        </is>
      </c>
      <c r="G170" t="inlineStr">
        <is>
          <t>stated</t>
        </is>
      </c>
      <c r="H170" t="inlineStr">
        <is>
          <t>SPEX-2024-0082</t>
        </is>
      </c>
      <c r="I170" t="inlineStr">
        <is>
          <t>SPEX-2024-0082 (Special Exception, In Review); LEGI-2024-0058 (Legislative Application, In Review); SPEX-2025-0055 (Special Exception, In Review)</t>
        </is>
      </c>
      <c r="J170" t="inlineStr">
        <is>
          <t>2024-11-27</t>
        </is>
      </c>
      <c r="K170" t="inlineStr"/>
      <c r="L170" t="inlineStr">
        <is>
          <t>Yes</t>
        </is>
      </c>
      <c r="M170" t="inlineStr">
        <is>
          <t>HORSESHOE DRIVE: A Special Exception to allow for a 1.0 floor area ratio (FAR) of data center uses.</t>
        </is>
      </c>
      <c r="N170" t="inlineStr">
        <is>
          <t>County-stated status of application(s): In Review.</t>
        </is>
      </c>
      <c r="O170" t="inlineStr">
        <is>
          <t>https://logis.loudoun.gov/gis/rest/services/Projects/LOLA_DATA/MapServer/0/query?where=PlanNumber%3D%27SPEX-2025-0055%27&amp;outFields=PlanNumber,PlanType,PlanStatus,PlanName,PlanApplicationDate,PlanDescription&amp;f=html</t>
        </is>
      </c>
      <c r="P170" t="n">
        <v>39.026094</v>
      </c>
      <c r="Q170" t="n">
        <v>-77.41166200000001</v>
      </c>
    </row>
    <row r="171">
      <c r="A171" t="n">
        <v>552</v>
      </c>
      <c r="B171" t="inlineStr">
        <is>
          <t>Loudoun</t>
        </is>
      </c>
      <c r="C171" t="inlineStr">
        <is>
          <t>Spring Valley Technology Park</t>
        </is>
      </c>
      <c r="D171" t="inlineStr">
        <is>
          <t>Zoning/legislative</t>
        </is>
      </c>
      <c r="E171" t="inlineStr">
        <is>
          <t>Pending</t>
        </is>
      </c>
      <c r="F171" t="inlineStr">
        <is>
          <t>Pending application</t>
        </is>
      </c>
      <c r="G171" t="inlineStr">
        <is>
          <t>stated</t>
        </is>
      </c>
      <c r="H171" t="inlineStr">
        <is>
          <t>LEGI-2024-0074</t>
        </is>
      </c>
      <c r="I171" t="inlineStr">
        <is>
          <t>LEGI-2024-0074 (Legislative Application, In Review); SPEX-2025-0136 (Special Exception, In Review); SPEX-2026-0004 (Special Exception, In Review); SPEX-2026-0031 (Special Exception, In Review)</t>
        </is>
      </c>
      <c r="J171" t="inlineStr">
        <is>
          <t>2025-03-03</t>
        </is>
      </c>
      <c r="K171" t="inlineStr"/>
      <c r="L171" t="inlineStr">
        <is>
          <t>Yes</t>
        </is>
      </c>
      <c r="M171" t="inlineStr">
        <is>
          <t>SEE LEGI-2024-0074 FOR DOCUMENTS, TIMELINE AND WORKFLOW. SPRING VALLEY TECHNOLOGY PARK: 4.06.02.D.2 Separation from Residential. Ground mounted Data Center Mechanical Equipment must be separated from adjacent property that has existing residential development, an approved CDP or plat or plan showing</t>
        </is>
      </c>
      <c r="N171" t="inlineStr">
        <is>
          <t>County-stated status of application(s): In Review.</t>
        </is>
      </c>
      <c r="O171" t="inlineStr">
        <is>
          <t>https://logis.loudoun.gov/gis/rest/services/Projects/LOLA_DATA/MapServer/0/query?where=PlanNumber%3D%27SPEX-2026-0031%27&amp;outFields=PlanNumber,PlanType,PlanStatus,PlanName,PlanApplicationDate,PlanDescription&amp;f=html</t>
        </is>
      </c>
      <c r="P171" t="n">
        <v>39.00654</v>
      </c>
      <c r="Q171" t="n">
        <v>-77.568845</v>
      </c>
    </row>
    <row r="172">
      <c r="A172" t="n">
        <v>553</v>
      </c>
      <c r="B172" t="inlineStr">
        <is>
          <t>Loudoun</t>
        </is>
      </c>
      <c r="C172" t="inlineStr">
        <is>
          <t>SDC Ashburn I</t>
        </is>
      </c>
      <c r="D172" t="inlineStr">
        <is>
          <t>Zoning/legislative</t>
        </is>
      </c>
      <c r="E172" t="inlineStr">
        <is>
          <t>Approved/Planned</t>
        </is>
      </c>
      <c r="F172" t="inlineStr">
        <is>
          <t>Approved entitlement; buildings already on site</t>
        </is>
      </c>
      <c r="G172" t="inlineStr">
        <is>
          <t>mixed (county application status stated; built/not-built inferred)</t>
        </is>
      </c>
      <c r="H172" t="inlineStr">
        <is>
          <t>SPEX-2025-0031</t>
        </is>
      </c>
      <c r="I172" t="inlineStr">
        <is>
          <t>SPEX-2025-0031 (Special Exception, Approved); LEGI-2025-0015 (Legislative Application, Approved)</t>
        </is>
      </c>
      <c r="J172" t="inlineStr">
        <is>
          <t>2025-05-02</t>
        </is>
      </c>
      <c r="K172" t="inlineStr">
        <is>
          <t>394, 395, 396</t>
        </is>
      </c>
      <c r="L172" t="inlineStr">
        <is>
          <t>Yes</t>
        </is>
      </c>
      <c r="M172" t="inlineStr">
        <is>
          <t>SDC ASHBURN 1 SPEX-2025-0031: A Special Exception to permit the expansion of a data center building footprint from 14,386 square feet to 20,000 square feet. | Approved entitlement; data center building(s) already mapped on/adjacent to site</t>
        </is>
      </c>
      <c r="N172" t="inlineStr">
        <is>
          <t>County-stated status of application(s): Approved. Built/not-built is INFERRED: 3 data center building point(s) lie on/adjacent to the application area.</t>
        </is>
      </c>
      <c r="O172" t="inlineStr">
        <is>
          <t>https://logis.loudoun.gov/gis/rest/services/Projects/LOLA_DATA/MapServer/0/query?where=PlanNumber%3D%27LEGI-2025-0015%27&amp;outFields=PlanNumber,PlanType,PlanStatus,PlanName,PlanApplicationDate,PlanDescription&amp;f=html</t>
        </is>
      </c>
      <c r="P172" t="n">
        <v>38.996093</v>
      </c>
      <c r="Q172" t="n">
        <v>-77.471906</v>
      </c>
    </row>
    <row r="173">
      <c r="A173" t="n">
        <v>554</v>
      </c>
      <c r="B173" t="inlineStr">
        <is>
          <t>Loudoun</t>
        </is>
      </c>
      <c r="C173" t="inlineStr">
        <is>
          <t>EQUINIX ASHBURN NORTH</t>
        </is>
      </c>
      <c r="D173" t="inlineStr">
        <is>
          <t>Zoning/legislative</t>
        </is>
      </c>
      <c r="E173" t="inlineStr">
        <is>
          <t>Pending</t>
        </is>
      </c>
      <c r="F173" t="inlineStr">
        <is>
          <t>Pending application</t>
        </is>
      </c>
      <c r="G173" t="inlineStr">
        <is>
          <t>stated</t>
        </is>
      </c>
      <c r="H173" t="inlineStr">
        <is>
          <t>SPEX-2025-0051</t>
        </is>
      </c>
      <c r="I173" t="inlineStr">
        <is>
          <t>SPEX-2025-0051 (Special Exception, In Review); LEGI-2025-0027 (Legislative Application, In Review)</t>
        </is>
      </c>
      <c r="J173" t="inlineStr">
        <is>
          <t>2025-07-25</t>
        </is>
      </c>
      <c r="K173" t="inlineStr">
        <is>
          <t>326, 327, 406, 407</t>
        </is>
      </c>
      <c r="L173" t="inlineStr">
        <is>
          <t>Yes</t>
        </is>
      </c>
      <c r="M173" t="inlineStr">
        <is>
          <t>EQUINIX ASHBURN NORTH: A Special Exception (SPEX) for Data Center Use and a Special Exception to exceed a 0.60 Floor Area Ratio on a 44-acre property in the Industrial Park (IP) Zoning District.</t>
        </is>
      </c>
      <c r="N173" t="inlineStr">
        <is>
          <t>County-stated status of application(s): In Review.</t>
        </is>
      </c>
      <c r="O173" t="inlineStr">
        <is>
          <t>https://logis.loudoun.gov/gis/rest/services/Projects/LOLA_DATA/MapServer/0/query?where=PlanNumber%3D%27LEGI-2025-0027%27&amp;outFields=PlanNumber,PlanType,PlanStatus,PlanName,PlanApplicationDate,PlanDescription&amp;f=html</t>
        </is>
      </c>
      <c r="P173" t="n">
        <v>39.02341</v>
      </c>
      <c r="Q173" t="n">
        <v>-77.450419</v>
      </c>
    </row>
    <row r="174">
      <c r="A174" t="n">
        <v>555</v>
      </c>
      <c r="B174" t="inlineStr">
        <is>
          <t>Loudoun</t>
        </is>
      </c>
      <c r="C174" t="inlineStr">
        <is>
          <t>Yondr - Tarring</t>
        </is>
      </c>
      <c r="D174" t="inlineStr">
        <is>
          <t>Zoning/legislative</t>
        </is>
      </c>
      <c r="E174" t="inlineStr">
        <is>
          <t>Pending</t>
        </is>
      </c>
      <c r="F174" t="inlineStr">
        <is>
          <t>Pending application</t>
        </is>
      </c>
      <c r="G174" t="inlineStr">
        <is>
          <t>stated</t>
        </is>
      </c>
      <c r="H174" t="inlineStr">
        <is>
          <t>SPEX-2025-0128</t>
        </is>
      </c>
      <c r="I174" t="inlineStr">
        <is>
          <t>SPEX-2025-0128 (Special Exception, In Review); LEGI-2025-0049 (Legislative Application, In Review)</t>
        </is>
      </c>
      <c r="J174" t="inlineStr">
        <is>
          <t>2025-11-10</t>
        </is>
      </c>
      <c r="K174" t="inlineStr"/>
      <c r="L174" t="inlineStr">
        <is>
          <t>Yes</t>
        </is>
      </c>
      <c r="M174" t="inlineStr">
        <is>
          <t>YONDR-TARRING SPEX-2025-0128: A Special Exception to permit a data center use in the General Industry (GI) Zoning District SPEX-2025-0144: A Minor Special Exception to eliminate the berm and fencing requirements along a portion of the frontage of Youngwood Lane. SPEX-2026-0018: A Minor Special Excep</t>
        </is>
      </c>
      <c r="N174" t="inlineStr">
        <is>
          <t>County-stated status of application(s): In Review.</t>
        </is>
      </c>
      <c r="O174" t="inlineStr">
        <is>
          <t>https://logis.loudoun.gov/gis/rest/services/Projects/LOLA_DATA/MapServer/0/query?where=PlanNumber%3D%27LEGI-2025-0049%27&amp;outFields=PlanNumber,PlanType,PlanStatus,PlanName,PlanApplicationDate,PlanDescription&amp;f=html</t>
        </is>
      </c>
      <c r="P174" t="n">
        <v>38.952905</v>
      </c>
      <c r="Q174" t="n">
        <v>-77.546864</v>
      </c>
    </row>
    <row r="175">
      <c r="A175" t="n">
        <v>556</v>
      </c>
      <c r="B175" t="inlineStr">
        <is>
          <t>Loudoun</t>
        </is>
      </c>
      <c r="C175" t="inlineStr">
        <is>
          <t>Relocation Drive Data Center</t>
        </is>
      </c>
      <c r="D175" t="inlineStr">
        <is>
          <t>Zoning/legislative</t>
        </is>
      </c>
      <c r="E175" t="inlineStr">
        <is>
          <t>Pending</t>
        </is>
      </c>
      <c r="F175" t="inlineStr">
        <is>
          <t>Pending application</t>
        </is>
      </c>
      <c r="G175" t="inlineStr">
        <is>
          <t>stated</t>
        </is>
      </c>
      <c r="H175" t="inlineStr">
        <is>
          <t>SPEX-2026-0037</t>
        </is>
      </c>
      <c r="I175" t="inlineStr">
        <is>
          <t>SPEX-2026-0037 (Special Exception, Submitted); LEGI-2026-0019 (Legislative Application, In Review); SPEX-2026-0038 (Special Exception, In Review); ZCPA-2026-0008 (Zoning Concept Plan Amendment, In Review)</t>
        </is>
      </c>
      <c r="J175" t="inlineStr">
        <is>
          <t>2026-06-08</t>
        </is>
      </c>
      <c r="K175" t="inlineStr">
        <is>
          <t>308, 309</t>
        </is>
      </c>
      <c r="L175" t="inlineStr">
        <is>
          <t>Yes</t>
        </is>
      </c>
      <c r="M175" t="inlineStr">
        <is>
          <t>SEE LEGI-2026-0019 FOR DOCUMENTS, TIMELINE AND WORKFLOW. Relocation Drive Data Center - A Zoning Concept Plan Amendment and Special Exception to permit the redevelopment of existing Data Center uses at a 0.86 FAR.</t>
        </is>
      </c>
      <c r="N175" t="inlineStr">
        <is>
          <t>County-stated status of application(s): In Review, Submitted.</t>
        </is>
      </c>
      <c r="O175" t="inlineStr">
        <is>
          <t>https://logis.loudoun.gov/gis/rest/services/Projects/LOLA_DATA/MapServer/0/query?where=PlanNumber%3D%27ZCPA-2026-0008%27&amp;outFields=PlanNumber,PlanType,PlanStatus,PlanName,PlanApplicationDate,PlanDescription&amp;f=html</t>
        </is>
      </c>
      <c r="P175" t="n">
        <v>38.98662</v>
      </c>
      <c r="Q175" t="n">
        <v>-77.442243</v>
      </c>
    </row>
    <row r="176">
      <c r="A176" t="n">
        <v>557</v>
      </c>
      <c r="B176" t="inlineStr">
        <is>
          <t>Loudoun</t>
        </is>
      </c>
      <c r="C176" t="inlineStr">
        <is>
          <t>EQUINIX SIGN PLAN</t>
        </is>
      </c>
      <c r="D176" t="inlineStr">
        <is>
          <t>Zoning/legislative</t>
        </is>
      </c>
      <c r="E176" t="inlineStr">
        <is>
          <t>Approved/Planned</t>
        </is>
      </c>
      <c r="F176" t="inlineStr">
        <is>
          <t>Approved entitlement; buildings already on site</t>
        </is>
      </c>
      <c r="G176" t="inlineStr">
        <is>
          <t>mixed (county application status stated; built/not-built inferred)</t>
        </is>
      </c>
      <c r="H176" t="inlineStr">
        <is>
          <t>SIDP-2020-0008</t>
        </is>
      </c>
      <c r="I176" t="inlineStr">
        <is>
          <t>SIDP-2020-0008 (Zoning Modification, Approved)</t>
        </is>
      </c>
      <c r="J176" t="inlineStr">
        <is>
          <t>2020-07-27</t>
        </is>
      </c>
      <c r="K176" t="inlineStr">
        <is>
          <t>370</t>
        </is>
      </c>
      <c r="L176" t="inlineStr">
        <is>
          <t>Yes</t>
        </is>
      </c>
      <c r="M176" t="inlineStr">
        <is>
          <t>EQUINIX SIGN PLAN : A Sign Development Plan (SIDP) to increase the number of allowed signsand to increase the allowable sign area for data center signage in thePD-IP Zoning District pursuant to Section 5-1204, Table 5-1204(D)(4)(g). | Approved entitlement; data center building(s) already mapped on/adjacent to site</t>
        </is>
      </c>
      <c r="N176" t="inlineStr">
        <is>
          <t>County-stated status of application(s): Approved. Built/not-built is INFERRED: 1 data center building point(s) lie on/adjacent to the application area.</t>
        </is>
      </c>
      <c r="O176" t="inlineStr">
        <is>
          <t>https://logis.loudoun.gov/gis/rest/services/Projects/LOLA_DATA/MapServer/0/query?where=PlanNumber%3D%27SIDP-2020-0008%27&amp;outFields=PlanNumber,PlanType,PlanStatus,PlanName,PlanApplicationDate,PlanDescription&amp;f=html</t>
        </is>
      </c>
      <c r="P176" t="n">
        <v>39.011784</v>
      </c>
      <c r="Q176" t="n">
        <v>-77.454928</v>
      </c>
    </row>
    <row r="177">
      <c r="A177" t="n">
        <v>558</v>
      </c>
      <c r="B177" t="inlineStr">
        <is>
          <t>Loudoun</t>
        </is>
      </c>
      <c r="C177" t="inlineStr">
        <is>
          <t>MCI DATA CENTER</t>
        </is>
      </c>
      <c r="D177" t="inlineStr">
        <is>
          <t>Site/engineering plan</t>
        </is>
      </c>
      <c r="E177" t="inlineStr">
        <is>
          <t>Approved/Planned</t>
        </is>
      </c>
      <c r="F177" t="inlineStr">
        <is>
          <t>Approved, not yet built (inferred)</t>
        </is>
      </c>
      <c r="G177" t="inlineStr">
        <is>
          <t>mixed (county application status stated; built/not-built inferred)</t>
        </is>
      </c>
      <c r="H177" t="inlineStr">
        <is>
          <t>SPAM-2005-0055</t>
        </is>
      </c>
      <c r="I177" t="inlineStr">
        <is>
          <t>SPAM-2005-0055 (Engineering Plan, Approved)</t>
        </is>
      </c>
      <c r="J177" t="inlineStr">
        <is>
          <t>2005-05-25</t>
        </is>
      </c>
      <c r="K177" t="inlineStr"/>
      <c r="L177" t="inlineStr">
        <is>
          <t>Yes</t>
        </is>
      </c>
      <c r="M177" t="inlineStr">
        <is>
          <t>MCI DATA CENTER : REQUEST APPROVAL OF A SITE PLAN AMENDMENT TO ALREADY APPROVED SITE PLAN (STPL-1999-0085) FOR A BATTERY ROOM ADDITION AND A MECHANICAL EQUIPMENT YARD. EKH</t>
        </is>
      </c>
      <c r="N177" t="inlineStr">
        <is>
          <t>County-stated status of application(s): Approved. Built/not-built is INFERRED: no mapped data center building lies within the application area.</t>
        </is>
      </c>
      <c r="O177" t="inlineStr">
        <is>
          <t>https://logis.loudoun.gov/gis/rest/services/Projects/LOLA_DATA/MapServer/0/query?where=PlanNumber%3D%27SPAM-2005-0055%27&amp;outFields=PlanNumber,PlanType,PlanStatus,PlanName,PlanApplicationDate,PlanDescription&amp;f=html</t>
        </is>
      </c>
      <c r="P177" t="n">
        <v>39.117252</v>
      </c>
      <c r="Q177" t="n">
        <v>-77.578317</v>
      </c>
    </row>
    <row r="178">
      <c r="A178" t="n">
        <v>559</v>
      </c>
      <c r="B178" t="inlineStr">
        <is>
          <t>Loudoun</t>
        </is>
      </c>
      <c r="C178" t="inlineStr">
        <is>
          <t>TRIZECHAHN AT BEAUMEADE PH 1 S 1 L 5A1</t>
        </is>
      </c>
      <c r="D178" t="inlineStr">
        <is>
          <t>Site/engineering plan</t>
        </is>
      </c>
      <c r="E178" t="inlineStr">
        <is>
          <t>Approved/Planned</t>
        </is>
      </c>
      <c r="F178" t="inlineStr">
        <is>
          <t>Approved entitlement; buildings already on site</t>
        </is>
      </c>
      <c r="G178" t="inlineStr">
        <is>
          <t>mixed (county application status stated; built/not-built inferred)</t>
        </is>
      </c>
      <c r="H178" t="inlineStr">
        <is>
          <t>SPAM-2006-0132</t>
        </is>
      </c>
      <c r="I178" t="inlineStr">
        <is>
          <t>SPAM-2006-0132 (Engineering Plan, Approved)</t>
        </is>
      </c>
      <c r="J178" t="inlineStr">
        <is>
          <t>2006-11-07</t>
        </is>
      </c>
      <c r="K178" t="inlineStr">
        <is>
          <t>255, 256, 268, 269, 270, 272</t>
        </is>
      </c>
      <c r="L178" t="inlineStr">
        <is>
          <t>Yes</t>
        </is>
      </c>
      <c r="M178" t="inlineStr">
        <is>
          <t>TRIZECHAHN AT BEAUMEADE PH 1 S 1 L 5A1 : REQUEST APPROVAL OF A SITE PLAN AMENDMENT TO PREVIOUSLY APPROVED STPR 2006-0023 TO SHOW ON THE PLANS THE 9-FOOT TRAIL, PARKING LOT TABULATIONS AND BOND INFORMATION; CHANGE THE USE FROM OFFICE/WAREHOUSE TO DATA CENTER. er | Approved entitlement; data center building(s) already mapped on/adjacent to site</t>
        </is>
      </c>
      <c r="N178" t="inlineStr">
        <is>
          <t>County-stated status of application(s): Approved. Built/not-built is INFERRED: 6 data center building point(s) lie on/adjacent to the application area.</t>
        </is>
      </c>
      <c r="O178" t="inlineStr">
        <is>
          <t>https://logis.loudoun.gov/gis/rest/services/Projects/LOLA_DATA/MapServer/0/query?where=PlanNumber%3D%27SPAM-2006-0132%27&amp;outFields=PlanNumber,PlanType,PlanStatus,PlanName,PlanApplicationDate,PlanDescription&amp;f=html</t>
        </is>
      </c>
      <c r="P178" t="n">
        <v>39.015526</v>
      </c>
      <c r="Q178" t="n">
        <v>-77.459838</v>
      </c>
    </row>
    <row r="179">
      <c r="A179" t="n">
        <v>560</v>
      </c>
      <c r="B179" t="inlineStr">
        <is>
          <t>Loudoun</t>
        </is>
      </c>
      <c r="C179" t="inlineStr">
        <is>
          <t>CABOT TECH AT BEAUMEADE</t>
        </is>
      </c>
      <c r="D179" t="inlineStr">
        <is>
          <t>Site/engineering plan</t>
        </is>
      </c>
      <c r="E179" t="inlineStr">
        <is>
          <t>Approved/Planned</t>
        </is>
      </c>
      <c r="F179" t="inlineStr">
        <is>
          <t>Approved entitlement; buildings already on site</t>
        </is>
      </c>
      <c r="G179" t="inlineStr">
        <is>
          <t>mixed (county application status stated; built/not-built inferred)</t>
        </is>
      </c>
      <c r="H179" t="inlineStr">
        <is>
          <t>SPAM-2008-0075</t>
        </is>
      </c>
      <c r="I179" t="inlineStr">
        <is>
          <t>SPAM-2008-0075 (Engineering Plan, Approved)</t>
        </is>
      </c>
      <c r="J179" t="inlineStr">
        <is>
          <t>2008-09-25</t>
        </is>
      </c>
      <c r="K179" t="inlineStr">
        <is>
          <t>263, 295</t>
        </is>
      </c>
      <c r="L179" t="inlineStr">
        <is>
          <t>Yes</t>
        </is>
      </c>
      <c r="M179" t="inlineStr">
        <is>
          <t>CABOT TECH AT BEAUMEADE : REQUEST APPROVAL OF A SITE PLAN AMENDMENT TO APPROVED SITE PLAN, STPL-1999-0046 TO ADD EXTERIOR EQUIPMENT AND EXTERIOR FENCING TO SUPPORT DATA CENTER USE. CT | Approved entitlement; data center building(s) already mapped on/adjacent to site</t>
        </is>
      </c>
      <c r="N179" t="inlineStr">
        <is>
          <t>County-stated status of application(s): Approved. Built/not-built is INFERRED: 2 data center building point(s) lie on/adjacent to the application area.</t>
        </is>
      </c>
      <c r="O179" t="inlineStr">
        <is>
          <t>https://logis.loudoun.gov/gis/rest/services/Projects/LOLA_DATA/MapServer/0/query?where=PlanNumber%3D%27SPAM-2008-0075%27&amp;outFields=PlanNumber,PlanType,PlanStatus,PlanName,PlanApplicationDate,PlanDescription&amp;f=html</t>
        </is>
      </c>
      <c r="P179" t="n">
        <v>39.02161</v>
      </c>
      <c r="Q179" t="n">
        <v>-77.453374</v>
      </c>
    </row>
    <row r="180">
      <c r="A180" t="n">
        <v>561</v>
      </c>
      <c r="B180" t="inlineStr">
        <is>
          <t>Loudoun</t>
        </is>
      </c>
      <c r="C180" t="inlineStr">
        <is>
          <t>IAD 10 DATA CENTER</t>
        </is>
      </c>
      <c r="D180" t="inlineStr">
        <is>
          <t>Site/engineering plan</t>
        </is>
      </c>
      <c r="E180" t="inlineStr">
        <is>
          <t>Approved/Planned</t>
        </is>
      </c>
      <c r="F180" t="inlineStr">
        <is>
          <t>Approved entitlement; buildings already on site</t>
        </is>
      </c>
      <c r="G180" t="inlineStr">
        <is>
          <t>mixed (county application status stated; built/not-built inferred)</t>
        </is>
      </c>
      <c r="H180" t="inlineStr">
        <is>
          <t>SPAM-2010-0049</t>
        </is>
      </c>
      <c r="I180" t="inlineStr">
        <is>
          <t>SPAM-2010-0049 (Engineering Plan, Approved)</t>
        </is>
      </c>
      <c r="J180" t="inlineStr">
        <is>
          <t>2010-10-14</t>
        </is>
      </c>
      <c r="K180" t="inlineStr">
        <is>
          <t>264</t>
        </is>
      </c>
      <c r="L180" t="inlineStr">
        <is>
          <t>Yes</t>
        </is>
      </c>
      <c r="M180" t="inlineStr">
        <is>
          <t>IAD 10 DATA CENTER : REQUEST APPROVAL OF A SITE PLAN AMENDMENT (SPAM) TO PREVIOUSLY STPL 2008-0006 TO ALLOW CLEARING, EROSION AND SEDIMENT CONTROL, GRADING AND PAVING FOR CONSTRUCTION OF THE PROPOSED GENERATORS, TRANSFORMER PADS AND OTHER MECHANICAL EQUIPMENT. DAS | Approved entitlement; data center building(s) already mapped on/adjacent to site</t>
        </is>
      </c>
      <c r="N180" t="inlineStr">
        <is>
          <t>County-stated status of application(s): Approved. Built/not-built is INFERRED: 1 data center building point(s) lie on/adjacent to the application area.</t>
        </is>
      </c>
      <c r="O180" t="inlineStr">
        <is>
          <t>https://logis.loudoun.gov/gis/rest/services/Projects/LOLA_DATA/MapServer/0/query?where=PlanNumber%3D%27SPAM-2010-0049%27&amp;outFields=PlanNumber,PlanType,PlanStatus,PlanName,PlanApplicationDate,PlanDescription&amp;f=html</t>
        </is>
      </c>
      <c r="P180" t="n">
        <v>39.021578</v>
      </c>
      <c r="Q180" t="n">
        <v>-77.43288200000001</v>
      </c>
    </row>
    <row r="181">
      <c r="A181" t="n">
        <v>562</v>
      </c>
      <c r="B181" t="inlineStr">
        <is>
          <t>Loudoun</t>
        </is>
      </c>
      <c r="C181" t="inlineStr">
        <is>
          <t>1AD 10 DATA CENTER POD 2</t>
        </is>
      </c>
      <c r="D181" t="inlineStr">
        <is>
          <t>Site/engineering plan</t>
        </is>
      </c>
      <c r="E181" t="inlineStr">
        <is>
          <t>Approved/Planned</t>
        </is>
      </c>
      <c r="F181" t="inlineStr">
        <is>
          <t>Approved entitlement; buildings already on site</t>
        </is>
      </c>
      <c r="G181" t="inlineStr">
        <is>
          <t>mixed (county application status stated; built/not-built inferred)</t>
        </is>
      </c>
      <c r="H181" t="inlineStr">
        <is>
          <t>SPAM-2011-0008</t>
        </is>
      </c>
      <c r="I181" t="inlineStr">
        <is>
          <t>SPAM-2011-0008 (Engineering Plan, Approved)</t>
        </is>
      </c>
      <c r="J181" t="inlineStr">
        <is>
          <t>2011-02-10</t>
        </is>
      </c>
      <c r="K181" t="inlineStr">
        <is>
          <t>264</t>
        </is>
      </c>
      <c r="L181" t="inlineStr">
        <is>
          <t>Yes</t>
        </is>
      </c>
      <c r="M181" t="inlineStr">
        <is>
          <t>1AD 10 DATA CENTER POD 2 : REQUEST APPROVAL OF A SITE PLAN AMENDMENT FOR APPROVED SITE PLAN (STPL-2008-0006) TO PROVIDE A WATER TANK AND CONCRETE PAD WITH 3 INCH WATER SERVICE LINES. VB | Approved entitlement; data center building(s) already mapped on/adjacent to site</t>
        </is>
      </c>
      <c r="N181" t="inlineStr">
        <is>
          <t>County-stated status of application(s): Approved. Built/not-built is INFERRED: 1 data center building point(s) lie on/adjacent to the application area.</t>
        </is>
      </c>
      <c r="O181" t="inlineStr">
        <is>
          <t>https://logis.loudoun.gov/gis/rest/services/Projects/LOLA_DATA/MapServer/0/query?where=PlanNumber%3D%27SPAM-2011-0008%27&amp;outFields=PlanNumber,PlanType,PlanStatus,PlanName,PlanApplicationDate,PlanDescription&amp;f=html</t>
        </is>
      </c>
      <c r="P181" t="n">
        <v>39.021578</v>
      </c>
      <c r="Q181" t="n">
        <v>-77.43288200000001</v>
      </c>
    </row>
    <row r="182">
      <c r="A182" t="n">
        <v>563</v>
      </c>
      <c r="B182" t="inlineStr">
        <is>
          <t>Loudoun</t>
        </is>
      </c>
      <c r="C182" t="inlineStr">
        <is>
          <t>BEAUMEADE MERRITT TRACT BLDGS 5, 6, &amp; 7</t>
        </is>
      </c>
      <c r="D182" t="inlineStr">
        <is>
          <t>Site/engineering plan</t>
        </is>
      </c>
      <c r="E182" t="inlineStr">
        <is>
          <t>Approved/Planned</t>
        </is>
      </c>
      <c r="F182" t="inlineStr">
        <is>
          <t>Approved entitlement; buildings already on site</t>
        </is>
      </c>
      <c r="G182" t="inlineStr">
        <is>
          <t>mixed (county application status stated; built/not-built inferred)</t>
        </is>
      </c>
      <c r="H182" t="inlineStr">
        <is>
          <t>SPAM-2011-0015</t>
        </is>
      </c>
      <c r="I182" t="inlineStr">
        <is>
          <t>SPAM-2011-0015 (Engineering Plan, Approved)</t>
        </is>
      </c>
      <c r="J182" t="inlineStr">
        <is>
          <t>2011-03-11</t>
        </is>
      </c>
      <c r="K182" t="inlineStr">
        <is>
          <t>249</t>
        </is>
      </c>
      <c r="L182" t="inlineStr">
        <is>
          <t>Yes</t>
        </is>
      </c>
      <c r="M182" t="inlineStr">
        <is>
          <t>BEAUMEADE MERRITT TRACT BLDGS 5, 6, &amp; 7 : REQUEST APPROVAL OF A SITE PLAN AMENDMENT (SPAM) TO REVISE SITE PLAN (STPL-2006-0069) TO INCREASE THE FLOOR AREA TO ONE HUNDRED TWENTY THREE THOUSAND TWO HUNDRED (123,200) SQUARE FEET (SF) INCREASE THE HEIGHT TO FORTY FIVE (45) FEET (FT) CHANGE THE USE TO A  | Approved entitlement; data center building(s) already mapped on/adjacent to site</t>
        </is>
      </c>
      <c r="N182" t="inlineStr">
        <is>
          <t>County-stated status of application(s): Approved. Built/not-built is INFERRED: 1 data center building point(s) lie on/adjacent to the application area.</t>
        </is>
      </c>
      <c r="O182" t="inlineStr">
        <is>
          <t>https://logis.loudoun.gov/gis/rest/services/Projects/LOLA_DATA/MapServer/0/query?where=PlanNumber%3D%27SPAM-2011-0015%27&amp;outFields=PlanNumber,PlanType,PlanStatus,PlanName,PlanApplicationDate,PlanDescription&amp;f=html</t>
        </is>
      </c>
      <c r="P182" t="n">
        <v>39.024528</v>
      </c>
      <c r="Q182" t="n">
        <v>-77.45705100000001</v>
      </c>
    </row>
    <row r="183">
      <c r="A183" t="n">
        <v>564</v>
      </c>
      <c r="B183" t="inlineStr">
        <is>
          <t>Loudoun</t>
        </is>
      </c>
      <c r="C183" t="inlineStr">
        <is>
          <t>IAD 12 DATA CENTER POD 1</t>
        </is>
      </c>
      <c r="D183" t="inlineStr">
        <is>
          <t>Site/engineering plan</t>
        </is>
      </c>
      <c r="E183" t="inlineStr">
        <is>
          <t>Approved/Planned</t>
        </is>
      </c>
      <c r="F183" t="inlineStr">
        <is>
          <t>Approved entitlement; buildings already on site</t>
        </is>
      </c>
      <c r="G183" t="inlineStr">
        <is>
          <t>mixed (county application status stated; built/not-built inferred)</t>
        </is>
      </c>
      <c r="H183" t="inlineStr">
        <is>
          <t>SPAM-2011-0016</t>
        </is>
      </c>
      <c r="I183" t="inlineStr">
        <is>
          <t>SPAM-2011-0016 (Engineering Plan, Approved); SPAM-2011-0054 (Engineering Plan, Approved)</t>
        </is>
      </c>
      <c r="J183" t="inlineStr">
        <is>
          <t>2011-03-22</t>
        </is>
      </c>
      <c r="K183" t="inlineStr">
        <is>
          <t>280</t>
        </is>
      </c>
      <c r="L183" t="inlineStr">
        <is>
          <t>Yes</t>
        </is>
      </c>
      <c r="M183" t="inlineStr">
        <is>
          <t>IAD 12 DATA CENTER POD 1 : REQUEST APPROVAL OF A SITE PLAN AMENDMENT (SPAM) TO PREVIOUSLY APPROVED SPAM 2000-0157 AND STPL 2000-0051 TO ADD ELECTRIC CHILLERS GENERATORS AND ELECTRIC TRANSFORMER PADS BEHIND BUILDING. DAS | Approved entitlement; data center building(s) already mapped on/adjacent to site</t>
        </is>
      </c>
      <c r="N183" t="inlineStr">
        <is>
          <t>County-stated status of application(s): Approved. Built/not-built is INFERRED: 1 data center building point(s) lie on/adjacent to the application area.</t>
        </is>
      </c>
      <c r="O183" t="inlineStr">
        <is>
          <t>https://logis.loudoun.gov/gis/rest/services/Projects/LOLA_DATA/MapServer/0/query?where=PlanNumber%3D%27SPAM-2011-0054%27&amp;outFields=PlanNumber,PlanType,PlanStatus,PlanName,PlanApplicationDate,PlanDescription&amp;f=html</t>
        </is>
      </c>
      <c r="P183" t="n">
        <v>38.988689</v>
      </c>
      <c r="Q183" t="n">
        <v>-77.447638</v>
      </c>
    </row>
    <row r="184">
      <c r="A184" t="n">
        <v>565</v>
      </c>
      <c r="B184" t="inlineStr">
        <is>
          <t>Loudoun</t>
        </is>
      </c>
      <c r="C184" t="inlineStr">
        <is>
          <t>IAD 10 DATA CENTER POD 5 &amp; 6</t>
        </is>
      </c>
      <c r="D184" t="inlineStr">
        <is>
          <t>Site/engineering plan</t>
        </is>
      </c>
      <c r="E184" t="inlineStr">
        <is>
          <t>Approved/Planned</t>
        </is>
      </c>
      <c r="F184" t="inlineStr">
        <is>
          <t>Approved entitlement; buildings already on site</t>
        </is>
      </c>
      <c r="G184" t="inlineStr">
        <is>
          <t>mixed (county application status stated; built/not-built inferred)</t>
        </is>
      </c>
      <c r="H184" t="inlineStr">
        <is>
          <t>SPAM-2011-0036</t>
        </is>
      </c>
      <c r="I184" t="inlineStr">
        <is>
          <t>SPAM-2011-0036 (Engineering Plan, Approved)</t>
        </is>
      </c>
      <c r="J184" t="inlineStr">
        <is>
          <t>2011-05-11</t>
        </is>
      </c>
      <c r="K184" t="inlineStr">
        <is>
          <t>264</t>
        </is>
      </c>
      <c r="L184" t="inlineStr">
        <is>
          <t>Yes</t>
        </is>
      </c>
      <c r="M184" t="inlineStr">
        <is>
          <t>IAD 10 DATA CENTER POD 5 &amp; 6 : REQUEST APPROVAL OF A SITE PLAN AMENDMENT (SPAM) TO PREVIOUSLY APPROVED STPL-2008-0006 FOR A PROPOSED WATER TANK, CONCRETE PAD FOR THE WATER TANK, AND OVERHEAD WATER SERVICE LINE FROM THE TANK TO THE BUILDING RP | Approved entitlement; data center building(s) already mapped on/adjacent to site</t>
        </is>
      </c>
      <c r="N184" t="inlineStr">
        <is>
          <t>County-stated status of application(s): Approved. Built/not-built is INFERRED: 1 data center building point(s) lie on/adjacent to the application area.</t>
        </is>
      </c>
      <c r="O184" t="inlineStr">
        <is>
          <t>https://logis.loudoun.gov/gis/rest/services/Projects/LOLA_DATA/MapServer/0/query?where=PlanNumber%3D%27SPAM-2011-0036%27&amp;outFields=PlanNumber,PlanType,PlanStatus,PlanName,PlanApplicationDate,PlanDescription&amp;f=html</t>
        </is>
      </c>
      <c r="P184" t="n">
        <v>39.021578</v>
      </c>
      <c r="Q184" t="n">
        <v>-77.43288200000001</v>
      </c>
    </row>
    <row r="185">
      <c r="A185" t="n">
        <v>566</v>
      </c>
      <c r="B185" t="inlineStr">
        <is>
          <t>Loudoun</t>
        </is>
      </c>
      <c r="C185" t="inlineStr">
        <is>
          <t>BEAUMEADE LOT 31A</t>
        </is>
      </c>
      <c r="D185" t="inlineStr">
        <is>
          <t>Site/engineering plan</t>
        </is>
      </c>
      <c r="E185" t="inlineStr">
        <is>
          <t>Approved/Planned</t>
        </is>
      </c>
      <c r="F185" t="inlineStr">
        <is>
          <t>Approved entitlement; buildings already on site</t>
        </is>
      </c>
      <c r="G185" t="inlineStr">
        <is>
          <t>mixed (county application status stated; built/not-built inferred)</t>
        </is>
      </c>
      <c r="H185" t="inlineStr">
        <is>
          <t>STPR-2010-0045</t>
        </is>
      </c>
      <c r="I185" t="inlineStr">
        <is>
          <t>STPR-2010-0045 (Engineering Plan, Approved); SPAM-2011-0049 (Engineering Plan, Approved)</t>
        </is>
      </c>
      <c r="J185" t="inlineStr">
        <is>
          <t>2010-11-19</t>
        </is>
      </c>
      <c r="K185" t="inlineStr">
        <is>
          <t>291</t>
        </is>
      </c>
      <c r="L185" t="inlineStr">
        <is>
          <t>Yes</t>
        </is>
      </c>
      <c r="M185" t="inlineStr">
        <is>
          <t>BEAUMEADE LOT 31A : REQUEST APPROVAL OF A SITE PLAN AMENDMENT (SPAM) TO PREVIOUSLY APPROV ED STPR-2010-0045 TO REVISE UTILITY CONNECTION POINTS, SITE SIDEWALKS AND ARCHITECHTURAL COORDINATION ISSUES FOR THE PROPOSED DATA CENTER AND RELATED INFRASTRUCTURE. DAS | Approved entitlement; data center building(s) already mapped on/adjacent to site</t>
        </is>
      </c>
      <c r="N185" t="inlineStr">
        <is>
          <t>County-stated status of application(s): Approved. Built/not-built is INFERRED: 1 data center building point(s) lie on/adjacent to the application area.</t>
        </is>
      </c>
      <c r="O185" t="inlineStr">
        <is>
          <t>https://logis.loudoun.gov/gis/rest/services/Projects/LOLA_DATA/MapServer/0/query?where=PlanNumber%3D%27SPAM-2011-0049%27&amp;outFields=PlanNumber,PlanType,PlanStatus,PlanName,PlanApplicationDate,PlanDescription&amp;f=html</t>
        </is>
      </c>
      <c r="P185" t="n">
        <v>39.0214</v>
      </c>
      <c r="Q185" t="n">
        <v>-77.45106800000001</v>
      </c>
    </row>
    <row r="186">
      <c r="A186" t="n">
        <v>567</v>
      </c>
      <c r="B186" t="inlineStr">
        <is>
          <t>Loudoun</t>
        </is>
      </c>
      <c r="C186" t="inlineStr">
        <is>
          <t>BEAUMEADE LOT 28A RAGINGWIRE DATA CENTER</t>
        </is>
      </c>
      <c r="D186" t="inlineStr">
        <is>
          <t>Site/engineering plan</t>
        </is>
      </c>
      <c r="E186" t="inlineStr">
        <is>
          <t>Approved/Planned</t>
        </is>
      </c>
      <c r="F186" t="inlineStr">
        <is>
          <t>Approved entitlement; buildings already on site</t>
        </is>
      </c>
      <c r="G186" t="inlineStr">
        <is>
          <t>mixed (county application status stated; built/not-built inferred)</t>
        </is>
      </c>
      <c r="H186" t="inlineStr">
        <is>
          <t>SPAM-2011-0074</t>
        </is>
      </c>
      <c r="I186" t="inlineStr">
        <is>
          <t>SPAM-2011-0074 (Engineering Plan, Approved); SPAM-2012-0057 (Engineering Plan, Approved); SPAM-2012-0102 (Engineering Plan, Approved)</t>
        </is>
      </c>
      <c r="J186" t="inlineStr">
        <is>
          <t>2011-08-04</t>
        </is>
      </c>
      <c r="K186" t="inlineStr">
        <is>
          <t>258</t>
        </is>
      </c>
      <c r="L186" t="inlineStr">
        <is>
          <t>Yes</t>
        </is>
      </c>
      <c r="M186" t="inlineStr">
        <is>
          <t>BEAUMEADE LOT 28A RAGINGWIRE DATA CENTER : REQUEST APPROVAL OF A SITE PLAN AMENDMENT (SPAM) TO PREVIOUSLY APPROVED SPAM 2012-0057, SPAM 2011-0122,AND SPAM-2011-0074 TO REVISE FOOTPRINTS OF BUILDING ADDITIONS IN THE REAR,LOCATIONS OF GENERATOR EQUIPMENT AND TRANSFORMER PADS. DAS | Approved entitlement; data center building(s) already mapped on/adjacent to site</t>
        </is>
      </c>
      <c r="N186" t="inlineStr">
        <is>
          <t>County-stated status of application(s): Approved. Built/not-built is INFERRED: 1 data center building point(s) lie on/adjacent to the application area.</t>
        </is>
      </c>
      <c r="O186" t="inlineStr">
        <is>
          <t>https://logis.loudoun.gov/gis/rest/services/Projects/LOLA_DATA/MapServer/0/query?where=PlanNumber%3D%27SPAM-2012-0102%27&amp;outFields=PlanNumber,PlanType,PlanStatus,PlanName,PlanApplicationDate,PlanDescription&amp;f=html</t>
        </is>
      </c>
      <c r="P186" t="n">
        <v>39.022932</v>
      </c>
      <c r="Q186" t="n">
        <v>-77.454695</v>
      </c>
    </row>
    <row r="187">
      <c r="A187" t="n">
        <v>568</v>
      </c>
      <c r="B187" t="inlineStr">
        <is>
          <t>Loudoun</t>
        </is>
      </c>
      <c r="C187" t="inlineStr">
        <is>
          <t>IAD 13 DATA CENTER POD 2</t>
        </is>
      </c>
      <c r="D187" t="inlineStr">
        <is>
          <t>Site/engineering plan</t>
        </is>
      </c>
      <c r="E187" t="inlineStr">
        <is>
          <t>Approved/Planned</t>
        </is>
      </c>
      <c r="F187" t="inlineStr">
        <is>
          <t>Approved, not yet built (inferred)</t>
        </is>
      </c>
      <c r="G187" t="inlineStr">
        <is>
          <t>mixed (county application status stated; built/not-built inferred)</t>
        </is>
      </c>
      <c r="H187" t="inlineStr">
        <is>
          <t>SPAM-2011-0101</t>
        </is>
      </c>
      <c r="I187" t="inlineStr">
        <is>
          <t>SPAM-2011-0101 (Engineering Plan, Approved)</t>
        </is>
      </c>
      <c r="J187" t="inlineStr">
        <is>
          <t>2011-10-04</t>
        </is>
      </c>
      <c r="K187" t="inlineStr"/>
      <c r="L187" t="inlineStr">
        <is>
          <t>Yes</t>
        </is>
      </c>
      <c r="M187" t="inlineStr">
        <is>
          <t>IAD 13 DATA CENTER POD 2 : REQUEST APPROVAL OF A SITE PLAN AMENDMENT (SPAM) TO PREVIOUSLY APPROVED STPR-2010-0025 FOR THE INSTALLATION OF ELECTRIC CHILLERS, GENERATORS, AND ELECTRIC TRANSFORMER PADS BEHIND THE BUILDING RP</t>
        </is>
      </c>
      <c r="N187" t="inlineStr">
        <is>
          <t>County-stated status of application(s): Approved. Built/not-built is INFERRED: no mapped data center building lies within the application area.</t>
        </is>
      </c>
      <c r="O187" t="inlineStr">
        <is>
          <t>https://logis.loudoun.gov/gis/rest/services/Projects/LOLA_DATA/MapServer/0/query?where=PlanNumber%3D%27SPAM-2011-0101%27&amp;outFields=PlanNumber,PlanType,PlanStatus,PlanName,PlanApplicationDate,PlanDescription&amp;f=html</t>
        </is>
      </c>
      <c r="P187" t="n">
        <v>39.117252</v>
      </c>
      <c r="Q187" t="n">
        <v>-77.578317</v>
      </c>
    </row>
    <row r="188">
      <c r="A188" t="n">
        <v>569</v>
      </c>
      <c r="B188" t="inlineStr">
        <is>
          <t>Loudoun</t>
        </is>
      </c>
      <c r="C188" t="inlineStr">
        <is>
          <t>IAD 12 DATA CENTER POD 3</t>
        </is>
      </c>
      <c r="D188" t="inlineStr">
        <is>
          <t>Site/engineering plan</t>
        </is>
      </c>
      <c r="E188" t="inlineStr">
        <is>
          <t>Approved/Planned</t>
        </is>
      </c>
      <c r="F188" t="inlineStr">
        <is>
          <t>Approved entitlement; buildings already on site</t>
        </is>
      </c>
      <c r="G188" t="inlineStr">
        <is>
          <t>mixed (county application status stated; built/not-built inferred)</t>
        </is>
      </c>
      <c r="H188" t="inlineStr">
        <is>
          <t>SPAM-2012-0001</t>
        </is>
      </c>
      <c r="I188" t="inlineStr">
        <is>
          <t>SPAM-2012-0001 (Engineering Plan, Approved)</t>
        </is>
      </c>
      <c r="J188" t="inlineStr">
        <is>
          <t>2011-12-29</t>
        </is>
      </c>
      <c r="K188" t="inlineStr">
        <is>
          <t>280</t>
        </is>
      </c>
      <c r="L188" t="inlineStr">
        <is>
          <t>Yes</t>
        </is>
      </c>
      <c r="M188" t="inlineStr">
        <is>
          <t>IAD 12 DATA CENTER POD 3 : REQUEST APPROVAL OF A SITE PLAN AMENDMENT (SPAM) TO PREVIOUSLY APPROVED SPAM-2011-0054 FOR THE INSTALLATION OF TWO (2) COLD WATER TOWERS, TWO (2) CHILLED WATER PUMP PAD, TWO (2) GENERATORS AND PADS, AND THREE (3) TRANSFORMER PADS RP | Approved entitlement; data center building(s) already mapped on/adjacent to site</t>
        </is>
      </c>
      <c r="N188" t="inlineStr">
        <is>
          <t>County-stated status of application(s): Approved. Built/not-built is INFERRED: 1 data center building point(s) lie on/adjacent to the application area.</t>
        </is>
      </c>
      <c r="O188" t="inlineStr">
        <is>
          <t>https://logis.loudoun.gov/gis/rest/services/Projects/LOLA_DATA/MapServer/0/query?where=PlanNumber%3D%27SPAM-2012-0001%27&amp;outFields=PlanNumber,PlanType,PlanStatus,PlanName,PlanApplicationDate,PlanDescription&amp;f=html</t>
        </is>
      </c>
      <c r="P188" t="n">
        <v>38.988689</v>
      </c>
      <c r="Q188" t="n">
        <v>-77.447638</v>
      </c>
    </row>
    <row r="189">
      <c r="A189" t="n">
        <v>570</v>
      </c>
      <c r="B189" t="inlineStr">
        <is>
          <t>Loudoun</t>
        </is>
      </c>
      <c r="C189" t="inlineStr">
        <is>
          <t>IAD 13 DATA CENTER POD 1</t>
        </is>
      </c>
      <c r="D189" t="inlineStr">
        <is>
          <t>Site/engineering plan</t>
        </is>
      </c>
      <c r="E189" t="inlineStr">
        <is>
          <t>Approved/Planned</t>
        </is>
      </c>
      <c r="F189" t="inlineStr">
        <is>
          <t>Approved, not yet built (inferred)</t>
        </is>
      </c>
      <c r="G189" t="inlineStr">
        <is>
          <t>mixed (county application status stated; built/not-built inferred)</t>
        </is>
      </c>
      <c r="H189" t="inlineStr">
        <is>
          <t>SPAM-2012-0002</t>
        </is>
      </c>
      <c r="I189" t="inlineStr">
        <is>
          <t>SPAM-2012-0002 (Engineering Plan, Approved)</t>
        </is>
      </c>
      <c r="J189" t="inlineStr">
        <is>
          <t>2012-01-10</t>
        </is>
      </c>
      <c r="K189" t="inlineStr"/>
      <c r="L189" t="inlineStr">
        <is>
          <t>Yes</t>
        </is>
      </c>
      <c r="M189" t="inlineStr">
        <is>
          <t>IAD 13 DATA CENTER POD 1 : REQUEST APPROVAL OF A SITE PLAN AMENDMENT (SPAM) TO PREVIOUSLY APPROVED STPR 2010-0025 AND SPAM 2011-0101 FOR A COLD WATER TANK CONCRET PAD WITH PUMPS, TWO(2) CHILLED WATER PUMP PADS AND COOLING TOWER PADS, THREE(3) GENERATORS AND PADS, THREE (3) TRANSFORMERS AND PADS. DAS</t>
        </is>
      </c>
      <c r="N189" t="inlineStr">
        <is>
          <t>County-stated status of application(s): Approved. Built/not-built is INFERRED: no mapped data center building lies within the application area.</t>
        </is>
      </c>
      <c r="O189" t="inlineStr">
        <is>
          <t>https://logis.loudoun.gov/gis/rest/services/Projects/LOLA_DATA/MapServer/0/query?where=PlanNumber%3D%27SPAM-2012-0002%27&amp;outFields=PlanNumber,PlanType,PlanStatus,PlanName,PlanApplicationDate,PlanDescription&amp;f=html</t>
        </is>
      </c>
      <c r="P189" t="n">
        <v>39.117252</v>
      </c>
      <c r="Q189" t="n">
        <v>-77.578317</v>
      </c>
    </row>
    <row r="190">
      <c r="A190" t="n">
        <v>571</v>
      </c>
      <c r="B190" t="inlineStr">
        <is>
          <t>Loudoun</t>
        </is>
      </c>
      <c r="C190" t="inlineStr">
        <is>
          <t>IAD 12 DATA CENTER POD 2</t>
        </is>
      </c>
      <c r="D190" t="inlineStr">
        <is>
          <t>Site/engineering plan</t>
        </is>
      </c>
      <c r="E190" t="inlineStr">
        <is>
          <t>Approved/Planned</t>
        </is>
      </c>
      <c r="F190" t="inlineStr">
        <is>
          <t>Approved entitlement; buildings already on site</t>
        </is>
      </c>
      <c r="G190" t="inlineStr">
        <is>
          <t>mixed (county application status stated; built/not-built inferred)</t>
        </is>
      </c>
      <c r="H190" t="inlineStr">
        <is>
          <t>SPAM-2012-0005</t>
        </is>
      </c>
      <c r="I190" t="inlineStr">
        <is>
          <t>SPAM-2012-0005 (Engineering Plan, Approved)</t>
        </is>
      </c>
      <c r="J190" t="inlineStr">
        <is>
          <t>2012-01-19</t>
        </is>
      </c>
      <c r="K190" t="inlineStr">
        <is>
          <t>280</t>
        </is>
      </c>
      <c r="L190" t="inlineStr">
        <is>
          <t>Yes</t>
        </is>
      </c>
      <c r="M190" t="inlineStr">
        <is>
          <t>IAD 12 DATA CENTER POD 2 : REQUEST APPROVAL OF A SITE PLAN AMENDMENT (SPAM) TO PREVIOUSLY APPROVED SPAM-2011-0054 FOR THE ADDITION OF TWO (2) CHILLED WATER PUMP PADS AND TWO (2) GENERATORS AND PADS RP | Approved entitlement; data center building(s) already mapped on/adjacent to site</t>
        </is>
      </c>
      <c r="N190" t="inlineStr">
        <is>
          <t>County-stated status of application(s): Approved. Built/not-built is INFERRED: 1 data center building point(s) lie on/adjacent to the application area.</t>
        </is>
      </c>
      <c r="O190" t="inlineStr">
        <is>
          <t>https://logis.loudoun.gov/gis/rest/services/Projects/LOLA_DATA/MapServer/0/query?where=PlanNumber%3D%27SPAM-2012-0005%27&amp;outFields=PlanNumber,PlanType,PlanStatus,PlanName,PlanApplicationDate,PlanDescription&amp;f=html</t>
        </is>
      </c>
      <c r="P190" t="n">
        <v>38.988689</v>
      </c>
      <c r="Q190" t="n">
        <v>-77.447638</v>
      </c>
    </row>
    <row r="191">
      <c r="A191" t="n">
        <v>572</v>
      </c>
      <c r="B191" t="inlineStr">
        <is>
          <t>Loudoun</t>
        </is>
      </c>
      <c r="C191" t="inlineStr">
        <is>
          <t>IAD 13 DATA CENTER POD 5</t>
        </is>
      </c>
      <c r="D191" t="inlineStr">
        <is>
          <t>Site/engineering plan</t>
        </is>
      </c>
      <c r="E191" t="inlineStr">
        <is>
          <t>Approved/Planned</t>
        </is>
      </c>
      <c r="F191" t="inlineStr">
        <is>
          <t>Approved, not yet built (inferred)</t>
        </is>
      </c>
      <c r="G191" t="inlineStr">
        <is>
          <t>mixed (county application status stated; built/not-built inferred)</t>
        </is>
      </c>
      <c r="H191" t="inlineStr">
        <is>
          <t>SPAM-2012-0018</t>
        </is>
      </c>
      <c r="I191" t="inlineStr">
        <is>
          <t>SPAM-2012-0018 (Engineering Plan, Approved)</t>
        </is>
      </c>
      <c r="J191" t="inlineStr">
        <is>
          <t>2012-02-15</t>
        </is>
      </c>
      <c r="K191" t="inlineStr"/>
      <c r="L191" t="inlineStr">
        <is>
          <t>Yes</t>
        </is>
      </c>
      <c r="M191" t="inlineStr">
        <is>
          <t>IAD 13 DATA CENTER POD 5 : REQUEST APPROVAL OF A SITE PALN AMDENDMENT (SPAM) PREVISOULY APPROVED STPL 2010-0025 AND SPAM 2012-0002 TO INSTALL ELECTRIC CHILLERS, GENERATORS AND ELECTRIC TRANSFORMER PADS DAS</t>
        </is>
      </c>
      <c r="N191" t="inlineStr">
        <is>
          <t>County-stated status of application(s): Approved. Built/not-built is INFERRED: no mapped data center building lies within the application area.</t>
        </is>
      </c>
      <c r="O191" t="inlineStr">
        <is>
          <t>https://logis.loudoun.gov/gis/rest/services/Projects/LOLA_DATA/MapServer/0/query?where=PlanNumber%3D%27SPAM-2012-0018%27&amp;outFields=PlanNumber,PlanType,PlanStatus,PlanName,PlanApplicationDate,PlanDescription&amp;f=html</t>
        </is>
      </c>
      <c r="P191" t="n">
        <v>39.117252</v>
      </c>
      <c r="Q191" t="n">
        <v>-77.578317</v>
      </c>
    </row>
    <row r="192">
      <c r="A192" t="n">
        <v>573</v>
      </c>
      <c r="B192" t="inlineStr">
        <is>
          <t>Loudoun</t>
        </is>
      </c>
      <c r="C192" t="inlineStr">
        <is>
          <t>IAD 12 DATA CENTER POD 6</t>
        </is>
      </c>
      <c r="D192" t="inlineStr">
        <is>
          <t>Site/engineering plan</t>
        </is>
      </c>
      <c r="E192" t="inlineStr">
        <is>
          <t>Approved/Planned</t>
        </is>
      </c>
      <c r="F192" t="inlineStr">
        <is>
          <t>Approved entitlement; buildings already on site</t>
        </is>
      </c>
      <c r="G192" t="inlineStr">
        <is>
          <t>mixed (county application status stated; built/not-built inferred)</t>
        </is>
      </c>
      <c r="H192" t="inlineStr">
        <is>
          <t>SPAM-2012-0029</t>
        </is>
      </c>
      <c r="I192" t="inlineStr">
        <is>
          <t>SPAM-2012-0029 (Engineering Plan, Approved)</t>
        </is>
      </c>
      <c r="J192" t="inlineStr">
        <is>
          <t>2012-03-07</t>
        </is>
      </c>
      <c r="K192" t="inlineStr">
        <is>
          <t>280</t>
        </is>
      </c>
      <c r="L192" t="inlineStr">
        <is>
          <t>Yes</t>
        </is>
      </c>
      <c r="M192" t="inlineStr">
        <is>
          <t>IAD 12 DATA CENTER POD 6 : REQUEST APPROVAL OF A SITE PLAN AMENDMENT (SPAM) TO PREVIOUSLY APPROVED STPL-2000-0157 AND SPAM-2012-0005 FOR THE INSTALLATION OF ELECTRIC CHILLERS, GENERATORS, AND TRANSFORMER PADS BEHIND THE EXISTING BUILDING RP | Approved entitlement; data center building(s) already mapped on/adjacent to site</t>
        </is>
      </c>
      <c r="N192" t="inlineStr">
        <is>
          <t>County-stated status of application(s): Approved. Built/not-built is INFERRED: 1 data center building point(s) lie on/adjacent to the application area.</t>
        </is>
      </c>
      <c r="O192" t="inlineStr">
        <is>
          <t>https://logis.loudoun.gov/gis/rest/services/Projects/LOLA_DATA/MapServer/0/query?where=PlanNumber%3D%27SPAM-2012-0029%27&amp;outFields=PlanNumber,PlanType,PlanStatus,PlanName,PlanApplicationDate,PlanDescription&amp;f=html</t>
        </is>
      </c>
      <c r="P192" t="n">
        <v>38.988689</v>
      </c>
      <c r="Q192" t="n">
        <v>-77.447638</v>
      </c>
    </row>
    <row r="193">
      <c r="A193" t="n">
        <v>574</v>
      </c>
      <c r="B193" t="inlineStr">
        <is>
          <t>Loudoun</t>
        </is>
      </c>
      <c r="C193" t="inlineStr">
        <is>
          <t>IAD 13 DATA CENTER POD 6</t>
        </is>
      </c>
      <c r="D193" t="inlineStr">
        <is>
          <t>Site/engineering plan</t>
        </is>
      </c>
      <c r="E193" t="inlineStr">
        <is>
          <t>Approved/Planned</t>
        </is>
      </c>
      <c r="F193" t="inlineStr">
        <is>
          <t>Approved, not yet built (inferred)</t>
        </is>
      </c>
      <c r="G193" t="inlineStr">
        <is>
          <t>mixed (county application status stated; built/not-built inferred)</t>
        </is>
      </c>
      <c r="H193" t="inlineStr">
        <is>
          <t>SPAM-2012-0034</t>
        </is>
      </c>
      <c r="I193" t="inlineStr">
        <is>
          <t>SPAM-2012-0034 (Engineering Plan, Approved)</t>
        </is>
      </c>
      <c r="J193" t="inlineStr">
        <is>
          <t>2012-03-28</t>
        </is>
      </c>
      <c r="K193" t="inlineStr"/>
      <c r="L193" t="inlineStr">
        <is>
          <t>Yes</t>
        </is>
      </c>
      <c r="M193" t="inlineStr">
        <is>
          <t>IAD 13 DATA CENTER POD 6 : REQUEST APPROVAL OF A SITE PLAN AMENDMENT (SPAM) TO ADD ELECTRIC CHILLERS, GENERATORS, AND ELECTRIC TRANSFORMER PADS. DAS</t>
        </is>
      </c>
      <c r="N193" t="inlineStr">
        <is>
          <t>County-stated status of application(s): Approved. Built/not-built is INFERRED: no mapped data center building lies within the application area.</t>
        </is>
      </c>
      <c r="O193" t="inlineStr">
        <is>
          <t>https://logis.loudoun.gov/gis/rest/services/Projects/LOLA_DATA/MapServer/0/query?where=PlanNumber%3D%27SPAM-2012-0034%27&amp;outFields=PlanNumber,PlanType,PlanStatus,PlanName,PlanApplicationDate,PlanDescription&amp;f=html</t>
        </is>
      </c>
      <c r="P193" t="n">
        <v>39.117252</v>
      </c>
      <c r="Q193" t="n">
        <v>-77.578317</v>
      </c>
    </row>
    <row r="194">
      <c r="A194" t="n">
        <v>575</v>
      </c>
      <c r="B194" t="inlineStr">
        <is>
          <t>Loudoun</t>
        </is>
      </c>
      <c r="C194" t="inlineStr">
        <is>
          <t>IAD 12 DATA CENTER POD 7</t>
        </is>
      </c>
      <c r="D194" t="inlineStr">
        <is>
          <t>Site/engineering plan</t>
        </is>
      </c>
      <c r="E194" t="inlineStr">
        <is>
          <t>Approved/Planned</t>
        </is>
      </c>
      <c r="F194" t="inlineStr">
        <is>
          <t>Approved entitlement; buildings already on site</t>
        </is>
      </c>
      <c r="G194" t="inlineStr">
        <is>
          <t>mixed (county application status stated; built/not-built inferred)</t>
        </is>
      </c>
      <c r="H194" t="inlineStr">
        <is>
          <t>SPAM-2012-0035</t>
        </is>
      </c>
      <c r="I194" t="inlineStr">
        <is>
          <t>SPAM-2012-0035 (Engineering Plan, Approved)</t>
        </is>
      </c>
      <c r="J194" t="inlineStr">
        <is>
          <t>2012-04-03</t>
        </is>
      </c>
      <c r="K194" t="inlineStr">
        <is>
          <t>280</t>
        </is>
      </c>
      <c r="L194" t="inlineStr">
        <is>
          <t>Yes</t>
        </is>
      </c>
      <c r="M194" t="inlineStr">
        <is>
          <t>IAD 12 DATA CENTER POD 7 : REQUEST APPROVAL OF A SITE PLAN AMENDMENT (SPAM) TO PREVIOUSLY APPROVED STPL-2000-0157 AND SPAM-2012-0029 FOR THE INSTALLATION OF ELECTRIC CHILLERS, GENERATORS, AND TRANSFORMER PADS BEHIND THE EXISTING BUILDING RP | Approved entitlement; data center building(s) already mapped on/adjacent to site</t>
        </is>
      </c>
      <c r="N194" t="inlineStr">
        <is>
          <t>County-stated status of application(s): Approved. Built/not-built is INFERRED: 1 data center building point(s) lie on/adjacent to the application area.</t>
        </is>
      </c>
      <c r="O194" t="inlineStr">
        <is>
          <t>https://logis.loudoun.gov/gis/rest/services/Projects/LOLA_DATA/MapServer/0/query?where=PlanNumber%3D%27SPAM-2012-0035%27&amp;outFields=PlanNumber,PlanType,PlanStatus,PlanName,PlanApplicationDate,PlanDescription&amp;f=html</t>
        </is>
      </c>
      <c r="P194" t="n">
        <v>38.988689</v>
      </c>
      <c r="Q194" t="n">
        <v>-77.447638</v>
      </c>
    </row>
    <row r="195">
      <c r="A195" t="n">
        <v>576</v>
      </c>
      <c r="B195" t="inlineStr">
        <is>
          <t>Loudoun</t>
        </is>
      </c>
      <c r="C195" t="inlineStr">
        <is>
          <t>IAD 13 DATA CENTER POD 7</t>
        </is>
      </c>
      <c r="D195" t="inlineStr">
        <is>
          <t>Site/engineering plan</t>
        </is>
      </c>
      <c r="E195" t="inlineStr">
        <is>
          <t>Approved/Planned</t>
        </is>
      </c>
      <c r="F195" t="inlineStr">
        <is>
          <t>Approved, not yet built (inferred)</t>
        </is>
      </c>
      <c r="G195" t="inlineStr">
        <is>
          <t>mixed (county application status stated; built/not-built inferred)</t>
        </is>
      </c>
      <c r="H195" t="inlineStr">
        <is>
          <t>SPAM-2012-0036</t>
        </is>
      </c>
      <c r="I195" t="inlineStr">
        <is>
          <t>SPAM-2012-0036 (Engineering Plan, Approved)</t>
        </is>
      </c>
      <c r="J195" t="inlineStr">
        <is>
          <t>2012-04-03</t>
        </is>
      </c>
      <c r="K195" t="inlineStr"/>
      <c r="L195" t="inlineStr">
        <is>
          <t>Yes</t>
        </is>
      </c>
      <c r="M195" t="inlineStr">
        <is>
          <t>IAD 13 DATA CENTER POD 7 : REQUEST APPROVAL OF A SITE PLAN AMENDMENT (SPAM) TO PREVIOUSLY APPROVED STPR-2010-0025 FOR THE INSTALLATION OF ELECTRIC CHILLERS, GENERATORS, AND ELECTRIC TRANSFORMER PADS BEHIND THE BUILDING RP</t>
        </is>
      </c>
      <c r="N195" t="inlineStr">
        <is>
          <t>County-stated status of application(s): Approved. Built/not-built is INFERRED: no mapped data center building lies within the application area.</t>
        </is>
      </c>
      <c r="O195" t="inlineStr">
        <is>
          <t>https://logis.loudoun.gov/gis/rest/services/Projects/LOLA_DATA/MapServer/0/query?where=PlanNumber%3D%27SPAM-2012-0036%27&amp;outFields=PlanNumber,PlanType,PlanStatus,PlanName,PlanApplicationDate,PlanDescription&amp;f=html</t>
        </is>
      </c>
      <c r="P195" t="n">
        <v>39.117252</v>
      </c>
      <c r="Q195" t="n">
        <v>-77.578317</v>
      </c>
    </row>
    <row r="196">
      <c r="A196" t="n">
        <v>577</v>
      </c>
      <c r="B196" t="inlineStr">
        <is>
          <t>Loudoun</t>
        </is>
      </c>
      <c r="C196" t="inlineStr">
        <is>
          <t>IAD 12 DATA CENTER POD 8</t>
        </is>
      </c>
      <c r="D196" t="inlineStr">
        <is>
          <t>Site/engineering plan</t>
        </is>
      </c>
      <c r="E196" t="inlineStr">
        <is>
          <t>Approved/Planned</t>
        </is>
      </c>
      <c r="F196" t="inlineStr">
        <is>
          <t>Approved entitlement; buildings already on site</t>
        </is>
      </c>
      <c r="G196" t="inlineStr">
        <is>
          <t>mixed (county application status stated; built/not-built inferred)</t>
        </is>
      </c>
      <c r="H196" t="inlineStr">
        <is>
          <t>SPAM-2012-0050</t>
        </is>
      </c>
      <c r="I196" t="inlineStr">
        <is>
          <t>SPAM-2012-0050 (Engineering Plan, Approved)</t>
        </is>
      </c>
      <c r="J196" t="inlineStr">
        <is>
          <t>2012-05-24</t>
        </is>
      </c>
      <c r="K196" t="inlineStr">
        <is>
          <t>280</t>
        </is>
      </c>
      <c r="L196" t="inlineStr">
        <is>
          <t>Yes</t>
        </is>
      </c>
      <c r="M196" t="inlineStr">
        <is>
          <t>IAD 12 DATA CENTER POD 8 : REQUEST APPROVAL OF A SITE PLAN AMENDMENT (SPAM) FOR ELECTRIC CHILLERS, GENERATORS, AND ELECTRIC TRANSFORMER PADS. DAS | Approved entitlement; data center building(s) already mapped on/adjacent to site</t>
        </is>
      </c>
      <c r="N196" t="inlineStr">
        <is>
          <t>County-stated status of application(s): Approved. Built/not-built is INFERRED: 1 data center building point(s) lie on/adjacent to the application area.</t>
        </is>
      </c>
      <c r="O196" t="inlineStr">
        <is>
          <t>https://logis.loudoun.gov/gis/rest/services/Projects/LOLA_DATA/MapServer/0/query?where=PlanNumber%3D%27SPAM-2012-0050%27&amp;outFields=PlanNumber,PlanType,PlanStatus,PlanName,PlanApplicationDate,PlanDescription&amp;f=html</t>
        </is>
      </c>
      <c r="P196" t="n">
        <v>38.988689</v>
      </c>
      <c r="Q196" t="n">
        <v>-77.447638</v>
      </c>
    </row>
    <row r="197">
      <c r="A197" t="n">
        <v>578</v>
      </c>
      <c r="B197" t="inlineStr">
        <is>
          <t>Loudoun</t>
        </is>
      </c>
      <c r="C197" t="inlineStr">
        <is>
          <t>IAD 13 DATA CENTER POD 8</t>
        </is>
      </c>
      <c r="D197" t="inlineStr">
        <is>
          <t>Site/engineering plan</t>
        </is>
      </c>
      <c r="E197" t="inlineStr">
        <is>
          <t>Approved/Planned</t>
        </is>
      </c>
      <c r="F197" t="inlineStr">
        <is>
          <t>Approved, not yet built (inferred)</t>
        </is>
      </c>
      <c r="G197" t="inlineStr">
        <is>
          <t>mixed (county application status stated; built/not-built inferred)</t>
        </is>
      </c>
      <c r="H197" t="inlineStr">
        <is>
          <t>SPAM-2012-0066</t>
        </is>
      </c>
      <c r="I197" t="inlineStr">
        <is>
          <t>SPAM-2012-0066 (Engineering Plan, Approved)</t>
        </is>
      </c>
      <c r="J197" t="inlineStr">
        <is>
          <t>2012-06-26</t>
        </is>
      </c>
      <c r="K197" t="inlineStr"/>
      <c r="L197" t="inlineStr">
        <is>
          <t>Yes</t>
        </is>
      </c>
      <c r="M197" t="inlineStr">
        <is>
          <t>IAD 13 DATA CENTER POD 8 : REQUEST APPROVAL OF A SITE PLAN AMENDMENT (SPAM) TO PREVIOUSLY APPROVED SPAM-2012-0036 FOR THE ADDITION OF TWO (2) ELECTRIC CHILLERS, TWO (2) GENERATORS, AND FOUR (4) ELECTRIC TRANSFORMER PADS RP</t>
        </is>
      </c>
      <c r="N197" t="inlineStr">
        <is>
          <t>County-stated status of application(s): Approved. Built/not-built is INFERRED: no mapped data center building lies within the application area.</t>
        </is>
      </c>
      <c r="O197" t="inlineStr">
        <is>
          <t>https://logis.loudoun.gov/gis/rest/services/Projects/LOLA_DATA/MapServer/0/query?where=PlanNumber%3D%27SPAM-2012-0066%27&amp;outFields=PlanNumber,PlanType,PlanStatus,PlanName,PlanApplicationDate,PlanDescription&amp;f=html</t>
        </is>
      </c>
      <c r="P197" t="n">
        <v>39.117252</v>
      </c>
      <c r="Q197" t="n">
        <v>-77.578317</v>
      </c>
    </row>
    <row r="198">
      <c r="A198" t="n">
        <v>579</v>
      </c>
      <c r="B198" t="inlineStr">
        <is>
          <t>Loudoun</t>
        </is>
      </c>
      <c r="C198" t="inlineStr">
        <is>
          <t>IAD 12 DATA CENTER POD 9</t>
        </is>
      </c>
      <c r="D198" t="inlineStr">
        <is>
          <t>Site/engineering plan</t>
        </is>
      </c>
      <c r="E198" t="inlineStr">
        <is>
          <t>Approved/Planned</t>
        </is>
      </c>
      <c r="F198" t="inlineStr">
        <is>
          <t>Approved entitlement; buildings already on site</t>
        </is>
      </c>
      <c r="G198" t="inlineStr">
        <is>
          <t>mixed (county application status stated; built/not-built inferred)</t>
        </is>
      </c>
      <c r="H198" t="inlineStr">
        <is>
          <t>SPAM-2012-0067</t>
        </is>
      </c>
      <c r="I198" t="inlineStr">
        <is>
          <t>SPAM-2012-0067 (Engineering Plan, Approved)</t>
        </is>
      </c>
      <c r="J198" t="inlineStr">
        <is>
          <t>2012-06-25</t>
        </is>
      </c>
      <c r="K198" t="inlineStr">
        <is>
          <t>280</t>
        </is>
      </c>
      <c r="L198" t="inlineStr">
        <is>
          <t>Yes</t>
        </is>
      </c>
      <c r="M198" t="inlineStr">
        <is>
          <t>IAD 12 DATA CENTER POD 9 : REQUEST APPROVAL OF A SITE PLAN AMENDMENT (SPAM) TO PREVIOUSLY APPROVED SPAM-2012-0050 FOR THE ADDITION OF TWO (2) CHILLED WATER PUMP PADS, TWO (2) GENERATOR AND TRANSFORMER PADS, ONE (1) ELECTRIC VAULT, AND TWO (2) DVP SWITCHES RP | Approved entitlement; data center building(s) already mapped on/adjacent to site</t>
        </is>
      </c>
      <c r="N198" t="inlineStr">
        <is>
          <t>County-stated status of application(s): Approved. Built/not-built is INFERRED: 1 data center building point(s) lie on/adjacent to the application area.</t>
        </is>
      </c>
      <c r="O198" t="inlineStr">
        <is>
          <t>https://logis.loudoun.gov/gis/rest/services/Projects/LOLA_DATA/MapServer/0/query?where=PlanNumber%3D%27SPAM-2012-0067%27&amp;outFields=PlanNumber,PlanType,PlanStatus,PlanName,PlanApplicationDate,PlanDescription&amp;f=html</t>
        </is>
      </c>
      <c r="P198" t="n">
        <v>38.988689</v>
      </c>
      <c r="Q198" t="n">
        <v>-77.447638</v>
      </c>
    </row>
    <row r="199">
      <c r="A199" t="n">
        <v>580</v>
      </c>
      <c r="B199" t="inlineStr">
        <is>
          <t>Loudoun</t>
        </is>
      </c>
      <c r="C199" t="inlineStr">
        <is>
          <t>IAD 13 DATA CENTER POD 3</t>
        </is>
      </c>
      <c r="D199" t="inlineStr">
        <is>
          <t>Site/engineering plan</t>
        </is>
      </c>
      <c r="E199" t="inlineStr">
        <is>
          <t>Approved/Planned</t>
        </is>
      </c>
      <c r="F199" t="inlineStr">
        <is>
          <t>Approved, not yet built (inferred)</t>
        </is>
      </c>
      <c r="G199" t="inlineStr">
        <is>
          <t>mixed (county application status stated; built/not-built inferred)</t>
        </is>
      </c>
      <c r="H199" t="inlineStr">
        <is>
          <t>SPAM-2012-0079</t>
        </is>
      </c>
      <c r="I199" t="inlineStr">
        <is>
          <t>SPAM-2012-0079 (Engineering Plan, Approved)</t>
        </is>
      </c>
      <c r="J199" t="inlineStr">
        <is>
          <t>2012-07-26</t>
        </is>
      </c>
      <c r="K199" t="inlineStr"/>
      <c r="L199" t="inlineStr">
        <is>
          <t>Yes</t>
        </is>
      </c>
      <c r="M199" t="inlineStr">
        <is>
          <t>IAD 13 DATA CENTER POD 3 : REQUEST APPROVAL OF A SITE PLAN AMENDMENT (SPAM) TO PREVIOUSLY APPROVED SPAM-2012-0066 FOR THE ADDITION OF ELECTRIC CHILLERS, GENERATORS, AND 10-FOOT WIDE ASPHALT WALK. DAS</t>
        </is>
      </c>
      <c r="N199" t="inlineStr">
        <is>
          <t>County-stated status of application(s): Approved. Built/not-built is INFERRED: no mapped data center building lies within the application area.</t>
        </is>
      </c>
      <c r="O199" t="inlineStr">
        <is>
          <t>https://logis.loudoun.gov/gis/rest/services/Projects/LOLA_DATA/MapServer/0/query?where=PlanNumber%3D%27SPAM-2012-0079%27&amp;outFields=PlanNumber,PlanType,PlanStatus,PlanName,PlanApplicationDate,PlanDescription&amp;f=html</t>
        </is>
      </c>
      <c r="P199" t="n">
        <v>39.117252</v>
      </c>
      <c r="Q199" t="n">
        <v>-77.578317</v>
      </c>
    </row>
    <row r="200">
      <c r="A200" t="n">
        <v>581</v>
      </c>
      <c r="B200" t="inlineStr">
        <is>
          <t>Loudoun</t>
        </is>
      </c>
      <c r="C200" t="inlineStr">
        <is>
          <t>IAD 12 DATA CENTER POD 10</t>
        </is>
      </c>
      <c r="D200" t="inlineStr">
        <is>
          <t>Site/engineering plan</t>
        </is>
      </c>
      <c r="E200" t="inlineStr">
        <is>
          <t>Approved/Planned</t>
        </is>
      </c>
      <c r="F200" t="inlineStr">
        <is>
          <t>Approved entitlement; buildings already on site</t>
        </is>
      </c>
      <c r="G200" t="inlineStr">
        <is>
          <t>mixed (county application status stated; built/not-built inferred)</t>
        </is>
      </c>
      <c r="H200" t="inlineStr">
        <is>
          <t>SPAM-2012-0104</t>
        </is>
      </c>
      <c r="I200" t="inlineStr">
        <is>
          <t>SPAM-2012-0104 (Engineering Plan, Approved)</t>
        </is>
      </c>
      <c r="J200" t="inlineStr">
        <is>
          <t>2012-10-01</t>
        </is>
      </c>
      <c r="K200" t="inlineStr">
        <is>
          <t>280</t>
        </is>
      </c>
      <c r="L200" t="inlineStr">
        <is>
          <t>Yes</t>
        </is>
      </c>
      <c r="M200" t="inlineStr">
        <is>
          <t>IAD 12 DATA CENTER POD 10 : REQUEST APPROVAL OF A SITE PLAN AMENDMENT (SPAM) TO ADD AIR COOLED CHILLERS, GENERATORS AND ELECTRIC TRANSFORMER PADS BEHIND THE BUILDING. DAS | Approved entitlement; data center building(s) already mapped on/adjacent to site</t>
        </is>
      </c>
      <c r="N200" t="inlineStr">
        <is>
          <t>County-stated status of application(s): Approved. Built/not-built is INFERRED: 1 data center building point(s) lie on/adjacent to the application area.</t>
        </is>
      </c>
      <c r="O200" t="inlineStr">
        <is>
          <t>https://logis.loudoun.gov/gis/rest/services/Projects/LOLA_DATA/MapServer/0/query?where=PlanNumber%3D%27SPAM-2012-0104%27&amp;outFields=PlanNumber,PlanType,PlanStatus,PlanName,PlanApplicationDate,PlanDescription&amp;f=html</t>
        </is>
      </c>
      <c r="P200" t="n">
        <v>38.988689</v>
      </c>
      <c r="Q200" t="n">
        <v>-77.447638</v>
      </c>
    </row>
    <row r="201">
      <c r="A201" t="n">
        <v>582</v>
      </c>
      <c r="B201" t="inlineStr">
        <is>
          <t>Loudoun</t>
        </is>
      </c>
      <c r="C201" t="inlineStr">
        <is>
          <t>IAD 13 DATA CENTER POD 9</t>
        </is>
      </c>
      <c r="D201" t="inlineStr">
        <is>
          <t>Site/engineering plan</t>
        </is>
      </c>
      <c r="E201" t="inlineStr">
        <is>
          <t>Approved/Planned</t>
        </is>
      </c>
      <c r="F201" t="inlineStr">
        <is>
          <t>Approved, not yet built (inferred)</t>
        </is>
      </c>
      <c r="G201" t="inlineStr">
        <is>
          <t>mixed (county application status stated; built/not-built inferred)</t>
        </is>
      </c>
      <c r="H201" t="inlineStr">
        <is>
          <t>SPAM-2012-0105</t>
        </is>
      </c>
      <c r="I201" t="inlineStr">
        <is>
          <t>SPAM-2012-0105 (Engineering Plan, Approved)</t>
        </is>
      </c>
      <c r="J201" t="inlineStr">
        <is>
          <t>2012-10-05</t>
        </is>
      </c>
      <c r="K201" t="inlineStr"/>
      <c r="L201" t="inlineStr">
        <is>
          <t>Yes</t>
        </is>
      </c>
      <c r="M201" t="inlineStr">
        <is>
          <t>IAD 13 DATA CENTER POD 9 : REQUEST APPROVAL OF A SITE PLAN AMENDMENT(SPAM) TO PREVIOUSLY APPROVED SPAM 2012-0079 TO ADD A COLD WATER TANK CONCRETE PAD, TWO (2) CHILLED WATER PUMP PADS, COOLING TOWER PADS, TWO (2) GENERATORS AND PADS, FOUR (4) ELECTRIC TRANSFORMERS AND PADS. DAS</t>
        </is>
      </c>
      <c r="N201" t="inlineStr">
        <is>
          <t>County-stated status of application(s): Approved. Built/not-built is INFERRED: no mapped data center building lies within the application area.</t>
        </is>
      </c>
      <c r="O201" t="inlineStr">
        <is>
          <t>https://logis.loudoun.gov/gis/rest/services/Projects/LOLA_DATA/MapServer/0/query?where=PlanNumber%3D%27SPAM-2012-0105%27&amp;outFields=PlanNumber,PlanType,PlanStatus,PlanName,PlanApplicationDate,PlanDescription&amp;f=html</t>
        </is>
      </c>
      <c r="P201" t="n">
        <v>39.117252</v>
      </c>
      <c r="Q201" t="n">
        <v>-77.578317</v>
      </c>
    </row>
    <row r="202">
      <c r="A202" t="n">
        <v>583</v>
      </c>
      <c r="B202" t="inlineStr">
        <is>
          <t>Loudoun</t>
        </is>
      </c>
      <c r="C202" t="inlineStr">
        <is>
          <t>DULLES SUMMIT IAD 15 DATA CENTER POD 1</t>
        </is>
      </c>
      <c r="D202" t="inlineStr">
        <is>
          <t>Site/engineering plan</t>
        </is>
      </c>
      <c r="E202" t="inlineStr">
        <is>
          <t>Approved/Planned</t>
        </is>
      </c>
      <c r="F202" t="inlineStr">
        <is>
          <t>Approved entitlement; buildings already on site</t>
        </is>
      </c>
      <c r="G202" t="inlineStr">
        <is>
          <t>mixed (county application status stated; built/not-built inferred)</t>
        </is>
      </c>
      <c r="H202" t="inlineStr">
        <is>
          <t>SPAM-2012-0115</t>
        </is>
      </c>
      <c r="I202" t="inlineStr">
        <is>
          <t>SPAM-2012-0115 (Engineering Plan, Approved)</t>
        </is>
      </c>
      <c r="J202" t="inlineStr">
        <is>
          <t>2012-11-13</t>
        </is>
      </c>
      <c r="K202" t="inlineStr">
        <is>
          <t>288</t>
        </is>
      </c>
      <c r="L202" t="inlineStr">
        <is>
          <t>Yes</t>
        </is>
      </c>
      <c r="M202" t="inlineStr">
        <is>
          <t>DULLES SUMMIT IAD 15 DATA CENTER POD 1 : REQUEST APPROVAL OF A SITE PLAN AMENDMENT (SPAM) TO PREVIOUSLY APPROVED SPAM 2011-0099 TO ADD PRIVATE WATER STORAGE TANK PAD, GENERATORS, AND ELECTRIC TRANSFORMER PADS. DAS | Approved entitlement; data center building(s) already mapped on/adjacent to site</t>
        </is>
      </c>
      <c r="N202" t="inlineStr">
        <is>
          <t>County-stated status of application(s): Approved. Built/not-built is INFERRED: 1 data center building point(s) lie on/adjacent to the application area.</t>
        </is>
      </c>
      <c r="O202" t="inlineStr">
        <is>
          <t>https://logis.loudoun.gov/gis/rest/services/Projects/LOLA_DATA/MapServer/0/query?where=PlanNumber%3D%27SPAM-2012-0115%27&amp;outFields=PlanNumber,PlanType,PlanStatus,PlanName,PlanApplicationDate,PlanDescription&amp;f=html</t>
        </is>
      </c>
      <c r="P202" t="n">
        <v>38.990748</v>
      </c>
      <c r="Q202" t="n">
        <v>-77.448815</v>
      </c>
    </row>
    <row r="203">
      <c r="A203" t="n">
        <v>584</v>
      </c>
      <c r="B203" t="inlineStr">
        <is>
          <t>Loudoun</t>
        </is>
      </c>
      <c r="C203" t="inlineStr">
        <is>
          <t>IAD 13 DATA CENTER POD 4</t>
        </is>
      </c>
      <c r="D203" t="inlineStr">
        <is>
          <t>Site/engineering plan</t>
        </is>
      </c>
      <c r="E203" t="inlineStr">
        <is>
          <t>Approved/Planned</t>
        </is>
      </c>
      <c r="F203" t="inlineStr">
        <is>
          <t>Approved, not yet built (inferred)</t>
        </is>
      </c>
      <c r="G203" t="inlineStr">
        <is>
          <t>mixed (county application status stated; built/not-built inferred)</t>
        </is>
      </c>
      <c r="H203" t="inlineStr">
        <is>
          <t>SPAM-2013-0012</t>
        </is>
      </c>
      <c r="I203" t="inlineStr">
        <is>
          <t>SPAM-2013-0012 (Engineering Plan, Approved)</t>
        </is>
      </c>
      <c r="J203" t="inlineStr">
        <is>
          <t>2013-01-15</t>
        </is>
      </c>
      <c r="K203" t="inlineStr"/>
      <c r="L203" t="inlineStr">
        <is>
          <t>Yes</t>
        </is>
      </c>
      <c r="M203" t="inlineStr">
        <is>
          <t>IAD 13 DATA CENTER POD 4 : REQUEST APPROVAL OF A SITE PLAN AMENDMENT (SPAM) TO PREVIOUSLY APPROVED STPL-2001-0016 AND STPR-2010-0025 FOR TWO (2) NEW GENERATOR PADS, REVISION TO GRADING, AND THE INSTALLATION OF SECURITY GATES RP</t>
        </is>
      </c>
      <c r="N203" t="inlineStr">
        <is>
          <t>County-stated status of application(s): Approved. Built/not-built is INFERRED: no mapped data center building lies within the application area.</t>
        </is>
      </c>
      <c r="O203" t="inlineStr">
        <is>
          <t>https://logis.loudoun.gov/gis/rest/services/Projects/LOLA_DATA/MapServer/0/query?where=PlanNumber%3D%27SPAM-2013-0012%27&amp;outFields=PlanNumber,PlanType,PlanStatus,PlanName,PlanApplicationDate,PlanDescription&amp;f=html</t>
        </is>
      </c>
      <c r="P203" t="n">
        <v>39.117252</v>
      </c>
      <c r="Q203" t="n">
        <v>-77.578317</v>
      </c>
    </row>
    <row r="204">
      <c r="A204" t="n">
        <v>585</v>
      </c>
      <c r="B204" t="inlineStr">
        <is>
          <t>Loudoun</t>
        </is>
      </c>
      <c r="C204" t="inlineStr">
        <is>
          <t>IAD 10 DATA CENTER NETWORK ROOM EXPANSIO</t>
        </is>
      </c>
      <c r="D204" t="inlineStr">
        <is>
          <t>Site/engineering plan</t>
        </is>
      </c>
      <c r="E204" t="inlineStr">
        <is>
          <t>Approved/Planned</t>
        </is>
      </c>
      <c r="F204" t="inlineStr">
        <is>
          <t>Approved entitlement; buildings already on site</t>
        </is>
      </c>
      <c r="G204" t="inlineStr">
        <is>
          <t>mixed (county application status stated; built/not-built inferred)</t>
        </is>
      </c>
      <c r="H204" t="inlineStr">
        <is>
          <t>SPAM-2013-0020</t>
        </is>
      </c>
      <c r="I204" t="inlineStr">
        <is>
          <t>SPAM-2013-0020 (Engineering Plan, Approved)</t>
        </is>
      </c>
      <c r="J204" t="inlineStr">
        <is>
          <t>2013-01-30</t>
        </is>
      </c>
      <c r="K204" t="inlineStr">
        <is>
          <t>264</t>
        </is>
      </c>
      <c r="L204" t="inlineStr">
        <is>
          <t>Yes</t>
        </is>
      </c>
      <c r="M204" t="inlineStr">
        <is>
          <t>IAD 10 DATA CENTER NETWORK ROOM EXPANSIO : REQUEST APPROVAL OF A SITE PLAN AMENDMENT (SPAM) TO PREVIOUSLY APPROVED SPAM 2011-0036 FOR TWO (2) CONCRETE PADS FOR GENERATORS. DAS | Approved entitlement; data center building(s) already mapped on/adjacent to site</t>
        </is>
      </c>
      <c r="N204" t="inlineStr">
        <is>
          <t>County-stated status of application(s): Approved. Built/not-built is INFERRED: 1 data center building point(s) lie on/adjacent to the application area.</t>
        </is>
      </c>
      <c r="O204" t="inlineStr">
        <is>
          <t>https://logis.loudoun.gov/gis/rest/services/Projects/LOLA_DATA/MapServer/0/query?where=PlanNumber%3D%27SPAM-2013-0020%27&amp;outFields=PlanNumber,PlanType,PlanStatus,PlanName,PlanApplicationDate,PlanDescription&amp;f=html</t>
        </is>
      </c>
      <c r="P204" t="n">
        <v>39.021578</v>
      </c>
      <c r="Q204" t="n">
        <v>-77.43288200000001</v>
      </c>
    </row>
    <row r="205">
      <c r="A205" t="n">
        <v>586</v>
      </c>
      <c r="B205" t="inlineStr">
        <is>
          <t>Loudoun</t>
        </is>
      </c>
      <c r="C205" t="inlineStr">
        <is>
          <t>INTERGATE ASHBURN  DATA CENTER</t>
        </is>
      </c>
      <c r="D205" t="inlineStr">
        <is>
          <t>Site/engineering plan</t>
        </is>
      </c>
      <c r="E205" t="inlineStr">
        <is>
          <t>Approved/Planned</t>
        </is>
      </c>
      <c r="F205" t="inlineStr">
        <is>
          <t>Approved entitlement; buildings already on site</t>
        </is>
      </c>
      <c r="G205" t="inlineStr">
        <is>
          <t>mixed (county application status stated; built/not-built inferred)</t>
        </is>
      </c>
      <c r="H205" t="inlineStr">
        <is>
          <t>STPL-2011-0014</t>
        </is>
      </c>
      <c r="I205" t="inlineStr">
        <is>
          <t>STPL-2011-0014 (Engineering Plan, Approved); SPAM-2013-0025 (Engineering Plan, Approved)</t>
        </is>
      </c>
      <c r="J205" t="inlineStr">
        <is>
          <t>2011-06-16</t>
        </is>
      </c>
      <c r="K205" t="inlineStr">
        <is>
          <t>297, 298, 299</t>
        </is>
      </c>
      <c r="L205" t="inlineStr">
        <is>
          <t>Yes</t>
        </is>
      </c>
      <c r="M205" t="inlineStr">
        <is>
          <t>INTERGATE ASHBURN DATA CENTER : REQUEST APPROVAL OF A SITE PLAN AMMENDMENT (SPAM) TO PREVIOUSLY APPROVED SITE PLAN TO REVISE GRADING, WATERMAINS AND SERVICES, AND STORM SEWERS WITHIN THE OVERALL PLAN. EB | Approved entitlement; data center building(s) already mapped on/adjacent to site</t>
        </is>
      </c>
      <c r="N205" t="inlineStr">
        <is>
          <t>County-stated status of application(s): Approved. Built/not-built is INFERRED: 3 data center building point(s) lie on/adjacent to the application area.</t>
        </is>
      </c>
      <c r="O205" t="inlineStr">
        <is>
          <t>https://logis.loudoun.gov/gis/rest/services/Projects/LOLA_DATA/MapServer/0/query?where=PlanNumber%3D%27SPAM-2013-0025%27&amp;outFields=PlanNumber,PlanType,PlanStatus,PlanName,PlanApplicationDate,PlanDescription&amp;f=html</t>
        </is>
      </c>
      <c r="P205" t="n">
        <v>39.015082</v>
      </c>
      <c r="Q205" t="n">
        <v>-77.478784</v>
      </c>
    </row>
    <row r="206">
      <c r="A206" t="n">
        <v>587</v>
      </c>
      <c r="B206" t="inlineStr">
        <is>
          <t>Loudoun</t>
        </is>
      </c>
      <c r="C206" t="inlineStr">
        <is>
          <t>SUMMIT AT DULLES IAD 15 DATA CENTER POD4</t>
        </is>
      </c>
      <c r="D206" t="inlineStr">
        <is>
          <t>Site/engineering plan</t>
        </is>
      </c>
      <c r="E206" t="inlineStr">
        <is>
          <t>Approved/Planned</t>
        </is>
      </c>
      <c r="F206" t="inlineStr">
        <is>
          <t>Approved entitlement; buildings already on site</t>
        </is>
      </c>
      <c r="G206" t="inlineStr">
        <is>
          <t>mixed (county application status stated; built/not-built inferred)</t>
        </is>
      </c>
      <c r="H206" t="inlineStr">
        <is>
          <t>SPAM-2013-0027</t>
        </is>
      </c>
      <c r="I206" t="inlineStr">
        <is>
          <t>SPAM-2013-0027 (Engineering Plan, Approved)</t>
        </is>
      </c>
      <c r="J206" t="inlineStr">
        <is>
          <t>2013-02-07</t>
        </is>
      </c>
      <c r="K206" t="inlineStr">
        <is>
          <t>279</t>
        </is>
      </c>
      <c r="L206" t="inlineStr">
        <is>
          <t>Yes</t>
        </is>
      </c>
      <c r="M206" t="inlineStr">
        <is>
          <t>SUMMIT AT DULLES IAD 15 DATA CENTER POD4 : REQUEST APPROVAL OF A SITE PLAN AMMENDMENT (SPAM) TO PREVIOUSLY APPROVED SITE PLAN (STPL) FOR TWO (2) PRIVATE WATER STORAGE TANK AND GENERATOR PADS TO BE INSTALLED BEHIND THE BUIDLING. EB | Approved entitlement; data center building(s) already mapped on/adjacent to site</t>
        </is>
      </c>
      <c r="N206" t="inlineStr">
        <is>
          <t>County-stated status of application(s): Approved. Built/not-built is INFERRED: 1 data center building point(s) lie on/adjacent to the application area.</t>
        </is>
      </c>
      <c r="O206" t="inlineStr">
        <is>
          <t>https://logis.loudoun.gov/gis/rest/services/Projects/LOLA_DATA/MapServer/0/query?where=PlanNumber%3D%27SPAM-2013-0027%27&amp;outFields=PlanNumber,PlanType,PlanStatus,PlanName,PlanApplicationDate,PlanDescription&amp;f=html</t>
        </is>
      </c>
      <c r="P206" t="n">
        <v>38.991319</v>
      </c>
      <c r="Q206" t="n">
        <v>-77.44821399999999</v>
      </c>
    </row>
    <row r="207">
      <c r="A207" t="n">
        <v>588</v>
      </c>
      <c r="B207" t="inlineStr">
        <is>
          <t>Loudoun</t>
        </is>
      </c>
      <c r="C207" t="inlineStr">
        <is>
          <t>IAD 15 DATA CENTER POD 5</t>
        </is>
      </c>
      <c r="D207" t="inlineStr">
        <is>
          <t>Site/engineering plan</t>
        </is>
      </c>
      <c r="E207" t="inlineStr">
        <is>
          <t>Approved/Planned</t>
        </is>
      </c>
      <c r="F207" t="inlineStr">
        <is>
          <t>Approved entitlement; buildings already on site</t>
        </is>
      </c>
      <c r="G207" t="inlineStr">
        <is>
          <t>mixed (county application status stated; built/not-built inferred)</t>
        </is>
      </c>
      <c r="H207" t="inlineStr">
        <is>
          <t>SPAM-2013-0038</t>
        </is>
      </c>
      <c r="I207" t="inlineStr">
        <is>
          <t>SPAM-2013-0038 (Engineering Plan, Approved)</t>
        </is>
      </c>
      <c r="J207" t="inlineStr">
        <is>
          <t>2013-03-13</t>
        </is>
      </c>
      <c r="K207" t="inlineStr">
        <is>
          <t>279</t>
        </is>
      </c>
      <c r="L207" t="inlineStr">
        <is>
          <t>Yes</t>
        </is>
      </c>
      <c r="M207" t="inlineStr">
        <is>
          <t>IAD 15 DATA CENTER POD 5 : REQUEST APPROVAL OF A SITE PLAN AMMENDMENT (SPAM) TO PREVIOUSLY APPROVED SPAM-2013-0027 FOR THE INSTALLATION OF TWO (2) PRIVATE WATER STORAGE TANK AND GENERATOR PADS. EB | Approved entitlement; data center building(s) already mapped on/adjacent to site</t>
        </is>
      </c>
      <c r="N207" t="inlineStr">
        <is>
          <t>County-stated status of application(s): Approved. Built/not-built is INFERRED: 1 data center building point(s) lie on/adjacent to the application area.</t>
        </is>
      </c>
      <c r="O207" t="inlineStr">
        <is>
          <t>https://logis.loudoun.gov/gis/rest/services/Projects/LOLA_DATA/MapServer/0/query?where=PlanNumber%3D%27SPAM-2013-0038%27&amp;outFields=PlanNumber,PlanType,PlanStatus,PlanName,PlanApplicationDate,PlanDescription&amp;f=html</t>
        </is>
      </c>
      <c r="P207" t="n">
        <v>38.991319</v>
      </c>
      <c r="Q207" t="n">
        <v>-77.44821399999999</v>
      </c>
    </row>
    <row r="208">
      <c r="A208" t="n">
        <v>589</v>
      </c>
      <c r="B208" t="inlineStr">
        <is>
          <t>Loudoun</t>
        </is>
      </c>
      <c r="C208" t="inlineStr">
        <is>
          <t>IAD 32 DATA CENTER POD 2</t>
        </is>
      </c>
      <c r="D208" t="inlineStr">
        <is>
          <t>Site/engineering plan</t>
        </is>
      </c>
      <c r="E208" t="inlineStr">
        <is>
          <t>Approved/Planned</t>
        </is>
      </c>
      <c r="F208" t="inlineStr">
        <is>
          <t>Approved entitlement; buildings already on site</t>
        </is>
      </c>
      <c r="G208" t="inlineStr">
        <is>
          <t>mixed (county application status stated; built/not-built inferred)</t>
        </is>
      </c>
      <c r="H208" t="inlineStr">
        <is>
          <t>SPAM-2013-0049</t>
        </is>
      </c>
      <c r="I208" t="inlineStr">
        <is>
          <t>SPAM-2013-0049 (Engineering Plan, Approved)</t>
        </is>
      </c>
      <c r="J208" t="inlineStr">
        <is>
          <t>2013-04-16</t>
        </is>
      </c>
      <c r="K208" t="inlineStr">
        <is>
          <t>265</t>
        </is>
      </c>
      <c r="L208" t="inlineStr">
        <is>
          <t>Yes</t>
        </is>
      </c>
      <c r="M208" t="inlineStr">
        <is>
          <t>IAD 32 DATA CENTER POD 2 : REQUEST APPROVAL OF A SITE PLAN AMMENDMENT (SPAM) TO PREVIOUSLY APPROVED SITE PLAN TO INSTALL TWO WATER STORE TANKS AND GENERATOR PADS BEHIND THE BUILDING. EB | Approved entitlement; data center building(s) already mapped on/adjacent to site</t>
        </is>
      </c>
      <c r="N208" t="inlineStr">
        <is>
          <t>County-stated status of application(s): Approved. Built/not-built is INFERRED: 1 data center building point(s) lie on/adjacent to the application area.</t>
        </is>
      </c>
      <c r="O208" t="inlineStr">
        <is>
          <t>https://logis.loudoun.gov/gis/rest/services/Projects/LOLA_DATA/MapServer/0/query?where=PlanNumber%3D%27SPAM-2013-0049%27&amp;outFields=PlanNumber,PlanType,PlanStatus,PlanName,PlanApplicationDate,PlanDescription&amp;f=html</t>
        </is>
      </c>
      <c r="P208" t="n">
        <v>39.021573</v>
      </c>
      <c r="Q208" t="n">
        <v>-77.43472300000001</v>
      </c>
    </row>
    <row r="209">
      <c r="A209" t="n">
        <v>590</v>
      </c>
      <c r="B209" t="inlineStr">
        <is>
          <t>Loudoun</t>
        </is>
      </c>
      <c r="C209" t="inlineStr">
        <is>
          <t>DULLES SUMMIT IAD 15 DATA CENTER POD 6</t>
        </is>
      </c>
      <c r="D209" t="inlineStr">
        <is>
          <t>Site/engineering plan</t>
        </is>
      </c>
      <c r="E209" t="inlineStr">
        <is>
          <t>Approved/Planned</t>
        </is>
      </c>
      <c r="F209" t="inlineStr">
        <is>
          <t>Approved entitlement; buildings already on site</t>
        </is>
      </c>
      <c r="G209" t="inlineStr">
        <is>
          <t>mixed (county application status stated; built/not-built inferred)</t>
        </is>
      </c>
      <c r="H209" t="inlineStr">
        <is>
          <t>SPAM-2013-0052</t>
        </is>
      </c>
      <c r="I209" t="inlineStr">
        <is>
          <t>SPAM-2013-0052 (Engineering Plan, Approved)</t>
        </is>
      </c>
      <c r="J209" t="inlineStr">
        <is>
          <t>2013-04-24</t>
        </is>
      </c>
      <c r="K209" t="inlineStr">
        <is>
          <t>279</t>
        </is>
      </c>
      <c r="L209" t="inlineStr">
        <is>
          <t>Yes</t>
        </is>
      </c>
      <c r="M209" t="inlineStr">
        <is>
          <t>DULLES SUMMIT IAD 15 DATA CENTER POD 6 : REQUEST APPROVAL OF A SITE PLAN AMMENDMENT (SPAM) TO PREVIOUSLY APPROVED SPAM-2013-0038 FOR TWO (2) PRIVATE WATER STORAGE TANK AND GENERATOR PADS TO BE INSTALLED BEHIND THE BUILDING. EB | Approved entitlement; data center building(s) already mapped on/adjacent to site</t>
        </is>
      </c>
      <c r="N209" t="inlineStr">
        <is>
          <t>County-stated status of application(s): Approved. Built/not-built is INFERRED: 1 data center building point(s) lie on/adjacent to the application area.</t>
        </is>
      </c>
      <c r="O209" t="inlineStr">
        <is>
          <t>https://logis.loudoun.gov/gis/rest/services/Projects/LOLA_DATA/MapServer/0/query?where=PlanNumber%3D%27SPAM-2013-0052%27&amp;outFields=PlanNumber,PlanType,PlanStatus,PlanName,PlanApplicationDate,PlanDescription&amp;f=html</t>
        </is>
      </c>
      <c r="P209" t="n">
        <v>38.991319</v>
      </c>
      <c r="Q209" t="n">
        <v>-77.44821399999999</v>
      </c>
    </row>
    <row r="210">
      <c r="A210" t="n">
        <v>591</v>
      </c>
      <c r="B210" t="inlineStr">
        <is>
          <t>Loudoun</t>
        </is>
      </c>
      <c r="C210" t="inlineStr">
        <is>
          <t>IAD 16 DATA CENTER PODS 1-4</t>
        </is>
      </c>
      <c r="D210" t="inlineStr">
        <is>
          <t>Site/engineering plan</t>
        </is>
      </c>
      <c r="E210" t="inlineStr">
        <is>
          <t>Approved/Planned</t>
        </is>
      </c>
      <c r="F210" t="inlineStr">
        <is>
          <t>Approved entitlement; buildings already on site</t>
        </is>
      </c>
      <c r="G210" t="inlineStr">
        <is>
          <t>mixed (county application status stated; built/not-built inferred)</t>
        </is>
      </c>
      <c r="H210" t="inlineStr">
        <is>
          <t>SPAM-2013-0057</t>
        </is>
      </c>
      <c r="I210" t="inlineStr">
        <is>
          <t>SPAM-2013-0057 (Engineering Plan, Approved)</t>
        </is>
      </c>
      <c r="J210" t="inlineStr">
        <is>
          <t>2013-05-08</t>
        </is>
      </c>
      <c r="K210" t="inlineStr">
        <is>
          <t>288</t>
        </is>
      </c>
      <c r="L210" t="inlineStr">
        <is>
          <t>Yes</t>
        </is>
      </c>
      <c r="M210" t="inlineStr">
        <is>
          <t>IAD 16 DATA CENTER PODS 1-4 : REQUEST APPROVAL OF A SITE PLAN AMMENDMENT (SPAM) TO PREVIOUSLY APPROVED SPAM-2013-0052 TO INSTALL TWO (2) PRIVATE WATER STORAGE TANKS AND GENERATOR PADS BEHIND THE BUILDING. EB | Approved entitlement; data center building(s) already mapped on/adjacent to site</t>
        </is>
      </c>
      <c r="N210" t="inlineStr">
        <is>
          <t>County-stated status of application(s): Approved. Built/not-built is INFERRED: 1 data center building point(s) lie on/adjacent to the application area.</t>
        </is>
      </c>
      <c r="O210" t="inlineStr">
        <is>
          <t>https://logis.loudoun.gov/gis/rest/services/Projects/LOLA_DATA/MapServer/0/query?where=PlanNumber%3D%27SPAM-2013-0057%27&amp;outFields=PlanNumber,PlanType,PlanStatus,PlanName,PlanApplicationDate,PlanDescription&amp;f=html</t>
        </is>
      </c>
      <c r="P210" t="n">
        <v>38.990748</v>
      </c>
      <c r="Q210" t="n">
        <v>-77.448815</v>
      </c>
    </row>
    <row r="211">
      <c r="A211" t="n">
        <v>592</v>
      </c>
      <c r="B211" t="inlineStr">
        <is>
          <t>Loudoun</t>
        </is>
      </c>
      <c r="C211" t="inlineStr">
        <is>
          <t>ASHBURN CORPORATE CENTER PHASE IV (ACC7)</t>
        </is>
      </c>
      <c r="D211" t="inlineStr">
        <is>
          <t>Site/engineering plan</t>
        </is>
      </c>
      <c r="E211" t="inlineStr">
        <is>
          <t>Approved/Planned</t>
        </is>
      </c>
      <c r="F211" t="inlineStr">
        <is>
          <t>Approved entitlement; buildings already on site</t>
        </is>
      </c>
      <c r="G211" t="inlineStr">
        <is>
          <t>mixed (county application status stated; built/not-built inferred)</t>
        </is>
      </c>
      <c r="H211" t="inlineStr">
        <is>
          <t>SPAM-2013-0061</t>
        </is>
      </c>
      <c r="I211" t="inlineStr">
        <is>
          <t>SPAM-2013-0061 (Engineering Plan, Approved)</t>
        </is>
      </c>
      <c r="J211" t="inlineStr">
        <is>
          <t>2013-05-13</t>
        </is>
      </c>
      <c r="K211" t="inlineStr">
        <is>
          <t>296</t>
        </is>
      </c>
      <c r="L211" t="inlineStr">
        <is>
          <t>Yes</t>
        </is>
      </c>
      <c r="M211" t="inlineStr">
        <is>
          <t>ASHBURN CORPORATE CENTER PHASE IV (ACC7) : REQUEST APPROVAL OF A SITE PLAN AMMENDMENT (SPAM) TO PREVIOUSLY APPROVED STMP-2010-0001 FOR AN UPDATED ONE (1) STORY DATA CENTER BUILDING WITH ASSOCIATED PARKING AND UTILITY EXTENSIONS. EB | Approved entitlement; data center building(s) already mapped on/adjacent to site</t>
        </is>
      </c>
      <c r="N211" t="inlineStr">
        <is>
          <t>County-stated status of application(s): Approved. Built/not-built is INFERRED: 1 data center building point(s) lie on/adjacent to the application area.</t>
        </is>
      </c>
      <c r="O211" t="inlineStr">
        <is>
          <t>https://logis.loudoun.gov/gis/rest/services/Projects/LOLA_DATA/MapServer/0/query?where=PlanNumber%3D%27SPAM-2013-0061%27&amp;outFields=PlanNumber,PlanType,PlanStatus,PlanName,PlanApplicationDate,PlanDescription&amp;f=html</t>
        </is>
      </c>
      <c r="P211" t="n">
        <v>39.017398</v>
      </c>
      <c r="Q211" t="n">
        <v>-77.46592800000001</v>
      </c>
    </row>
    <row r="212">
      <c r="A212" t="n">
        <v>593</v>
      </c>
      <c r="B212" t="inlineStr">
        <is>
          <t>Loudoun</t>
        </is>
      </c>
      <c r="C212" t="inlineStr">
        <is>
          <t>IAD 54 DATA CENTER PODS 1 AND 2</t>
        </is>
      </c>
      <c r="D212" t="inlineStr">
        <is>
          <t>Site/engineering plan</t>
        </is>
      </c>
      <c r="E212" t="inlineStr">
        <is>
          <t>Approved/Planned</t>
        </is>
      </c>
      <c r="F212" t="inlineStr">
        <is>
          <t>Approved entitlement; buildings already on site</t>
        </is>
      </c>
      <c r="G212" t="inlineStr">
        <is>
          <t>mixed (county application status stated; built/not-built inferred)</t>
        </is>
      </c>
      <c r="H212" t="inlineStr">
        <is>
          <t>SPAM-2013-0079</t>
        </is>
      </c>
      <c r="I212" t="inlineStr">
        <is>
          <t>SPAM-2013-0079 (Engineering Plan, Approved)</t>
        </is>
      </c>
      <c r="J212" t="inlineStr">
        <is>
          <t>2013-06-26</t>
        </is>
      </c>
      <c r="K212" t="inlineStr">
        <is>
          <t>275</t>
        </is>
      </c>
      <c r="L212" t="inlineStr">
        <is>
          <t>Yes</t>
        </is>
      </c>
      <c r="M212" t="inlineStr">
        <is>
          <t>IAD 54 DATA CENTER PODS 1 AND 2 : REQUEST APPROVAL OF A SITE PLAN AMMENDMENT (SPAM) TO PREVIOUSLY APPROVED SPAM-2013-0060 FOR FIVE (5) GENERATOR PADS, TWO (2) PRIVATE WATER TANKS, AND FIVE (5) TRANSFORMER PADS. EB | Approved entitlement; data center building(s) already mapped on/adjacent to site</t>
        </is>
      </c>
      <c r="N212" t="inlineStr">
        <is>
          <t>County-stated status of application(s): Approved. Built/not-built is INFERRED: 1 data center building point(s) lie on/adjacent to the application area.</t>
        </is>
      </c>
      <c r="O212" t="inlineStr">
        <is>
          <t>https://logis.loudoun.gov/gis/rest/services/Projects/LOLA_DATA/MapServer/0/query?where=PlanNumber%3D%27SPAM-2013-0079%27&amp;outFields=PlanNumber,PlanType,PlanStatus,PlanName,PlanApplicationDate,PlanDescription&amp;f=html</t>
        </is>
      </c>
      <c r="P212" t="n">
        <v>39.003358</v>
      </c>
      <c r="Q212" t="n">
        <v>-77.487286</v>
      </c>
    </row>
    <row r="213">
      <c r="A213" t="n">
        <v>594</v>
      </c>
      <c r="B213" t="inlineStr">
        <is>
          <t>Loudoun</t>
        </is>
      </c>
      <c r="C213" t="inlineStr">
        <is>
          <t>IAD 50 DATA CENTER PODS 1-6</t>
        </is>
      </c>
      <c r="D213" t="inlineStr">
        <is>
          <t>Site/engineering plan</t>
        </is>
      </c>
      <c r="E213" t="inlineStr">
        <is>
          <t>Approved/Planned</t>
        </is>
      </c>
      <c r="F213" t="inlineStr">
        <is>
          <t>Approved entitlement; buildings already on site</t>
        </is>
      </c>
      <c r="G213" t="inlineStr">
        <is>
          <t>mixed (county application status stated; built/not-built inferred)</t>
        </is>
      </c>
      <c r="H213" t="inlineStr">
        <is>
          <t>SPAM-2013-0082</t>
        </is>
      </c>
      <c r="I213" t="inlineStr">
        <is>
          <t>SPAM-2013-0082 (Engineering Plan, Approved)</t>
        </is>
      </c>
      <c r="J213" t="inlineStr">
        <is>
          <t>2013-07-08</t>
        </is>
      </c>
      <c r="K213" t="inlineStr">
        <is>
          <t>305, 306, 307</t>
        </is>
      </c>
      <c r="L213" t="inlineStr">
        <is>
          <t>Yes</t>
        </is>
      </c>
      <c r="M213" t="inlineStr">
        <is>
          <t>IAD 50 DATA CENTER PODS 1-6 : REQUEST APPROVAL OF SITE PLAN AMMENDMENT (SPAM) TO PREVIOUSLY APPROVED STMP-2013-0001 FOR RECONFIGURATION OF SITE INFRASTRUCTURE. EB | Approved entitlement; data center building(s) already mapped on/adjacent to site</t>
        </is>
      </c>
      <c r="N213" t="inlineStr">
        <is>
          <t>County-stated status of application(s): Approved. Built/not-built is INFERRED: 3 data center building point(s) lie on/adjacent to the application area.</t>
        </is>
      </c>
      <c r="O213" t="inlineStr">
        <is>
          <t>https://logis.loudoun.gov/gis/rest/services/Projects/LOLA_DATA/MapServer/0/query?where=PlanNumber%3D%27SPAM-2013-0082%27&amp;outFields=PlanNumber,PlanType,PlanStatus,PlanName,PlanApplicationDate,PlanDescription&amp;f=html</t>
        </is>
      </c>
      <c r="P213" t="n">
        <v>39.029327</v>
      </c>
      <c r="Q213" t="n">
        <v>-77.45997699999999</v>
      </c>
    </row>
    <row r="214">
      <c r="A214" t="n">
        <v>595</v>
      </c>
      <c r="B214" t="inlineStr">
        <is>
          <t>Loudoun</t>
        </is>
      </c>
      <c r="C214" t="inlineStr">
        <is>
          <t>PROLOGIS PARK GATEWAY, PH IV, BLDG 10/11</t>
        </is>
      </c>
      <c r="D214" t="inlineStr">
        <is>
          <t>Site/engineering plan</t>
        </is>
      </c>
      <c r="E214" t="inlineStr">
        <is>
          <t>Approved/Planned</t>
        </is>
      </c>
      <c r="F214" t="inlineStr">
        <is>
          <t>Approved entitlement; buildings already on site</t>
        </is>
      </c>
      <c r="G214" t="inlineStr">
        <is>
          <t>mixed (county application status stated; built/not-built inferred)</t>
        </is>
      </c>
      <c r="H214" t="inlineStr">
        <is>
          <t>SPAM-2014-0029</t>
        </is>
      </c>
      <c r="I214" t="inlineStr">
        <is>
          <t>SPAM-2014-0029 (Engineering Plan, Approved); SPAM-2014-0085 (Engineering Plan, Approved)</t>
        </is>
      </c>
      <c r="J214" t="inlineStr">
        <is>
          <t>2014-03-18</t>
        </is>
      </c>
      <c r="K214" t="inlineStr">
        <is>
          <t>308, 309</t>
        </is>
      </c>
      <c r="L214" t="inlineStr">
        <is>
          <t>Yes</t>
        </is>
      </c>
      <c r="M214" t="inlineStr">
        <is>
          <t>PROLOGIS PARK GATEWAY PH IV BLDG 10 &amp; 11 : REQUEST APPROVAL OF A SITE PLAN AMENDMENT (SPAM) TO PROVIDE EMERGENCY POWER TO BUILDING 10, ADDITIONAL WATER SERVICE LINE AND SANITARY SEWERLATERAL. CONCRETE PADS AND DUCT BANK ARE PLACED IN THE REAR OF BUILDING 10 AND THE TENANT ONLY REQUIRED TWO LOADING S | Approved entitlement; data center building(s) already mapped on/adjacent to site</t>
        </is>
      </c>
      <c r="N214" t="inlineStr">
        <is>
          <t>County-stated status of application(s): Approved. Built/not-built is INFERRED: 2 data center building point(s) lie on/adjacent to the application area.</t>
        </is>
      </c>
      <c r="O214" t="inlineStr">
        <is>
          <t>https://logis.loudoun.gov/gis/rest/services/Projects/LOLA_DATA/MapServer/0/query?where=PlanNumber%3D%27SPAM-2014-0085%27&amp;outFields=PlanNumber,PlanType,PlanStatus,PlanName,PlanApplicationDate,PlanDescription&amp;f=html</t>
        </is>
      </c>
      <c r="P214" t="n">
        <v>38.98662</v>
      </c>
      <c r="Q214" t="n">
        <v>-77.442243</v>
      </c>
    </row>
    <row r="215">
      <c r="A215" t="n">
        <v>596</v>
      </c>
      <c r="B215" t="inlineStr">
        <is>
          <t>Loudoun</t>
        </is>
      </c>
      <c r="C215" t="inlineStr">
        <is>
          <t>ASHBURN CENTER PARCEL J</t>
        </is>
      </c>
      <c r="D215" t="inlineStr">
        <is>
          <t>Site/engineering plan</t>
        </is>
      </c>
      <c r="E215" t="inlineStr">
        <is>
          <t>Approved/Planned</t>
        </is>
      </c>
      <c r="F215" t="inlineStr">
        <is>
          <t>Approved, not yet built (inferred)</t>
        </is>
      </c>
      <c r="G215" t="inlineStr">
        <is>
          <t>mixed (county application status stated; built/not-built inferred)</t>
        </is>
      </c>
      <c r="H215" t="inlineStr">
        <is>
          <t>SPAM-2014-0075</t>
        </is>
      </c>
      <c r="I215" t="inlineStr">
        <is>
          <t>SPAM-2014-0075 (Engineering Plan, Approved)</t>
        </is>
      </c>
      <c r="J215" t="inlineStr">
        <is>
          <t>2014-08-20</t>
        </is>
      </c>
      <c r="K215" t="inlineStr"/>
      <c r="L215" t="inlineStr">
        <is>
          <t>Yes</t>
        </is>
      </c>
      <c r="M215" t="inlineStr">
        <is>
          <t>ASHBURN CENTER PARCEL J : REQUEST APPROVAL OF A SITE PLAN AMENDMENT (SPAM) TO PREVIOUSLY APPROVED SPAM-2012-0009 TO A PROPOSED PDIP TO ACCOMODATE THE BUILDING INFILL OF BUILDINGS B AND C AS ONE DATA CENTER. MCC</t>
        </is>
      </c>
      <c r="N215" t="inlineStr">
        <is>
          <t>County-stated status of application(s): Approved. Built/not-built is INFERRED: no mapped data center building lies within the application area.</t>
        </is>
      </c>
      <c r="O215" t="inlineStr">
        <is>
          <t>https://logis.loudoun.gov/gis/rest/services/Projects/LOLA_DATA/MapServer/0/query?where=PlanNumber%3D%27SPAM-2014-0075%27&amp;outFields=PlanNumber,PlanType,PlanStatus,PlanName,PlanApplicationDate,PlanDescription&amp;f=html</t>
        </is>
      </c>
      <c r="P215" t="n">
        <v>39.117252</v>
      </c>
      <c r="Q215" t="n">
        <v>-77.578317</v>
      </c>
    </row>
    <row r="216">
      <c r="A216" t="n">
        <v>597</v>
      </c>
      <c r="B216" t="inlineStr">
        <is>
          <t>Loudoun</t>
        </is>
      </c>
      <c r="C216" t="inlineStr">
        <is>
          <t>CYRUSONE LOUDOUN TECH CENTER - PH 4</t>
        </is>
      </c>
      <c r="D216" t="inlineStr">
        <is>
          <t>Site/engineering plan</t>
        </is>
      </c>
      <c r="E216" t="inlineStr">
        <is>
          <t>Approved/Planned</t>
        </is>
      </c>
      <c r="F216" t="inlineStr">
        <is>
          <t>Approved, not yet built (inferred)</t>
        </is>
      </c>
      <c r="G216" t="inlineStr">
        <is>
          <t>mixed (county application status stated; built/not-built inferred)</t>
        </is>
      </c>
      <c r="H216" t="inlineStr">
        <is>
          <t>SPAM-2016-0057</t>
        </is>
      </c>
      <c r="I216" t="inlineStr">
        <is>
          <t>SPAM-2016-0057 (Engineering Plan, Approved)</t>
        </is>
      </c>
      <c r="J216" t="inlineStr">
        <is>
          <t>2016-05-23</t>
        </is>
      </c>
      <c r="K216" t="inlineStr"/>
      <c r="L216" t="inlineStr">
        <is>
          <t>Yes</t>
        </is>
      </c>
      <c r="M216" t="inlineStr">
        <is>
          <t>CYRUSONE LOUDOUN TECH CENTER - PH 4 : REQUEST APPROVAL OF A SITE PLAN AMENDMENT (SPAM) TO PREVIOUSLY APPROVED SPAM-2015-0061, TO ADD ADDITIONAL DATA CENTER SPACE WITH GERERATORS, PARKING LOT AND SUPPORTING INFRASTRUCTURE TO A PLANNED DEVELOPMENT GENERAL INDUSTRIAL (PDGI) ZONING DISTRICT. SMK</t>
        </is>
      </c>
      <c r="N216" t="inlineStr">
        <is>
          <t>County-stated status of application(s): Approved. Built/not-built is INFERRED: no mapped data center building lies within the application area.</t>
        </is>
      </c>
      <c r="O216" t="inlineStr">
        <is>
          <t>https://logis.loudoun.gov/gis/rest/services/Projects/LOLA_DATA/MapServer/0/query?where=PlanNumber%3D%27SPAM-2016-0057%27&amp;outFields=PlanNumber,PlanType,PlanStatus,PlanName,PlanApplicationDate,PlanDescription&amp;f=html</t>
        </is>
      </c>
      <c r="P216" t="n">
        <v>39.117252</v>
      </c>
      <c r="Q216" t="n">
        <v>-77.578317</v>
      </c>
    </row>
    <row r="217">
      <c r="A217" t="n">
        <v>598</v>
      </c>
      <c r="B217" t="inlineStr">
        <is>
          <t>Loudoun</t>
        </is>
      </c>
      <c r="C217" t="inlineStr">
        <is>
          <t>DIGITAL LOUDOUN III</t>
        </is>
      </c>
      <c r="D217" t="inlineStr">
        <is>
          <t>Site/engineering plan</t>
        </is>
      </c>
      <c r="E217" t="inlineStr">
        <is>
          <t>Approved/Planned</t>
        </is>
      </c>
      <c r="F217" t="inlineStr">
        <is>
          <t>Approved entitlement; buildings already on site</t>
        </is>
      </c>
      <c r="G217" t="inlineStr">
        <is>
          <t>mixed (county application status stated; built/not-built inferred)</t>
        </is>
      </c>
      <c r="H217" t="inlineStr">
        <is>
          <t>STMP-2015-0009</t>
        </is>
      </c>
      <c r="I217" t="inlineStr">
        <is>
          <t>STMP-2015-0009 (Engineering Plan, Approved); SPAM-2016-0109 (Engineering Plan, Approved); SPAM-2017-0041 (Engineering Plan, Approved); SPAM-2018-0078 (Engineering Plan, Approved); SPAM-2019-0045 (Engineering Plan, Approved); SPAM-2020-0038 (Engineering Plan, Approved); SPAM-2020-0077 (Engineering Plan, Approved)</t>
        </is>
      </c>
      <c r="J217" t="inlineStr">
        <is>
          <t>2015-11-20</t>
        </is>
      </c>
      <c r="K217" t="inlineStr">
        <is>
          <t>329, 330, 331, 401</t>
        </is>
      </c>
      <c r="L217" t="inlineStr">
        <is>
          <t>Yes</t>
        </is>
      </c>
      <c r="M217" t="inlineStr">
        <is>
          <t>DIGITAL LOUDOUN III : REQUEST APPROVAL OF SITE PLAN AMENDMENT (SPAM) FOR THE CONSTRUCTION OFFIVE DATA CENTER BUILDINGS, IN THE PLANNED DEVELOPMENT-OFFICE PARK (PDOP) ZONING DISTRICT. AM | Approved entitlement; data center building(s) already mapped on/adjacent to site</t>
        </is>
      </c>
      <c r="N217" t="inlineStr">
        <is>
          <t>County-stated status of application(s): Approved. Built/not-built is INFERRED: 4 data center building point(s) lie on/adjacent to the application area.</t>
        </is>
      </c>
      <c r="O217" t="inlineStr">
        <is>
          <t>https://logis.loudoun.gov/gis/rest/services/Projects/LOLA_DATA/MapServer/0/query?where=PlanNumber%3D%27SPAM-2020-0077%27&amp;outFields=PlanNumber,PlanType,PlanStatus,PlanName,PlanApplicationDate,PlanDescription&amp;f=html</t>
        </is>
      </c>
      <c r="P217" t="n">
        <v>39.00718</v>
      </c>
      <c r="Q217" t="n">
        <v>-77.462356</v>
      </c>
    </row>
    <row r="218">
      <c r="A218" t="n">
        <v>599</v>
      </c>
      <c r="B218" t="inlineStr">
        <is>
          <t>Loudoun</t>
        </is>
      </c>
      <c r="C218" t="inlineStr">
        <is>
          <t>POD 1 COMMERCIAL ALTERATION</t>
        </is>
      </c>
      <c r="D218" t="inlineStr">
        <is>
          <t>Site/engineering plan</t>
        </is>
      </c>
      <c r="E218" t="inlineStr">
        <is>
          <t>Approved/Planned</t>
        </is>
      </c>
      <c r="F218" t="inlineStr">
        <is>
          <t>Approved entitlement; buildings already on site</t>
        </is>
      </c>
      <c r="G218" t="inlineStr">
        <is>
          <t>mixed (county application status stated; built/not-built inferred)</t>
        </is>
      </c>
      <c r="H218" t="inlineStr">
        <is>
          <t>SPAM-2017-0011</t>
        </is>
      </c>
      <c r="I218" t="inlineStr">
        <is>
          <t>SPAM-2017-0011 (Engineering Plan, Approved)</t>
        </is>
      </c>
      <c r="J218" t="inlineStr">
        <is>
          <t>2017-01-30</t>
        </is>
      </c>
      <c r="K218" t="inlineStr">
        <is>
          <t>280</t>
        </is>
      </c>
      <c r="L218" t="inlineStr">
        <is>
          <t>Yes</t>
        </is>
      </c>
      <c r="M218" t="inlineStr">
        <is>
          <t>POD 1 COMMERCIAL ALTERATION : REQUEST APPROVAL OF A SITE PLAN AMENDMENT (SPAM) TO PREVIOUSLY APPROVED SPAM-2012-0104 FOR THE ALTERATION OF THE EXISTING WAREHOUSE SPACE OF APPROXIMATELY ELEVEN THOUSAND TWO HUNDRED (11,200) SQUARE FEET INTO DATA CENTER SPACES, IN THE PLANNED DEVELOPMENT-GENERAL INDUST | Approved entitlement; data center building(s) already mapped on/adjacent to site</t>
        </is>
      </c>
      <c r="N218" t="inlineStr">
        <is>
          <t>County-stated status of application(s): Approved. Built/not-built is INFERRED: 1 data center building point(s) lie on/adjacent to the application area.</t>
        </is>
      </c>
      <c r="O218" t="inlineStr">
        <is>
          <t>https://logis.loudoun.gov/gis/rest/services/Projects/LOLA_DATA/MapServer/0/query?where=PlanNumber%3D%27SPAM-2017-0011%27&amp;outFields=PlanNumber,PlanType,PlanStatus,PlanName,PlanApplicationDate,PlanDescription&amp;f=html</t>
        </is>
      </c>
      <c r="P218" t="n">
        <v>38.988689</v>
      </c>
      <c r="Q218" t="n">
        <v>-77.447638</v>
      </c>
    </row>
    <row r="219">
      <c r="A219" t="n">
        <v>600</v>
      </c>
      <c r="B219" t="inlineStr">
        <is>
          <t>Loudoun</t>
        </is>
      </c>
      <c r="C219" t="inlineStr">
        <is>
          <t>PATRIOT POINT DC-15</t>
        </is>
      </c>
      <c r="D219" t="inlineStr">
        <is>
          <t>Site/engineering plan</t>
        </is>
      </c>
      <c r="E219" t="inlineStr">
        <is>
          <t>Approved/Planned</t>
        </is>
      </c>
      <c r="F219" t="inlineStr">
        <is>
          <t>Approved entitlement; buildings already on site</t>
        </is>
      </c>
      <c r="G219" t="inlineStr">
        <is>
          <t>mixed (county application status stated; built/not-built inferred)</t>
        </is>
      </c>
      <c r="H219" t="inlineStr">
        <is>
          <t>SPAM-2017-0012</t>
        </is>
      </c>
      <c r="I219" t="inlineStr">
        <is>
          <t>SPAM-2017-0012 (Engineering Plan, Approved)</t>
        </is>
      </c>
      <c r="J219" t="inlineStr">
        <is>
          <t>2017-01-30</t>
        </is>
      </c>
      <c r="K219" t="inlineStr">
        <is>
          <t>323, 324, 328</t>
        </is>
      </c>
      <c r="L219" t="inlineStr">
        <is>
          <t>Yes</t>
        </is>
      </c>
      <c r="M219" t="inlineStr">
        <is>
          <t>PATRIOT POINT DC-15 : REQUEST APPROVAL OF A SITE PLAN AMENDMENT (SPAM) TO THE PREVIOUSLY APPROVED STMP-2015-0010 TO REQUEST APPROVAL OF A FAST TRACK SITE PLAN REVISION FOR DATA CENTER EQUIPMENT PAD REVISION, IN THE PLANNED DEVELOPMENT- INDUSTRIAL PARK (PDIP) ZONING DISTRICT. HV | Approved entitlement; data center building(s) already mapped on/adjacent to site</t>
        </is>
      </c>
      <c r="N219" t="inlineStr">
        <is>
          <t>County-stated status of application(s): Approved. Built/not-built is INFERRED: 3 data center building point(s) lie on/adjacent to the application area.</t>
        </is>
      </c>
      <c r="O219" t="inlineStr">
        <is>
          <t>https://logis.loudoun.gov/gis/rest/services/Projects/LOLA_DATA/MapServer/0/query?where=PlanNumber%3D%27SPAM-2017-0012%27&amp;outFields=PlanNumber,PlanType,PlanStatus,PlanName,PlanApplicationDate,PlanDescription&amp;f=html</t>
        </is>
      </c>
      <c r="P219" t="n">
        <v>39.026154</v>
      </c>
      <c r="Q219" t="n">
        <v>-77.451162</v>
      </c>
    </row>
    <row r="220">
      <c r="A220" t="n">
        <v>601</v>
      </c>
      <c r="B220" t="inlineStr">
        <is>
          <t>Loudoun</t>
        </is>
      </c>
      <c r="C220" t="inlineStr">
        <is>
          <t>45360 SEVERN WAY DATA CENTER</t>
        </is>
      </c>
      <c r="D220" t="inlineStr">
        <is>
          <t>Site/engineering plan</t>
        </is>
      </c>
      <c r="E220" t="inlineStr">
        <is>
          <t>Approved/Planned</t>
        </is>
      </c>
      <c r="F220" t="inlineStr">
        <is>
          <t>Approved entitlement; buildings already on site</t>
        </is>
      </c>
      <c r="G220" t="inlineStr">
        <is>
          <t>mixed (county application status stated; built/not-built inferred)</t>
        </is>
      </c>
      <c r="H220" t="inlineStr">
        <is>
          <t>SPAM-2017-0038</t>
        </is>
      </c>
      <c r="I220" t="inlineStr">
        <is>
          <t>SPAM-2017-0038 (Engineering Plan, Approved); SPAM-2023-0004 (Engineering Plan, Approved)</t>
        </is>
      </c>
      <c r="J220" t="inlineStr">
        <is>
          <t>2017-05-23</t>
        </is>
      </c>
      <c r="K220" t="inlineStr">
        <is>
          <t>264</t>
        </is>
      </c>
      <c r="L220" t="inlineStr">
        <is>
          <t>Yes</t>
        </is>
      </c>
      <c r="M220" t="inlineStr">
        <is>
          <t>45360 SEVERN WAY DATA CENTER : REQUEST APPROVAL OF A SITE PLAN AMENDMENT (SPAM) TO THE PREVIOUSLY APPROVED SPAM-2017-0038 FOR A WATER TANK EXPANSION AND PARKING RECONFIGURATION, IN THE PLANNED DEVELOPMENT - INDUSTRIAL PARK (PDIP) ZONING DISTRICT. EK | Approved entitlement; data center building(s) already mapped on/adjacent to site</t>
        </is>
      </c>
      <c r="N220" t="inlineStr">
        <is>
          <t>County-stated status of application(s): Approved. Built/not-built is INFERRED: 1 data center building point(s) lie on/adjacent to the application area.</t>
        </is>
      </c>
      <c r="O220" t="inlineStr">
        <is>
          <t>https://logis.loudoun.gov/gis/rest/services/Projects/LOLA_DATA/MapServer/0/query?where=PlanNumber%3D%27SPAM-2023-0004%27&amp;outFields=PlanNumber,PlanType,PlanStatus,PlanName,PlanApplicationDate,PlanDescription&amp;f=html</t>
        </is>
      </c>
      <c r="P220" t="n">
        <v>39.021578</v>
      </c>
      <c r="Q220" t="n">
        <v>-77.43288200000001</v>
      </c>
    </row>
    <row r="221">
      <c r="A221" t="n">
        <v>602</v>
      </c>
      <c r="B221" t="inlineStr">
        <is>
          <t>Loudoun</t>
        </is>
      </c>
      <c r="C221" t="inlineStr">
        <is>
          <t>INTERGATE ASHBURN DATA CENTER PH 2</t>
        </is>
      </c>
      <c r="D221" t="inlineStr">
        <is>
          <t>Site/engineering plan</t>
        </is>
      </c>
      <c r="E221" t="inlineStr">
        <is>
          <t>Approved/Planned</t>
        </is>
      </c>
      <c r="F221" t="inlineStr">
        <is>
          <t>Approved, not yet built (inferred)</t>
        </is>
      </c>
      <c r="G221" t="inlineStr">
        <is>
          <t>mixed (county application status stated; built/not-built inferred)</t>
        </is>
      </c>
      <c r="H221" t="inlineStr">
        <is>
          <t>SPAM-2018-0007</t>
        </is>
      </c>
      <c r="I221" t="inlineStr">
        <is>
          <t>SPAM-2018-0007 (Engineering Plan, Approved)</t>
        </is>
      </c>
      <c r="J221" t="inlineStr">
        <is>
          <t>2018-01-16</t>
        </is>
      </c>
      <c r="K221" t="inlineStr"/>
      <c r="L221" t="inlineStr">
        <is>
          <t>Yes</t>
        </is>
      </c>
      <c r="M221" t="inlineStr">
        <is>
          <t>INTERGATE ASHBURN DATA CENTER PH 2 : REQUEST APPROVAL OF A SITE PLAN AMENDMENT (SPAM) TO REVISE PHASE 2 TO REFLECT A NEW TWO STORY DATA CENTER BUILDING, REVISED MECHANICAL YARDS, LOADING DOCK, PARKING, LANDSCAPING, AND UTILITY SERVICES, IN THE PLANNED DEVELOPMENT- INDUSTRIAL PARK (PDIP) ZONING DISTR</t>
        </is>
      </c>
      <c r="N221" t="inlineStr">
        <is>
          <t>County-stated status of application(s): Approved. Built/not-built is INFERRED: no mapped data center building lies within the application area.</t>
        </is>
      </c>
      <c r="O221" t="inlineStr">
        <is>
          <t>https://logis.loudoun.gov/gis/rest/services/Projects/LOLA_DATA/MapServer/0/query?where=PlanNumber%3D%27SPAM-2018-0007%27&amp;outFields=PlanNumber,PlanType,PlanStatus,PlanName,PlanApplicationDate,PlanDescription&amp;f=html</t>
        </is>
      </c>
      <c r="P221" t="n">
        <v>39.117252</v>
      </c>
      <c r="Q221" t="n">
        <v>-77.578317</v>
      </c>
    </row>
    <row r="222">
      <c r="A222" t="n">
        <v>603</v>
      </c>
      <c r="B222" t="inlineStr">
        <is>
          <t>Loudoun</t>
        </is>
      </c>
      <c r="C222" t="inlineStr">
        <is>
          <t>NORTHPOINTE</t>
        </is>
      </c>
      <c r="D222" t="inlineStr">
        <is>
          <t>Site/engineering plan</t>
        </is>
      </c>
      <c r="E222" t="inlineStr">
        <is>
          <t>Pending</t>
        </is>
      </c>
      <c r="F222" t="inlineStr">
        <is>
          <t>Pending application</t>
        </is>
      </c>
      <c r="G222" t="inlineStr">
        <is>
          <t>stated</t>
        </is>
      </c>
      <c r="H222" t="inlineStr">
        <is>
          <t>SPAM-2018-0039</t>
        </is>
      </c>
      <c r="I222" t="inlineStr">
        <is>
          <t>SPAM-2018-0039 (Engineering Plan, In Review)</t>
        </is>
      </c>
      <c r="J222" t="inlineStr">
        <is>
          <t>2018-04-09</t>
        </is>
      </c>
      <c r="K222" t="inlineStr">
        <is>
          <t>282</t>
        </is>
      </c>
      <c r="L222" t="inlineStr">
        <is>
          <t>Yes</t>
        </is>
      </c>
      <c r="M222" t="inlineStr">
        <is>
          <t>NORTHPOINTE : REQUEST APPROVAL OF A SITE PLAN AMENDMENT (SPAM) TO THE PREVIOUSLY APPROVED STPL-1990-0017 TO DEMOLISH A PORTION OF THE EXISTING BUILDINGAND CONSTRUCT A NEW DATA CENTER, IN THE PLANNED DEVELOPMENT- GENERAL INDUSTRIAL (PDGI) ZONING DISTRICT. HV</t>
        </is>
      </c>
      <c r="N222" t="inlineStr">
        <is>
          <t>County-stated status of application(s): In Review.</t>
        </is>
      </c>
      <c r="O222" t="inlineStr">
        <is>
          <t>https://logis.loudoun.gov/gis/rest/services/Projects/LOLA_DATA/MapServer/0/query?where=PlanNumber%3D%27SPAM-2018-0039%27&amp;outFields=PlanNumber,PlanType,PlanStatus,PlanName,PlanApplicationDate,PlanDescription&amp;f=html</t>
        </is>
      </c>
      <c r="P222" t="n">
        <v>38.980672</v>
      </c>
      <c r="Q222" t="n">
        <v>-77.44408900000001</v>
      </c>
    </row>
    <row r="223">
      <c r="A223" t="n">
        <v>604</v>
      </c>
      <c r="B223" t="inlineStr">
        <is>
          <t>Loudoun</t>
        </is>
      </c>
      <c r="C223" t="inlineStr">
        <is>
          <t>RAGINGWIRE VA3 GREENFIELDS</t>
        </is>
      </c>
      <c r="D223" t="inlineStr">
        <is>
          <t>Site/engineering plan</t>
        </is>
      </c>
      <c r="E223" t="inlineStr">
        <is>
          <t>Approved/Planned</t>
        </is>
      </c>
      <c r="F223" t="inlineStr">
        <is>
          <t>Approved, not yet built (inferred)</t>
        </is>
      </c>
      <c r="G223" t="inlineStr">
        <is>
          <t>mixed (county application status stated; built/not-built inferred)</t>
        </is>
      </c>
      <c r="H223" t="inlineStr">
        <is>
          <t>SPAM-2018-0058</t>
        </is>
      </c>
      <c r="I223" t="inlineStr">
        <is>
          <t>SPAM-2018-0058 (Engineering Plan, Approved)</t>
        </is>
      </c>
      <c r="J223" t="inlineStr">
        <is>
          <t>2018-06-13</t>
        </is>
      </c>
      <c r="K223" t="inlineStr"/>
      <c r="L223" t="inlineStr">
        <is>
          <t>Yes</t>
        </is>
      </c>
      <c r="M223" t="inlineStr">
        <is>
          <t>RAGINGWIRE VA3 GREENFIELDS : REQUEST APPROVAL OF A SITE PLAN AMENDMENT (SPAM) TO PREVIOUSLY APPROVED STMP-2014-0006 FOR A TWO HUNDRED EIGHTYY-THREE THOUSAND ONE HUNDRED SIXTY-ONE (283,161) SQUARE-FOOT DATA CENTER/OFFICE BUILDING, IN THE PLANNED DEVELOPMENT-INDUSTRIAL PARK (PDIP) ZONING DISTRICT. KI</t>
        </is>
      </c>
      <c r="N223" t="inlineStr">
        <is>
          <t>County-stated status of application(s): Approved. Built/not-built is INFERRED: no mapped data center building lies within the application area.</t>
        </is>
      </c>
      <c r="O223" t="inlineStr">
        <is>
          <t>https://logis.loudoun.gov/gis/rest/services/Projects/LOLA_DATA/MapServer/0/query?where=PlanNumber%3D%27SPAM-2018-0058%27&amp;outFields=PlanNumber,PlanType,PlanStatus,PlanName,PlanApplicationDate,PlanDescription&amp;f=html</t>
        </is>
      </c>
      <c r="P223" t="n">
        <v>39.117252</v>
      </c>
      <c r="Q223" t="n">
        <v>-77.578317</v>
      </c>
    </row>
    <row r="224">
      <c r="A224" t="n">
        <v>605</v>
      </c>
      <c r="B224" t="inlineStr">
        <is>
          <t>Loudoun</t>
        </is>
      </c>
      <c r="C224" t="inlineStr">
        <is>
          <t>DULLES NORTH INDUSTRIAL PARK</t>
        </is>
      </c>
      <c r="D224" t="inlineStr">
        <is>
          <t>Site/engineering plan</t>
        </is>
      </c>
      <c r="E224" t="inlineStr">
        <is>
          <t>Approved/Planned</t>
        </is>
      </c>
      <c r="F224" t="inlineStr">
        <is>
          <t>Approved entitlement; buildings already on site</t>
        </is>
      </c>
      <c r="G224" t="inlineStr">
        <is>
          <t>mixed (county application status stated; built/not-built inferred)</t>
        </is>
      </c>
      <c r="H224" t="inlineStr">
        <is>
          <t>SPAM-2018-0071</t>
        </is>
      </c>
      <c r="I224" t="inlineStr">
        <is>
          <t>SPAM-2018-0071 (Engineering Plan, Approved)</t>
        </is>
      </c>
      <c r="J224" t="inlineStr">
        <is>
          <t>2018-08-03</t>
        </is>
      </c>
      <c r="K224" t="inlineStr">
        <is>
          <t>346</t>
        </is>
      </c>
      <c r="L224" t="inlineStr">
        <is>
          <t>Yes</t>
        </is>
      </c>
      <c r="M224" t="inlineStr">
        <is>
          <t>DULLES NORTH INDUSTRIAL PARK : REQUEST APPROVAL OF A SITE PLAN AMENDMENT (SPAM) TO AMEND PREVIOUSLY APPROVED STPL-2016-0054, AND PROPOSES A CHANGE OF USAGE OF THE PROPOSED BUILDING FROM WAREHOUSE TO DATA CENTER WITH AN ADDITIONAL GENERATOR YARD ONSITE IN A PLANNED DEVELOPMENT INDUSTRIAL PARK (PDIP)  | Approved entitlement; data center building(s) already mapped on/adjacent to site</t>
        </is>
      </c>
      <c r="N224" t="inlineStr">
        <is>
          <t>County-stated status of application(s): Approved. Built/not-built is INFERRED: 1 data center building point(s) lie on/adjacent to the application area.</t>
        </is>
      </c>
      <c r="O224" t="inlineStr">
        <is>
          <t>https://logis.loudoun.gov/gis/rest/services/Projects/LOLA_DATA/MapServer/0/query?where=PlanNumber%3D%27SPAM-2018-0071%27&amp;outFields=PlanNumber,PlanType,PlanStatus,PlanName,PlanApplicationDate,PlanDescription&amp;f=html</t>
        </is>
      </c>
      <c r="P224" t="n">
        <v>39.021462</v>
      </c>
      <c r="Q224" t="n">
        <v>-77.413222</v>
      </c>
    </row>
    <row r="225">
      <c r="A225" t="n">
        <v>606</v>
      </c>
      <c r="B225" t="inlineStr">
        <is>
          <t>Loudoun</t>
        </is>
      </c>
      <c r="C225" t="inlineStr">
        <is>
          <t>STERLING 8 DATA CENTER</t>
        </is>
      </c>
      <c r="D225" t="inlineStr">
        <is>
          <t>Site/engineering plan</t>
        </is>
      </c>
      <c r="E225" t="inlineStr">
        <is>
          <t>Approved/Planned</t>
        </is>
      </c>
      <c r="F225" t="inlineStr">
        <is>
          <t>Approved entitlement; buildings already on site</t>
        </is>
      </c>
      <c r="G225" t="inlineStr">
        <is>
          <t>mixed (county application status stated; built/not-built inferred)</t>
        </is>
      </c>
      <c r="H225" t="inlineStr">
        <is>
          <t>SPAM-2018-0108</t>
        </is>
      </c>
      <c r="I225" t="inlineStr">
        <is>
          <t>SPAM-2018-0108 (Engineering Plan, Approved); SPAM-2019-0075 (Engineering Plan, Approved)</t>
        </is>
      </c>
      <c r="J225" t="inlineStr">
        <is>
          <t>2018-12-07</t>
        </is>
      </c>
      <c r="K225" t="inlineStr">
        <is>
          <t>346</t>
        </is>
      </c>
      <c r="L225" t="inlineStr">
        <is>
          <t>Yes</t>
        </is>
      </c>
      <c r="M225" t="inlineStr">
        <is>
          <t>STERLING 8 DATA CENTER : REQUEST APPROVAL OF A SITE PLAN AMENDMENT (SPAM) FOR CHANGES TO THE STORM SEWER DESIGN BASED ON CONSTRUCTED DUCT BANK AND REQUESTS FROM LOUDOUN COUNTY, IN THE PLANNED DEVELOPMENT- INDUSTRIAL PARK (PDIP) ZONING DISTRICT. HV | Approved entitlement; data center building(s) already mapped on/adjacent to site</t>
        </is>
      </c>
      <c r="N225" t="inlineStr">
        <is>
          <t>County-stated status of application(s): Approved. Built/not-built is INFERRED: 1 data center building point(s) lie on/adjacent to the application area.</t>
        </is>
      </c>
      <c r="O225" t="inlineStr">
        <is>
          <t>https://logis.loudoun.gov/gis/rest/services/Projects/LOLA_DATA/MapServer/0/query?where=PlanNumber%3D%27SPAM-2019-0075%27&amp;outFields=PlanNumber,PlanType,PlanStatus,PlanName,PlanApplicationDate,PlanDescription&amp;f=html</t>
        </is>
      </c>
      <c r="P225" t="n">
        <v>39.021462</v>
      </c>
      <c r="Q225" t="n">
        <v>-77.413222</v>
      </c>
    </row>
    <row r="226">
      <c r="A226" t="n">
        <v>607</v>
      </c>
      <c r="B226" t="inlineStr">
        <is>
          <t>Loudoun</t>
        </is>
      </c>
      <c r="C226" t="inlineStr">
        <is>
          <t>LOUDOUN CENTER LOT 1 ASH 2 DATA CENTER</t>
        </is>
      </c>
      <c r="D226" t="inlineStr">
        <is>
          <t>Site/engineering plan</t>
        </is>
      </c>
      <c r="E226" t="inlineStr">
        <is>
          <t>Approved/Planned</t>
        </is>
      </c>
      <c r="F226" t="inlineStr">
        <is>
          <t>Approved, not yet built (inferred)</t>
        </is>
      </c>
      <c r="G226" t="inlineStr">
        <is>
          <t>mixed (county application status stated; built/not-built inferred)</t>
        </is>
      </c>
      <c r="H226" t="inlineStr">
        <is>
          <t>SPAM-2019-0078</t>
        </is>
      </c>
      <c r="I226" t="inlineStr">
        <is>
          <t>SPAM-2019-0078 (Engineering Plan, Approved)</t>
        </is>
      </c>
      <c r="J226" t="inlineStr">
        <is>
          <t>2019-10-02</t>
        </is>
      </c>
      <c r="K226" t="inlineStr"/>
      <c r="L226" t="inlineStr">
        <is>
          <t>Yes</t>
        </is>
      </c>
      <c r="M226" t="inlineStr">
        <is>
          <t>LOUDOUN CENTER LOT 1 ASH 2 DATA CENTER : REQUEST APPROVAL OF A SITE PLAN AMENDMENT (SPAM) FOR THE CONSTRUCTION OF A TWO-STORY DATA CENTER BUILDING AND ASSOCIATED INFRASTRUCTURE, IN THE PLANNED DEVELOPMENT- OFFICE PARK (PDOP) ZONING DISTRICT. HV</t>
        </is>
      </c>
      <c r="N226" t="inlineStr">
        <is>
          <t>County-stated status of application(s): Approved. Built/not-built is INFERRED: no mapped data center building lies within the application area.</t>
        </is>
      </c>
      <c r="O226" t="inlineStr">
        <is>
          <t>https://logis.loudoun.gov/gis/rest/services/Projects/LOLA_DATA/MapServer/0/query?where=PlanNumber%3D%27SPAM-2019-0078%27&amp;outFields=PlanNumber,PlanType,PlanStatus,PlanName,PlanApplicationDate,PlanDescription&amp;f=html</t>
        </is>
      </c>
      <c r="P226" t="n">
        <v>39.117252</v>
      </c>
      <c r="Q226" t="n">
        <v>-77.578317</v>
      </c>
    </row>
    <row r="227">
      <c r="A227" t="n">
        <v>608</v>
      </c>
      <c r="B227" t="inlineStr">
        <is>
          <t>Loudoun</t>
        </is>
      </c>
      <c r="C227" t="inlineStr">
        <is>
          <t>QUAIL RIDGE</t>
        </is>
      </c>
      <c r="D227" t="inlineStr">
        <is>
          <t>Site/engineering plan</t>
        </is>
      </c>
      <c r="E227" t="inlineStr">
        <is>
          <t>Approved/Planned</t>
        </is>
      </c>
      <c r="F227" t="inlineStr">
        <is>
          <t>Approved entitlement; buildings already on site</t>
        </is>
      </c>
      <c r="G227" t="inlineStr">
        <is>
          <t>mixed (county application status stated; built/not-built inferred)</t>
        </is>
      </c>
      <c r="H227" t="inlineStr">
        <is>
          <t>SPAM-2020-0008</t>
        </is>
      </c>
      <c r="I227" t="inlineStr">
        <is>
          <t>SPAM-2020-0008 (Engineering Plan, Approved)</t>
        </is>
      </c>
      <c r="J227" t="inlineStr">
        <is>
          <t>2020-01-31</t>
        </is>
      </c>
      <c r="K227" t="inlineStr">
        <is>
          <t>376, 377, 378, 379</t>
        </is>
      </c>
      <c r="L227" t="inlineStr">
        <is>
          <t>Yes</t>
        </is>
      </c>
      <c r="M227" t="inlineStr">
        <is>
          <t>QUAIL RIDGE : REQUEST APPROVAL OF A SITE PLAN AMENDMENT (SPAM) FOR THE REVISION OF TWO OF FOUR DATA CENTERS, IN THE PLANNED DEVELOPMENT INDUSTRIAL PARK (PDIP) ZONING DISTRICT. AM | Approved entitlement; data center building(s) already mapped on/adjacent to site</t>
        </is>
      </c>
      <c r="N227" t="inlineStr">
        <is>
          <t>County-stated status of application(s): Approved. Built/not-built is INFERRED: 4 data center building point(s) lie on/adjacent to the application area.</t>
        </is>
      </c>
      <c r="O227" t="inlineStr">
        <is>
          <t>https://logis.loudoun.gov/gis/rest/services/Projects/LOLA_DATA/MapServer/0/query?where=PlanNumber%3D%27SPAM-2020-0008%27&amp;outFields=PlanNumber,PlanType,PlanStatus,PlanName,PlanApplicationDate,PlanDescription&amp;f=html</t>
        </is>
      </c>
      <c r="P227" t="n">
        <v>38.949169</v>
      </c>
      <c r="Q227" t="n">
        <v>-77.559353</v>
      </c>
    </row>
    <row r="228">
      <c r="A228" t="n">
        <v>609</v>
      </c>
      <c r="B228" t="inlineStr">
        <is>
          <t>Loudoun</t>
        </is>
      </c>
      <c r="C228" t="inlineStr">
        <is>
          <t>PROJECT MOTION</t>
        </is>
      </c>
      <c r="D228" t="inlineStr">
        <is>
          <t>Site/engineering plan</t>
        </is>
      </c>
      <c r="E228" t="inlineStr">
        <is>
          <t>Approved/Planned</t>
        </is>
      </c>
      <c r="F228" t="inlineStr">
        <is>
          <t>Approved entitlement; buildings already on site</t>
        </is>
      </c>
      <c r="G228" t="inlineStr">
        <is>
          <t>mixed (county application status stated; built/not-built inferred)</t>
        </is>
      </c>
      <c r="H228" t="inlineStr">
        <is>
          <t>SPAM-2020-0033</t>
        </is>
      </c>
      <c r="I228" t="inlineStr">
        <is>
          <t>SPAM-2020-0033 (Engineering Plan, Approved)</t>
        </is>
      </c>
      <c r="J228" t="inlineStr">
        <is>
          <t>2020-04-22</t>
        </is>
      </c>
      <c r="K228" t="inlineStr">
        <is>
          <t>356, 412, 469</t>
        </is>
      </c>
      <c r="L228" t="inlineStr">
        <is>
          <t>Yes</t>
        </is>
      </c>
      <c r="M228" t="inlineStr">
        <is>
          <t>PROJECT MOTION : REQUEST APPROVAL OF A SITE PLAN AMENDMENT (SPAM) TO SPAM-2018-0111 FORA DATA CENTER, IN THE PLANNED DEVELOPMENT-INDUSTRIAL PARK (PDIP) ZONING DISTRICT. AM | Approved entitlement; data center building(s) already mapped on/adjacent to site</t>
        </is>
      </c>
      <c r="N228" t="inlineStr">
        <is>
          <t>County-stated status of application(s): Approved. Built/not-built is INFERRED: 3 data center building point(s) lie on/adjacent to the application area.</t>
        </is>
      </c>
      <c r="O228" t="inlineStr">
        <is>
          <t>https://logis.loudoun.gov/gis/rest/services/Projects/LOLA_DATA/MapServer/0/query?where=PlanNumber%3D%27SPAM-2020-0033%27&amp;outFields=PlanNumber,PlanType,PlanStatus,PlanName,PlanApplicationDate,PlanDescription&amp;f=html</t>
        </is>
      </c>
      <c r="P228" t="n">
        <v>38.94277</v>
      </c>
      <c r="Q228" t="n">
        <v>-77.528132</v>
      </c>
    </row>
    <row r="229">
      <c r="A229" t="n">
        <v>610</v>
      </c>
      <c r="B229" t="inlineStr">
        <is>
          <t>Loudoun</t>
        </is>
      </c>
      <c r="C229" t="inlineStr">
        <is>
          <t>CYRUSONE STERLING 9 DATA CENTER PH 1B</t>
        </is>
      </c>
      <c r="D229" t="inlineStr">
        <is>
          <t>Site/engineering plan</t>
        </is>
      </c>
      <c r="E229" t="inlineStr">
        <is>
          <t>Approved/Planned</t>
        </is>
      </c>
      <c r="F229" t="inlineStr">
        <is>
          <t>Approved entitlement; buildings already on site</t>
        </is>
      </c>
      <c r="G229" t="inlineStr">
        <is>
          <t>mixed (county application status stated; built/not-built inferred)</t>
        </is>
      </c>
      <c r="H229" t="inlineStr">
        <is>
          <t>SPAM-2021-0051</t>
        </is>
      </c>
      <c r="I229" t="inlineStr">
        <is>
          <t>SPAM-2021-0051 (Engineering Plan, Approved)</t>
        </is>
      </c>
      <c r="J229" t="inlineStr">
        <is>
          <t>2021-08-19</t>
        </is>
      </c>
      <c r="K229" t="inlineStr">
        <is>
          <t>381, 426</t>
        </is>
      </c>
      <c r="L229" t="inlineStr">
        <is>
          <t>Yes</t>
        </is>
      </c>
      <c r="M229" t="inlineStr">
        <is>
          <t>CYRUSONE STERLING 9 DATA CENTER PH 1B : REQUEST APPROVAL OF A SITE PLAN AMENDMENT (SPAM) TO THE PREVIOUSLY APPROVED STMP-2019-0012 TO MAKE MODIFICATIONS TO THE BUILDING AND INFRASTRUCTURE IN THE PREVIOUSLY APPROVED PH 1B DEVELOPMENT, IN THE (PDGI) PLANNED DEVELOPMENT-GENERAL INDUSTRIAL ZONING DISTRI | Approved entitlement; data center building(s) already mapped on/adjacent to site</t>
        </is>
      </c>
      <c r="N229" t="inlineStr">
        <is>
          <t>County-stated status of application(s): Approved. Built/not-built is INFERRED: 2 data center building point(s) lie on/adjacent to the application area.</t>
        </is>
      </c>
      <c r="O229" t="inlineStr">
        <is>
          <t>https://logis.loudoun.gov/gis/rest/services/Projects/LOLA_DATA/MapServer/0/query?where=PlanNumber%3D%27SPAM-2021-0051%27&amp;outFields=PlanNumber,PlanType,PlanStatus,PlanName,PlanApplicationDate,PlanDescription&amp;f=html</t>
        </is>
      </c>
      <c r="P229" t="n">
        <v>38.958524</v>
      </c>
      <c r="Q229" t="n">
        <v>-77.505234</v>
      </c>
    </row>
    <row r="230">
      <c r="A230" t="n">
        <v>611</v>
      </c>
      <c r="B230" t="inlineStr">
        <is>
          <t>Loudoun</t>
        </is>
      </c>
      <c r="C230" t="inlineStr">
        <is>
          <t>BUILDINGS VA 13 AND 14</t>
        </is>
      </c>
      <c r="D230" t="inlineStr">
        <is>
          <t>Site/engineering plan</t>
        </is>
      </c>
      <c r="E230" t="inlineStr">
        <is>
          <t>Approved/Planned</t>
        </is>
      </c>
      <c r="F230" t="inlineStr">
        <is>
          <t>Approved entitlement; buildings already on site</t>
        </is>
      </c>
      <c r="G230" t="inlineStr">
        <is>
          <t>mixed (county application status stated; built/not-built inferred)</t>
        </is>
      </c>
      <c r="H230" t="inlineStr">
        <is>
          <t>SPAM-2021-0065</t>
        </is>
      </c>
      <c r="I230" t="inlineStr">
        <is>
          <t>SPAM-2021-0065 (Engineering Plan, Approved)</t>
        </is>
      </c>
      <c r="J230" t="inlineStr">
        <is>
          <t>2021-10-29</t>
        </is>
      </c>
      <c r="K230" t="inlineStr">
        <is>
          <t>357, 375</t>
        </is>
      </c>
      <c r="L230" t="inlineStr">
        <is>
          <t>Yes</t>
        </is>
      </c>
      <c r="M230" t="inlineStr">
        <is>
          <t>BUILDINGS VA 13 AND 14 : REQUEST APPROVAL OF A SITE PLAN AMENDMENT (SPAM) FOR THE CONSTRUCTION OF 735,714 SF OF DATA CENTER/OFFICE FLOOR AREA, IN THE PLANNED DEVELOPMENT OFFICE PARK (PDOP) ZONING DISTRICT. AM | Approved entitlement; data center building(s) already mapped on/adjacent to site</t>
        </is>
      </c>
      <c r="N230" t="inlineStr">
        <is>
          <t>County-stated status of application(s): Approved. Built/not-built is INFERRED: 2 data center building point(s) lie on/adjacent to the application area.</t>
        </is>
      </c>
      <c r="O230" t="inlineStr">
        <is>
          <t>https://logis.loudoun.gov/gis/rest/services/Projects/LOLA_DATA/MapServer/0/query?where=PlanNumber%3D%27SPAM-2021-0065%27&amp;outFields=PlanNumber,PlanType,PlanStatus,PlanName,PlanApplicationDate,PlanDescription&amp;f=html</t>
        </is>
      </c>
      <c r="P230" t="n">
        <v>39.0016</v>
      </c>
      <c r="Q230" t="n">
        <v>-77.43723199999999</v>
      </c>
    </row>
    <row r="231">
      <c r="A231" t="n">
        <v>612</v>
      </c>
      <c r="B231" t="inlineStr">
        <is>
          <t>Loudoun</t>
        </is>
      </c>
      <c r="C231" t="inlineStr">
        <is>
          <t>WATERSIDE SITE PLAN LB B</t>
        </is>
      </c>
      <c r="D231" t="inlineStr">
        <is>
          <t>Site/engineering plan</t>
        </is>
      </c>
      <c r="E231" t="inlineStr">
        <is>
          <t>Approved/Planned</t>
        </is>
      </c>
      <c r="F231" t="inlineStr">
        <is>
          <t>Approved entitlement; buildings already on site</t>
        </is>
      </c>
      <c r="G231" t="inlineStr">
        <is>
          <t>mixed (county application status stated; built/not-built inferred)</t>
        </is>
      </c>
      <c r="H231" t="inlineStr">
        <is>
          <t>SPAM-2021-0072</t>
        </is>
      </c>
      <c r="I231" t="inlineStr">
        <is>
          <t>SPAM-2021-0072 (Engineering Plan, Approved)</t>
        </is>
      </c>
      <c r="J231" t="inlineStr">
        <is>
          <t>2021-12-10</t>
        </is>
      </c>
      <c r="K231" t="inlineStr">
        <is>
          <t>385, 386, 397, 415, 416, 433</t>
        </is>
      </c>
      <c r="L231" t="inlineStr">
        <is>
          <t>Yes</t>
        </is>
      </c>
      <c r="M231" t="inlineStr">
        <is>
          <t>WATERSIDE SITE PLAN LB B : REQUEST APPROVAL OF A SITE PLAN AMENDMENT (SPAM) FOR THE CONSTRUCTION OF TWO (2) TWO-STORY DATA CENTERS TOTALING 532,000 SF AND ASSOCIATED GRADING AND UTILITY IMPROVEMENTS, IN THE PLANNED DEVELOPMENT INDUSTRIAL PARK (PDIP) ZONING DISTRICT. AM | Approved entitlement; data center building(s) already mapped on/adjacent to site</t>
        </is>
      </c>
      <c r="N231" t="inlineStr">
        <is>
          <t>County-stated status of application(s): Approved. Built/not-built is INFERRED: 6 data center building point(s) lie on/adjacent to the application area.</t>
        </is>
      </c>
      <c r="O231" t="inlineStr">
        <is>
          <t>https://logis.loudoun.gov/gis/rest/services/Projects/LOLA_DATA/MapServer/0/query?where=PlanNumber%3D%27SPAM-2021-0072%27&amp;outFields=PlanNumber,PlanType,PlanStatus,PlanName,PlanApplicationDate,PlanDescription&amp;f=html</t>
        </is>
      </c>
      <c r="P231" t="n">
        <v>38.981964</v>
      </c>
      <c r="Q231" t="n">
        <v>-77.417224</v>
      </c>
    </row>
    <row r="232">
      <c r="A232" t="n">
        <v>613</v>
      </c>
      <c r="B232" t="inlineStr">
        <is>
          <t>Loudoun</t>
        </is>
      </c>
      <c r="C232" t="inlineStr">
        <is>
          <t>DIGITAL LOUDOUN IV-PRENTICE DRIVE</t>
        </is>
      </c>
      <c r="D232" t="inlineStr">
        <is>
          <t>Site/engineering plan</t>
        </is>
      </c>
      <c r="E232" t="inlineStr">
        <is>
          <t>Approved/Planned</t>
        </is>
      </c>
      <c r="F232" t="inlineStr">
        <is>
          <t>Approved, not yet built (inferred)</t>
        </is>
      </c>
      <c r="G232" t="inlineStr">
        <is>
          <t>mixed (county application status stated; built/not-built inferred)</t>
        </is>
      </c>
      <c r="H232" t="inlineStr">
        <is>
          <t>STMP-2018-0010</t>
        </is>
      </c>
      <c r="I232" t="inlineStr">
        <is>
          <t>STMP-2018-0010 (Engineering Plan, Approved); SPAM-2022-0017 (Engineering Plan, Approved)</t>
        </is>
      </c>
      <c r="J232" t="inlineStr">
        <is>
          <t>2018-07-25</t>
        </is>
      </c>
      <c r="K232" t="inlineStr"/>
      <c r="L232" t="inlineStr">
        <is>
          <t>Yes</t>
        </is>
      </c>
      <c r="M232" t="inlineStr">
        <is>
          <t>DIGITAL LOUDOUN IV PRENTICE DRIVE : REQUEST APPROVAL OF A SITE PLAN AMENDMENT (SPAM) FOR CONTSTRUCITON OF ONE DATA CENTER BUILDING, GUARD BOOTH BUILDING, AND ASSOCIATED INFRASTRUCTURE AND UTILITIES IN THE (PDIP) PLANNED DEVELOPMENT-INDUSTRIAL PARK ZONING DISTRICT. SDM</t>
        </is>
      </c>
      <c r="N232" t="inlineStr">
        <is>
          <t>County-stated status of application(s): Approved. Built/not-built is INFERRED: no mapped data center building lies within the application area.</t>
        </is>
      </c>
      <c r="O232" t="inlineStr">
        <is>
          <t>https://logis.loudoun.gov/gis/rest/services/Projects/LOLA_DATA/MapServer/0/query?where=PlanNumber%3D%27SPAM-2022-0017%27&amp;outFields=PlanNumber,PlanType,PlanStatus,PlanName,PlanApplicationDate,PlanDescription&amp;f=html</t>
        </is>
      </c>
      <c r="P232" t="n">
        <v>39.117252</v>
      </c>
      <c r="Q232" t="n">
        <v>-77.578317</v>
      </c>
    </row>
    <row r="233">
      <c r="A233" t="n">
        <v>614</v>
      </c>
      <c r="B233" t="inlineStr">
        <is>
          <t>Loudoun</t>
        </is>
      </c>
      <c r="C233" t="inlineStr">
        <is>
          <t>DULLES TRADE CENTER LOTS 10 &amp; 11</t>
        </is>
      </c>
      <c r="D233" t="inlineStr">
        <is>
          <t>Site/engineering plan</t>
        </is>
      </c>
      <c r="E233" t="inlineStr">
        <is>
          <t>Pending</t>
        </is>
      </c>
      <c r="F233" t="inlineStr">
        <is>
          <t>Pending application</t>
        </is>
      </c>
      <c r="G233" t="inlineStr">
        <is>
          <t>stated</t>
        </is>
      </c>
      <c r="H233" t="inlineStr">
        <is>
          <t>SPAM-2022-0028</t>
        </is>
      </c>
      <c r="I233" t="inlineStr">
        <is>
          <t>SPAM-2022-0028 (Engineering Plan, In Review)</t>
        </is>
      </c>
      <c r="J233" t="inlineStr">
        <is>
          <t>2022-04-06</t>
        </is>
      </c>
      <c r="K233" t="inlineStr"/>
      <c r="L233" t="inlineStr">
        <is>
          <t>Yes</t>
        </is>
      </c>
      <c r="M233" t="inlineStr">
        <is>
          <t>(Conditional Approval) DULLES TRADE CENTER LOTS 10 &amp; 11 : REQUEST APPROVAL OF A SITE PLAN AMENDMENT (SPAM) FOR THE CONVERTING OFBUILDING USE FROM WAREHOUSE TO DATA CENTER, IN THE (PDGI) PLANNED DEVELOPMENT GENERAL INDUSTRIAL ZONING DISTRICT. SDM</t>
        </is>
      </c>
      <c r="N233" t="inlineStr">
        <is>
          <t>County-stated status of application(s): In Review.</t>
        </is>
      </c>
      <c r="O233" t="inlineStr">
        <is>
          <t>https://logis.loudoun.gov/gis/rest/services/Projects/LOLA_DATA/MapServer/0/query?where=PlanNumber%3D%27SPAM-2022-0028%27&amp;outFields=PlanNumber,PlanType,PlanStatus,PlanName,PlanApplicationDate,PlanDescription&amp;f=html</t>
        </is>
      </c>
      <c r="P233" t="n">
        <v>38.954166</v>
      </c>
      <c r="Q233" t="n">
        <v>-77.52875</v>
      </c>
    </row>
    <row r="234">
      <c r="A234" t="n">
        <v>615</v>
      </c>
      <c r="B234" t="inlineStr">
        <is>
          <t>Loudoun</t>
        </is>
      </c>
      <c r="C234" t="inlineStr">
        <is>
          <t>IAD11 DATA CENTER</t>
        </is>
      </c>
      <c r="D234" t="inlineStr">
        <is>
          <t>Site/engineering plan</t>
        </is>
      </c>
      <c r="E234" t="inlineStr">
        <is>
          <t>Approved/Planned</t>
        </is>
      </c>
      <c r="F234" t="inlineStr">
        <is>
          <t>Approved entitlement; buildings already on site</t>
        </is>
      </c>
      <c r="G234" t="inlineStr">
        <is>
          <t>mixed (county application status stated; built/not-built inferred)</t>
        </is>
      </c>
      <c r="H234" t="inlineStr">
        <is>
          <t>STMP-2021-0001</t>
        </is>
      </c>
      <c r="I234" t="inlineStr">
        <is>
          <t>STMP-2021-0001 (Engineering Plan, Approved); SPAM-2022-0036 (Engineering Plan, Approved)</t>
        </is>
      </c>
      <c r="J234" t="inlineStr">
        <is>
          <t>2021-01-19</t>
        </is>
      </c>
      <c r="K234" t="inlineStr">
        <is>
          <t>423, 452, 453</t>
        </is>
      </c>
      <c r="L234" t="inlineStr">
        <is>
          <t>Yes</t>
        </is>
      </c>
      <c r="M234" t="inlineStr">
        <is>
          <t>IAD11 DATA CENTER : REQUEST APPROVAL OF A SITE PLAN AMENDMENT (SPAM) FOR THE CONSTRUCTION OF THE ELECTRICAL SUBSTATION WITH ACCESS ROAD TO CONNECT TO AN EXISTING ACCESS ROAD, IN THE PLANNED DEVELOPMENT- INDUSTRIAL PARK (PDIP) ZONING DISTRICT. AM | Approved entitlement; data center building(s) already mapped on/adjacent to site</t>
        </is>
      </c>
      <c r="N234" t="inlineStr">
        <is>
          <t>County-stated status of application(s): Approved. Built/not-built is INFERRED: 3 data center building point(s) lie on/adjacent to the application area.</t>
        </is>
      </c>
      <c r="O234" t="inlineStr">
        <is>
          <t>https://logis.loudoun.gov/gis/rest/services/Projects/LOLA_DATA/MapServer/0/query?where=PlanNumber%3D%27SPAM-2022-0036%27&amp;outFields=PlanNumber,PlanType,PlanStatus,PlanName,PlanApplicationDate,PlanDescription&amp;f=html</t>
        </is>
      </c>
      <c r="P234" t="n">
        <v>38.949041</v>
      </c>
      <c r="Q234" t="n">
        <v>-77.555145</v>
      </c>
    </row>
    <row r="235">
      <c r="A235" t="n">
        <v>616</v>
      </c>
      <c r="B235" t="inlineStr">
        <is>
          <t>Loudoun</t>
        </is>
      </c>
      <c r="C235" t="inlineStr">
        <is>
          <t>EQUINIX AT BEAUMEADE TECH CENTER</t>
        </is>
      </c>
      <c r="D235" t="inlineStr">
        <is>
          <t>Site/engineering plan</t>
        </is>
      </c>
      <c r="E235" t="inlineStr">
        <is>
          <t>Approved/Planned</t>
        </is>
      </c>
      <c r="F235" t="inlineStr">
        <is>
          <t>Approved entitlement; buildings already on site</t>
        </is>
      </c>
      <c r="G235" t="inlineStr">
        <is>
          <t>mixed (county application status stated; built/not-built inferred)</t>
        </is>
      </c>
      <c r="H235" t="inlineStr">
        <is>
          <t>SPAM-2022-0043</t>
        </is>
      </c>
      <c r="I235" t="inlineStr">
        <is>
          <t>SPAM-2022-0043 (Engineering Plan, Approved)</t>
        </is>
      </c>
      <c r="J235" t="inlineStr">
        <is>
          <t>2022-05-27</t>
        </is>
      </c>
      <c r="K235" t="inlineStr">
        <is>
          <t>255, 256, 268, 269, 270, 272</t>
        </is>
      </c>
      <c r="L235" t="inlineStr">
        <is>
          <t>Yes</t>
        </is>
      </c>
      <c r="M235" t="inlineStr">
        <is>
          <t>EQUINIX AT BEAUMEADE TECH CENTER : REQUEST APPROVAL OF A SITE PLAN AMENDMENT (SPAM) TO PROPOSE CONCRETE PADES ON NORTH SIDE OF EXCISTING BUILDING (DC-2) TO INSTALL GENERATORSAND AIR CONDENSING UNITS FOR THE EXISTING DATA CENTER USE, IN THE PLANNED DEVELOPMENT- INDUSTRIAL PARK (PDIP) ZONING DISTRICT. | Approved entitlement; data center building(s) already mapped on/adjacent to site</t>
        </is>
      </c>
      <c r="N235" t="inlineStr">
        <is>
          <t>County-stated status of application(s): Approved. Built/not-built is INFERRED: 6 data center building point(s) lie on/adjacent to the application area.</t>
        </is>
      </c>
      <c r="O235" t="inlineStr">
        <is>
          <t>https://logis.loudoun.gov/gis/rest/services/Projects/LOLA_DATA/MapServer/0/query?where=PlanNumber%3D%27SPAM-2022-0043%27&amp;outFields=PlanNumber,PlanType,PlanStatus,PlanName,PlanApplicationDate,PlanDescription&amp;f=html</t>
        </is>
      </c>
      <c r="P235" t="n">
        <v>39.015526</v>
      </c>
      <c r="Q235" t="n">
        <v>-77.459838</v>
      </c>
    </row>
    <row r="236">
      <c r="A236" t="n">
        <v>617</v>
      </c>
      <c r="B236" t="inlineStr">
        <is>
          <t>Loudoun</t>
        </is>
      </c>
      <c r="C236" t="inlineStr">
        <is>
          <t>RELOCATION DRIVE SITE PLAN</t>
        </is>
      </c>
      <c r="D236" t="inlineStr">
        <is>
          <t>Site/engineering plan</t>
        </is>
      </c>
      <c r="E236" t="inlineStr">
        <is>
          <t>Approved/Planned</t>
        </is>
      </c>
      <c r="F236" t="inlineStr">
        <is>
          <t>Approved entitlement; buildings already on site</t>
        </is>
      </c>
      <c r="G236" t="inlineStr">
        <is>
          <t>mixed (county application status stated; built/not-built inferred)</t>
        </is>
      </c>
      <c r="H236" t="inlineStr">
        <is>
          <t>SPAM-2022-0072</t>
        </is>
      </c>
      <c r="I236" t="inlineStr">
        <is>
          <t>SPAM-2022-0072 (Engineering Plan, Approved); SPAM-2023-0018 (Engineering Plan, Approved)</t>
        </is>
      </c>
      <c r="J236" t="inlineStr">
        <is>
          <t>2022-09-21</t>
        </is>
      </c>
      <c r="K236" t="inlineStr">
        <is>
          <t>438</t>
        </is>
      </c>
      <c r="L236" t="inlineStr">
        <is>
          <t>Yes</t>
        </is>
      </c>
      <c r="M236" t="inlineStr">
        <is>
          <t>RELOCATION DRIVE SITE PLAN : REQUEST APPROVAL OF A SITE PLAN AMENDMENT (SPAM) TO THE PREVIOUSLY APPROVED STMP-2022-0003, SPAM-2022-0072 (DATA CENTER, SWM/BMP VAULTS, AND ASSOCIATED INFRASTRUCTURE) TO ADD A STORMWATER MANAGEMENT VAULT THAT WILL HANDLE RUNOFF FOR THE FUTURE STERLING BLVD ROAD PROJECT, | Approved entitlement; data center building(s) already mapped on/adjacent to site</t>
        </is>
      </c>
      <c r="N236" t="inlineStr">
        <is>
          <t>County-stated status of application(s): Approved. Built/not-built is INFERRED: 1 data center building point(s) lie on/adjacent to the application area.</t>
        </is>
      </c>
      <c r="O236" t="inlineStr">
        <is>
          <t>https://logis.loudoun.gov/gis/rest/services/Projects/LOLA_DATA/MapServer/0/query?where=PlanNumber%3D%27SPAM-2023-0018%27&amp;outFields=PlanNumber,PlanType,PlanStatus,PlanName,PlanApplicationDate,PlanDescription&amp;f=html</t>
        </is>
      </c>
      <c r="P236" t="n">
        <v>38.988456</v>
      </c>
      <c r="Q236" t="n">
        <v>-77.440907</v>
      </c>
    </row>
    <row r="237">
      <c r="A237" t="n">
        <v>618</v>
      </c>
      <c r="B237" t="inlineStr">
        <is>
          <t>Loudoun</t>
        </is>
      </c>
      <c r="C237" t="inlineStr">
        <is>
          <t>DULLES BERRY LC4 DATA CENTER</t>
        </is>
      </c>
      <c r="D237" t="inlineStr">
        <is>
          <t>Site/engineering plan</t>
        </is>
      </c>
      <c r="E237" t="inlineStr">
        <is>
          <t>Approved/Planned</t>
        </is>
      </c>
      <c r="F237" t="inlineStr">
        <is>
          <t>Approved, not yet built (inferred)</t>
        </is>
      </c>
      <c r="G237" t="inlineStr">
        <is>
          <t>mixed (county application status stated; built/not-built inferred)</t>
        </is>
      </c>
      <c r="H237" t="inlineStr">
        <is>
          <t>STMP-2021-0016</t>
        </is>
      </c>
      <c r="I237" t="inlineStr">
        <is>
          <t>STMP-2021-0016 (Engineering Plan, Approved); SPAM-2023-0032 (Engineering Plan, Approved)</t>
        </is>
      </c>
      <c r="J237" t="inlineStr">
        <is>
          <t>2021-11-09</t>
        </is>
      </c>
      <c r="K237" t="inlineStr"/>
      <c r="L237" t="inlineStr">
        <is>
          <t>Yes</t>
        </is>
      </c>
      <c r="M237" t="inlineStr">
        <is>
          <t>DULLES BERRY LC4 DATA CENTER : REQUEST APPROVAL OF A SITE PLAN AMENDEMENT (SPAM), REVISION TO THE THELC4 SITE PLAN TO INCLUDE SECURITY GATE, SECURITY FENCE, MINOR STORM REVISIONS, AND ADDITIONAL DISTURBANCE IN THE PLANNED DEVELOPMENT-RESEARCH AND DEVELOPMENT PARK (PDRDP) ZONING DISTRICT. AN</t>
        </is>
      </c>
      <c r="N237" t="inlineStr">
        <is>
          <t>County-stated status of application(s): Approved. Built/not-built is INFERRED: no mapped data center building lies within the application area.</t>
        </is>
      </c>
      <c r="O237" t="inlineStr">
        <is>
          <t>https://logis.loudoun.gov/gis/rest/services/Projects/LOLA_DATA/MapServer/0/query?where=PlanNumber%3D%27SPAM-2023-0032%27&amp;outFields=PlanNumber,PlanType,PlanStatus,PlanName,PlanApplicationDate,PlanDescription&amp;f=html</t>
        </is>
      </c>
      <c r="P237" t="n">
        <v>39.117252</v>
      </c>
      <c r="Q237" t="n">
        <v>-77.578317</v>
      </c>
    </row>
    <row r="238">
      <c r="A238" t="n">
        <v>619</v>
      </c>
      <c r="B238" t="inlineStr">
        <is>
          <t>Loudoun</t>
        </is>
      </c>
      <c r="C238" t="inlineStr">
        <is>
          <t>EQUINIX - BEAUMEADE PH 1 LOT 5</t>
        </is>
      </c>
      <c r="D238" t="inlineStr">
        <is>
          <t>Zoning/legislative</t>
        </is>
      </c>
      <c r="E238" t="inlineStr">
        <is>
          <t>Approved/Planned</t>
        </is>
      </c>
      <c r="F238" t="inlineStr">
        <is>
          <t>Approved entitlement; buildings already on site</t>
        </is>
      </c>
      <c r="G238" t="inlineStr">
        <is>
          <t>mixed (county application status stated; built/not-built inferred)</t>
        </is>
      </c>
      <c r="H238" t="inlineStr">
        <is>
          <t>SPEX-2006-0016</t>
        </is>
      </c>
      <c r="I238" t="inlineStr">
        <is>
          <t>SPEX-2006-0016 (Special Exception, Approved)</t>
        </is>
      </c>
      <c r="J238" t="inlineStr">
        <is>
          <t>2006-04-20</t>
        </is>
      </c>
      <c r="K238" t="inlineStr">
        <is>
          <t>255, 256, 268, 269, 270, 272</t>
        </is>
      </c>
      <c r="L238" t="inlineStr">
        <is>
          <t>Yes</t>
        </is>
      </c>
      <c r="M238" t="inlineStr">
        <is>
          <t>EQUINIX - BEAUMEADE PH 1 LOT 5 : REQUEST APPROVAL OF A SPECIAL EXCEPTION TO ALLOW THE FOLLOWING POSSIBLE USES ON THE PROPERTY: DATA CENTER, FLEX-INDUSTRIAL, WAREHOUSE, OFFICE WITH A MAXIMUM FAR OF 0.4. er | Approved entitlement; data center building(s) already mapped on/adjacent to site</t>
        </is>
      </c>
      <c r="N238" t="inlineStr">
        <is>
          <t>County-stated status of application(s): Approved. Built/not-built is INFERRED: 6 data center building point(s) lie on/adjacent to the application area.</t>
        </is>
      </c>
      <c r="O238" t="inlineStr">
        <is>
          <t>https://logis.loudoun.gov/gis/rest/services/Projects/LOLA_DATA/MapServer/0/query?where=PlanNumber%3D%27SPEX-2006-0016%27&amp;outFields=PlanNumber,PlanType,PlanStatus,PlanName,PlanApplicationDate,PlanDescription&amp;f=html</t>
        </is>
      </c>
      <c r="P238" t="n">
        <v>39.015515</v>
      </c>
      <c r="Q238" t="n">
        <v>-77.45987100000001</v>
      </c>
    </row>
    <row r="239">
      <c r="A239" t="n">
        <v>620</v>
      </c>
      <c r="B239" t="inlineStr">
        <is>
          <t>Loudoun</t>
        </is>
      </c>
      <c r="C239" t="inlineStr">
        <is>
          <t>EQUINIX DATA CENTER</t>
        </is>
      </c>
      <c r="D239" t="inlineStr">
        <is>
          <t>Zoning/legislative</t>
        </is>
      </c>
      <c r="E239" t="inlineStr">
        <is>
          <t>Approved/Planned</t>
        </is>
      </c>
      <c r="F239" t="inlineStr">
        <is>
          <t>Approved entitlement; buildings already on site</t>
        </is>
      </c>
      <c r="G239" t="inlineStr">
        <is>
          <t>mixed (county application status stated; built/not-built inferred)</t>
        </is>
      </c>
      <c r="H239" t="inlineStr">
        <is>
          <t>SPEX-2008-0041</t>
        </is>
      </c>
      <c r="I239" t="inlineStr">
        <is>
          <t>SPEX-2008-0041 (Special Exception, Approved); ZMAP-2008-0013 (Zoning Map Amendment, Approved)</t>
        </is>
      </c>
      <c r="J239" t="inlineStr">
        <is>
          <t>2008-06-19</t>
        </is>
      </c>
      <c r="K239" t="inlineStr">
        <is>
          <t>255, 256, 268, 269, 270, 272</t>
        </is>
      </c>
      <c r="L239" t="inlineStr">
        <is>
          <t>Yes</t>
        </is>
      </c>
      <c r="M239" t="inlineStr">
        <is>
          <t>EQUINIX DATA CENTER : A Zoning Map Amendment to rezone from the 1972 Zoning Ordinance PD-IP to the Revised 1993 Zoning Ordinance PD-IP. | Approved entitlement; data center building(s) already mapped on/adjacent to site</t>
        </is>
      </c>
      <c r="N239" t="inlineStr">
        <is>
          <t>County-stated status of application(s): Approved. Built/not-built is INFERRED: 6 data center building point(s) lie on/adjacent to the application area.</t>
        </is>
      </c>
      <c r="O239" t="inlineStr">
        <is>
          <t>https://logis.loudoun.gov/gis/rest/services/Projects/LOLA_DATA/MapServer/0/query?where=PlanNumber%3D%27ZMAP-2008-0013%27&amp;outFields=PlanNumber,PlanType,PlanStatus,PlanName,PlanApplicationDate,PlanDescription&amp;f=html</t>
        </is>
      </c>
      <c r="P239" t="n">
        <v>39.015533</v>
      </c>
      <c r="Q239" t="n">
        <v>-77.45983200000001</v>
      </c>
    </row>
    <row r="240">
      <c r="A240" t="n">
        <v>621</v>
      </c>
      <c r="B240" t="inlineStr">
        <is>
          <t>Loudoun</t>
        </is>
      </c>
      <c r="C240" t="inlineStr">
        <is>
          <t>MERRITT AT BEAUMEADE</t>
        </is>
      </c>
      <c r="D240" t="inlineStr">
        <is>
          <t>Zoning/legislative</t>
        </is>
      </c>
      <c r="E240" t="inlineStr">
        <is>
          <t>Approved/Planned</t>
        </is>
      </c>
      <c r="F240" t="inlineStr">
        <is>
          <t>Approved entitlement; buildings already on site</t>
        </is>
      </c>
      <c r="G240" t="inlineStr">
        <is>
          <t>mixed (county application status stated; built/not-built inferred)</t>
        </is>
      </c>
      <c r="H240" t="inlineStr">
        <is>
          <t>SPEX-2010-0019</t>
        </is>
      </c>
      <c r="I240" t="inlineStr">
        <is>
          <t>SPEX-2010-0019 (Special Exception, Approved)</t>
        </is>
      </c>
      <c r="J240" t="inlineStr">
        <is>
          <t>2010-08-09</t>
        </is>
      </c>
      <c r="K240" t="inlineStr">
        <is>
          <t>249</t>
        </is>
      </c>
      <c r="L240" t="inlineStr">
        <is>
          <t>Yes</t>
        </is>
      </c>
      <c r="M240" t="inlineStr">
        <is>
          <t>MERRITT AT BEAUMEADE : A special exception to allow 100% data center uses in the PD-IP zoning district. | Approved entitlement; data center building(s) already mapped on/adjacent to site</t>
        </is>
      </c>
      <c r="N240" t="inlineStr">
        <is>
          <t>County-stated status of application(s): Approved. Built/not-built is INFERRED: 1 data center building point(s) lie on/adjacent to the application area.</t>
        </is>
      </c>
      <c r="O240" t="inlineStr">
        <is>
          <t>https://logis.loudoun.gov/gis/rest/services/Projects/LOLA_DATA/MapServer/0/query?where=PlanNumber%3D%27SPEX-2010-0019%27&amp;outFields=PlanNumber,PlanType,PlanStatus,PlanName,PlanApplicationDate,PlanDescription&amp;f=html</t>
        </is>
      </c>
      <c r="P240" t="n">
        <v>39.0242</v>
      </c>
      <c r="Q240" t="n">
        <v>-77.458292</v>
      </c>
    </row>
    <row r="241">
      <c r="A241" t="n">
        <v>622</v>
      </c>
      <c r="B241" t="inlineStr">
        <is>
          <t>Loudoun</t>
        </is>
      </c>
      <c r="C241" t="inlineStr">
        <is>
          <t>CIT GUILFORD DRIVE LLC DATA CENTER</t>
        </is>
      </c>
      <c r="D241" t="inlineStr">
        <is>
          <t>Zoning/legislative</t>
        </is>
      </c>
      <c r="E241" t="inlineStr">
        <is>
          <t>Approved/Planned</t>
        </is>
      </c>
      <c r="F241" t="inlineStr">
        <is>
          <t>Approved, not yet built (inferred)</t>
        </is>
      </c>
      <c r="G241" t="inlineStr">
        <is>
          <t>mixed (county application status stated; built/not-built inferred)</t>
        </is>
      </c>
      <c r="H241" t="inlineStr">
        <is>
          <t>SPEX-2010-0022</t>
        </is>
      </c>
      <c r="I241" t="inlineStr">
        <is>
          <t>SPEX-2010-0022 (Special Exception, Approved)</t>
        </is>
      </c>
      <c r="J241" t="inlineStr">
        <is>
          <t>2010-09-20</t>
        </is>
      </c>
      <c r="K241" t="inlineStr"/>
      <c r="L241" t="inlineStr">
        <is>
          <t>Yes</t>
        </is>
      </c>
      <c r="M241" t="inlineStr">
        <is>
          <t>CIT GUILFORD DRIVE LLC DATA CENTER : A special exception for 100% office data center use at a 0.6 FAR in PD-IP.</t>
        </is>
      </c>
      <c r="N241" t="inlineStr">
        <is>
          <t>County-stated status of application(s): Approved. Built/not-built is INFERRED: no mapped data center building lies within the application area.</t>
        </is>
      </c>
      <c r="O241" t="inlineStr">
        <is>
          <t>https://logis.loudoun.gov/gis/rest/services/Projects/LOLA_DATA/MapServer/0/query?where=PlanNumber%3D%27SPEX-2010-0022%27&amp;outFields=PlanNumber,PlanType,PlanStatus,PlanName,PlanApplicationDate,PlanDescription&amp;f=html</t>
        </is>
      </c>
      <c r="P241" t="n">
        <v>39.021394</v>
      </c>
      <c r="Q241" t="n">
        <v>-77.45693</v>
      </c>
    </row>
    <row r="242">
      <c r="A242" t="n">
        <v>623</v>
      </c>
      <c r="B242" t="inlineStr">
        <is>
          <t>Loudoun</t>
        </is>
      </c>
      <c r="C242" t="inlineStr">
        <is>
          <t>44664 GUILFORD DRIVE</t>
        </is>
      </c>
      <c r="D242" t="inlineStr">
        <is>
          <t>Zoning/legislative</t>
        </is>
      </c>
      <c r="E242" t="inlineStr">
        <is>
          <t>Approved/Planned</t>
        </is>
      </c>
      <c r="F242" t="inlineStr">
        <is>
          <t>Approved entitlement; buildings already on site</t>
        </is>
      </c>
      <c r="G242" t="inlineStr">
        <is>
          <t>mixed (county application status stated; built/not-built inferred)</t>
        </is>
      </c>
      <c r="H242" t="inlineStr">
        <is>
          <t>SPEX-2010-0031</t>
        </is>
      </c>
      <c r="I242" t="inlineStr">
        <is>
          <t>SPEX-2010-0031 (Special Exception, Approved)</t>
        </is>
      </c>
      <c r="J242" t="inlineStr">
        <is>
          <t>2010-12-17</t>
        </is>
      </c>
      <c r="K242" t="inlineStr">
        <is>
          <t>258</t>
        </is>
      </c>
      <c r="L242" t="inlineStr">
        <is>
          <t>Yes</t>
        </is>
      </c>
      <c r="M242" t="inlineStr">
        <is>
          <t>44664 GUILFORD DRIVE : A special exception request for 100% office/data center use pursuant to Section 4-504(A). | Approved entitlement; data center building(s) already mapped on/adjacent to site</t>
        </is>
      </c>
      <c r="N242" t="inlineStr">
        <is>
          <t>County-stated status of application(s): Approved. Built/not-built is INFERRED: 1 data center building point(s) lie on/adjacent to the application area.</t>
        </is>
      </c>
      <c r="O242" t="inlineStr">
        <is>
          <t>https://logis.loudoun.gov/gis/rest/services/Projects/LOLA_DATA/MapServer/0/query?where=PlanNumber%3D%27SPEX-2010-0031%27&amp;outFields=PlanNumber,PlanType,PlanStatus,PlanName,PlanApplicationDate,PlanDescription&amp;f=html</t>
        </is>
      </c>
      <c r="P242" t="n">
        <v>39.02293</v>
      </c>
      <c r="Q242" t="n">
        <v>-77.454708</v>
      </c>
    </row>
    <row r="243">
      <c r="A243" t="n">
        <v>624</v>
      </c>
      <c r="B243" t="inlineStr">
        <is>
          <t>Loudoun</t>
        </is>
      </c>
      <c r="C243" t="inlineStr">
        <is>
          <t>PROJECT COLUMBIA DATA CENTER</t>
        </is>
      </c>
      <c r="D243" t="inlineStr">
        <is>
          <t>Zoning/legislative</t>
        </is>
      </c>
      <c r="E243" t="inlineStr">
        <is>
          <t>Approved/Planned</t>
        </is>
      </c>
      <c r="F243" t="inlineStr">
        <is>
          <t>Approved entitlement; buildings already on site</t>
        </is>
      </c>
      <c r="G243" t="inlineStr">
        <is>
          <t>mixed (county application status stated; built/not-built inferred)</t>
        </is>
      </c>
      <c r="H243" t="inlineStr">
        <is>
          <t>SPEX-2011-0004</t>
        </is>
      </c>
      <c r="I243" t="inlineStr">
        <is>
          <t>SPEX-2011-0004 (Special Exception, Approved)</t>
        </is>
      </c>
      <c r="J243" t="inlineStr">
        <is>
          <t>2011-03-01</t>
        </is>
      </c>
      <c r="K243" t="inlineStr">
        <is>
          <t>300</t>
        </is>
      </c>
      <c r="L243" t="inlineStr">
        <is>
          <t>Yes</t>
        </is>
      </c>
      <c r="M243" t="inlineStr">
        <is>
          <t>PROJECT COLUMBIA DATA CENTER : A special exception for 100% data center. | Approved entitlement; data center building(s) already mapped on/adjacent to site</t>
        </is>
      </c>
      <c r="N243" t="inlineStr">
        <is>
          <t>County-stated status of application(s): Approved. Built/not-built is INFERRED: 1 data center building point(s) lie on/adjacent to the application area.</t>
        </is>
      </c>
      <c r="O243" t="inlineStr">
        <is>
          <t>https://logis.loudoun.gov/gis/rest/services/Projects/LOLA_DATA/MapServer/0/query?where=PlanNumber%3D%27SPEX-2011-0004%27&amp;outFields=PlanNumber,PlanType,PlanStatus,PlanName,PlanApplicationDate,PlanDescription&amp;f=html</t>
        </is>
      </c>
      <c r="P243" t="n">
        <v>38.994446</v>
      </c>
      <c r="Q243" t="n">
        <v>-77.448139</v>
      </c>
    </row>
    <row r="244">
      <c r="A244" t="n">
        <v>625</v>
      </c>
      <c r="B244" t="inlineStr">
        <is>
          <t>Loudoun</t>
        </is>
      </c>
      <c r="C244" t="inlineStr">
        <is>
          <t>TRANSDULLES CENTRE PARCEL 20</t>
        </is>
      </c>
      <c r="D244" t="inlineStr">
        <is>
          <t>Zoning/legislative</t>
        </is>
      </c>
      <c r="E244" t="inlineStr">
        <is>
          <t>Approved/Planned</t>
        </is>
      </c>
      <c r="F244" t="inlineStr">
        <is>
          <t>Approved entitlement; buildings already on site</t>
        </is>
      </c>
      <c r="G244" t="inlineStr">
        <is>
          <t>mixed (county application status stated; built/not-built inferred)</t>
        </is>
      </c>
      <c r="H244" t="inlineStr">
        <is>
          <t>SPEX-2011-0008</t>
        </is>
      </c>
      <c r="I244" t="inlineStr">
        <is>
          <t>SPEX-2011-0008 (Special Exception, Approved)</t>
        </is>
      </c>
      <c r="J244" t="inlineStr">
        <is>
          <t>2011-04-01</t>
        </is>
      </c>
      <c r="K244" t="inlineStr">
        <is>
          <t>333, 334</t>
        </is>
      </c>
      <c r="L244" t="inlineStr">
        <is>
          <t>Yes</t>
        </is>
      </c>
      <c r="M244" t="inlineStr">
        <is>
          <t>TRANSDULLES CENTRE PARCEL 20 : A special exception for 100% office-data center uses at 0.4 FAR. | Approved entitlement; data center building(s) already mapped on/adjacent to site</t>
        </is>
      </c>
      <c r="N244" t="inlineStr">
        <is>
          <t>County-stated status of application(s): Approved. Built/not-built is INFERRED: 2 data center building point(s) lie on/adjacent to the application area.</t>
        </is>
      </c>
      <c r="O244" t="inlineStr">
        <is>
          <t>https://logis.loudoun.gov/gis/rest/services/Projects/LOLA_DATA/MapServer/0/query?where=PlanNumber%3D%27SPEX-2011-0008%27&amp;outFields=PlanNumber,PlanType,PlanStatus,PlanName,PlanApplicationDate,PlanDescription&amp;f=html</t>
        </is>
      </c>
      <c r="P244" t="n">
        <v>38.986788</v>
      </c>
      <c r="Q244" t="n">
        <v>-77.409688</v>
      </c>
    </row>
    <row r="245">
      <c r="A245" t="n">
        <v>626</v>
      </c>
      <c r="B245" t="inlineStr">
        <is>
          <t>Loudoun</t>
        </is>
      </c>
      <c r="C245" t="inlineStr">
        <is>
          <t>21800 BEAUMEADE CIRCLE</t>
        </is>
      </c>
      <c r="D245" t="inlineStr">
        <is>
          <t>Zoning/legislative</t>
        </is>
      </c>
      <c r="E245" t="inlineStr">
        <is>
          <t>Approved/Planned</t>
        </is>
      </c>
      <c r="F245" t="inlineStr">
        <is>
          <t>Approved entitlement; buildings already on site</t>
        </is>
      </c>
      <c r="G245" t="inlineStr">
        <is>
          <t>mixed (county application status stated; built/not-built inferred)</t>
        </is>
      </c>
      <c r="H245" t="inlineStr">
        <is>
          <t>SPEX-2011-0018</t>
        </is>
      </c>
      <c r="I245" t="inlineStr">
        <is>
          <t>SPEX-2011-0018 (Special Exception, Approved); SPEX-2021-0048 (Special Exception, Approved)</t>
        </is>
      </c>
      <c r="J245" t="inlineStr">
        <is>
          <t>2011-07-29</t>
        </is>
      </c>
      <c r="K245" t="inlineStr">
        <is>
          <t>254</t>
        </is>
      </c>
      <c r="L245" t="inlineStr">
        <is>
          <t>Yes</t>
        </is>
      </c>
      <c r="M245" t="inlineStr">
        <is>
          <t>21800 BEAUMEADE CIRCLE : A special exception to the maximum lot coverage from 45% to 55% for a data center. | Approved entitlement; data center building(s) already mapped on/adjacent to site</t>
        </is>
      </c>
      <c r="N245" t="inlineStr">
        <is>
          <t>County-stated status of application(s): Approved. Built/not-built is INFERRED: 1 data center building point(s) lie on/adjacent to the application area.</t>
        </is>
      </c>
      <c r="O245" t="inlineStr">
        <is>
          <t>https://logis.loudoun.gov/gis/rest/services/Projects/LOLA_DATA/MapServer/0/query?where=PlanNumber%3D%27SPEX-2021-0048%27&amp;outFields=PlanNumber,PlanType,PlanStatus,PlanName,PlanApplicationDate,PlanDescription&amp;f=html</t>
        </is>
      </c>
      <c r="P245" t="n">
        <v>39.013732</v>
      </c>
      <c r="Q245" t="n">
        <v>-77.45165</v>
      </c>
    </row>
    <row r="246">
      <c r="A246" t="n">
        <v>627</v>
      </c>
      <c r="B246" t="inlineStr">
        <is>
          <t>Loudoun</t>
        </is>
      </c>
      <c r="C246" t="inlineStr">
        <is>
          <t>21550 &amp; 21580 BEAUMEADE CIRCLE</t>
        </is>
      </c>
      <c r="D246" t="inlineStr">
        <is>
          <t>Zoning/legislative</t>
        </is>
      </c>
      <c r="E246" t="inlineStr">
        <is>
          <t>Approved/Planned</t>
        </is>
      </c>
      <c r="F246" t="inlineStr">
        <is>
          <t>Approved, not yet built (inferred)</t>
        </is>
      </c>
      <c r="G246" t="inlineStr">
        <is>
          <t>mixed (county application status stated; built/not-built inferred)</t>
        </is>
      </c>
      <c r="H246" t="inlineStr">
        <is>
          <t>SPEX-2011-0022</t>
        </is>
      </c>
      <c r="I246" t="inlineStr">
        <is>
          <t>SPEX-2011-0022 (Special Exception, Approved)</t>
        </is>
      </c>
      <c r="J246" t="inlineStr">
        <is>
          <t>2011-08-05</t>
        </is>
      </c>
      <c r="K246" t="inlineStr"/>
      <c r="L246" t="inlineStr">
        <is>
          <t>Yes</t>
        </is>
      </c>
      <c r="M246" t="inlineStr">
        <is>
          <t>21550 &amp; 21580 BEAUMEADE CIRCLE : A special exception to allow 100% office limited to data center up to 0.4 FAR.</t>
        </is>
      </c>
      <c r="N246" t="inlineStr">
        <is>
          <t>County-stated status of application(s): Approved. Built/not-built is INFERRED: no mapped data center building lies within the application area.</t>
        </is>
      </c>
      <c r="O246" t="inlineStr">
        <is>
          <t>https://logis.loudoun.gov/gis/rest/services/Projects/LOLA_DATA/MapServer/0/query?where=PlanNumber%3D%27SPEX-2011-0022%27&amp;outFields=PlanNumber,PlanType,PlanStatus,PlanName,PlanApplicationDate,PlanDescription&amp;f=html</t>
        </is>
      </c>
      <c r="P246" t="n">
        <v>39.019924</v>
      </c>
      <c r="Q246" t="n">
        <v>-77.454695</v>
      </c>
    </row>
    <row r="247">
      <c r="A247" t="n">
        <v>628</v>
      </c>
      <c r="B247" t="inlineStr">
        <is>
          <t>Loudoun</t>
        </is>
      </c>
      <c r="C247" t="inlineStr">
        <is>
          <t>ASHBURN CENTER NORTH</t>
        </is>
      </c>
      <c r="D247" t="inlineStr">
        <is>
          <t>Zoning/legislative</t>
        </is>
      </c>
      <c r="E247" t="inlineStr">
        <is>
          <t>Approved/Planned</t>
        </is>
      </c>
      <c r="F247" t="inlineStr">
        <is>
          <t>Approved entitlement; buildings already on site</t>
        </is>
      </c>
      <c r="G247" t="inlineStr">
        <is>
          <t>mixed (county application status stated; built/not-built inferred)</t>
        </is>
      </c>
      <c r="H247" t="inlineStr">
        <is>
          <t>SPEX-2012-0019</t>
        </is>
      </c>
      <c r="I247" t="inlineStr">
        <is>
          <t>SPEX-2012-0019 (Special Exception, Approved)</t>
        </is>
      </c>
      <c r="J247" t="inlineStr">
        <is>
          <t>2012-04-06</t>
        </is>
      </c>
      <c r="K247" t="inlineStr">
        <is>
          <t>428</t>
        </is>
      </c>
      <c r="L247" t="inlineStr">
        <is>
          <t>Yes</t>
        </is>
      </c>
      <c r="M247" t="inlineStr">
        <is>
          <t>ASHBURN CENTER NORTH : A special exception pursuant to 4-504(A) to allow office use that is restricted to 100% data center in the PD-IP Zoning District. | Approved entitlement; data center building(s) already mapped on/adjacent to site</t>
        </is>
      </c>
      <c r="N247" t="inlineStr">
        <is>
          <t>County-stated status of application(s): Approved. Built/not-built is INFERRED: 1 data center building point(s) lie on/adjacent to the application area.</t>
        </is>
      </c>
      <c r="O247" t="inlineStr">
        <is>
          <t>https://logis.loudoun.gov/gis/rest/services/Projects/LOLA_DATA/MapServer/0/query?where=PlanNumber%3D%27SPEX-2012-0019%27&amp;outFields=PlanNumber,PlanType,PlanStatus,PlanName,PlanApplicationDate,PlanDescription&amp;f=html</t>
        </is>
      </c>
      <c r="P247" t="n">
        <v>39.017963</v>
      </c>
      <c r="Q247" t="n">
        <v>-77.48157</v>
      </c>
    </row>
    <row r="248">
      <c r="A248" t="n">
        <v>629</v>
      </c>
      <c r="B248" t="inlineStr">
        <is>
          <t>Loudoun</t>
        </is>
      </c>
      <c r="C248" t="inlineStr">
        <is>
          <t>BUHL ELECTRIC</t>
        </is>
      </c>
      <c r="D248" t="inlineStr">
        <is>
          <t>Zoning/legislative</t>
        </is>
      </c>
      <c r="E248" t="inlineStr">
        <is>
          <t>Approved/Planned</t>
        </is>
      </c>
      <c r="F248" t="inlineStr">
        <is>
          <t>Approved entitlement; buildings already on site</t>
        </is>
      </c>
      <c r="G248" t="inlineStr">
        <is>
          <t>mixed (county application status stated; built/not-built inferred)</t>
        </is>
      </c>
      <c r="H248" t="inlineStr">
        <is>
          <t>SPEX-2012-0045</t>
        </is>
      </c>
      <c r="I248" t="inlineStr">
        <is>
          <t>SPEX-2012-0045 (Special Exception, Approved)</t>
        </is>
      </c>
      <c r="J248" t="inlineStr">
        <is>
          <t>2012-11-14</t>
        </is>
      </c>
      <c r="K248" t="inlineStr">
        <is>
          <t>265</t>
        </is>
      </c>
      <c r="L248" t="inlineStr">
        <is>
          <t>Yes</t>
        </is>
      </c>
      <c r="M248" t="inlineStr">
        <is>
          <t>BUHL ELECTRIC : A special exception pursuant to Section 722.3.2 of the 1972 Zoning Ordinance to allow office use in the PD-IP Zoning District restricted to 100% data center. | Approved entitlement; data center building(s) already mapped on/adjacent to site</t>
        </is>
      </c>
      <c r="N248" t="inlineStr">
        <is>
          <t>County-stated status of application(s): Approved. Built/not-built is INFERRED: 1 data center building point(s) lie on/adjacent to the application area.</t>
        </is>
      </c>
      <c r="O248" t="inlineStr">
        <is>
          <t>https://logis.loudoun.gov/gis/rest/services/Projects/LOLA_DATA/MapServer/0/query?where=PlanNumber%3D%27SPEX-2012-0045%27&amp;outFields=PlanNumber,PlanType,PlanStatus,PlanName,PlanApplicationDate,PlanDescription&amp;f=html</t>
        </is>
      </c>
      <c r="P248" t="n">
        <v>39.021567</v>
      </c>
      <c r="Q248" t="n">
        <v>-77.434753</v>
      </c>
    </row>
    <row r="249">
      <c r="A249" t="n">
        <v>630</v>
      </c>
      <c r="B249" t="inlineStr">
        <is>
          <t>Loudoun</t>
        </is>
      </c>
      <c r="C249" t="inlineStr">
        <is>
          <t>PROLOGIS PARK - GATEWAY PHASE III BLDG 9</t>
        </is>
      </c>
      <c r="D249" t="inlineStr">
        <is>
          <t>Zoning/legislative</t>
        </is>
      </c>
      <c r="E249" t="inlineStr">
        <is>
          <t>Approved/Planned</t>
        </is>
      </c>
      <c r="F249" t="inlineStr">
        <is>
          <t>Approved entitlement; buildings already on site</t>
        </is>
      </c>
      <c r="G249" t="inlineStr">
        <is>
          <t>mixed (county application status stated; built/not-built inferred)</t>
        </is>
      </c>
      <c r="H249" t="inlineStr">
        <is>
          <t>SPEX-2013-0016</t>
        </is>
      </c>
      <c r="I249" t="inlineStr">
        <is>
          <t>SPEX-2013-0016 (Special Exception, Approved)</t>
        </is>
      </c>
      <c r="J249" t="inlineStr">
        <is>
          <t>2013-07-02</t>
        </is>
      </c>
      <c r="K249" t="inlineStr">
        <is>
          <t>248</t>
        </is>
      </c>
      <c r="L249" t="inlineStr">
        <is>
          <t>Yes</t>
        </is>
      </c>
      <c r="M249" t="inlineStr">
        <is>
          <t>PROLOGIS PARK - GATEWAY PHASE III BLDG 9 : A special exception to allow office and data center uses. in the PD-IP Zoning District. | Approved entitlement; data center building(s) already mapped on/adjacent to site</t>
        </is>
      </c>
      <c r="N249" t="inlineStr">
        <is>
          <t>County-stated status of application(s): Approved. Built/not-built is INFERRED: 1 data center building point(s) lie on/adjacent to the application area.</t>
        </is>
      </c>
      <c r="O249" t="inlineStr">
        <is>
          <t>https://logis.loudoun.gov/gis/rest/services/Projects/LOLA_DATA/MapServer/0/query?where=PlanNumber%3D%27SPEX-2013-0016%27&amp;outFields=PlanNumber,PlanType,PlanStatus,PlanName,PlanApplicationDate,PlanDescription&amp;f=html</t>
        </is>
      </c>
      <c r="P249" t="n">
        <v>38.991377</v>
      </c>
      <c r="Q249" t="n">
        <v>-77.43659</v>
      </c>
    </row>
    <row r="250">
      <c r="A250" t="n">
        <v>631</v>
      </c>
      <c r="B250" t="inlineStr">
        <is>
          <t>Loudoun</t>
        </is>
      </c>
      <c r="C250" t="inlineStr">
        <is>
          <t>PROLOGIS PARK-GATEWAY PHASE III, BLDG 8</t>
        </is>
      </c>
      <c r="D250" t="inlineStr">
        <is>
          <t>Zoning/legislative</t>
        </is>
      </c>
      <c r="E250" t="inlineStr">
        <is>
          <t>Approved/Planned</t>
        </is>
      </c>
      <c r="F250" t="inlineStr">
        <is>
          <t>Approved entitlement; buildings already on site</t>
        </is>
      </c>
      <c r="G250" t="inlineStr">
        <is>
          <t>mixed (county application status stated; built/not-built inferred)</t>
        </is>
      </c>
      <c r="H250" t="inlineStr">
        <is>
          <t>SPEX-2013-0039</t>
        </is>
      </c>
      <c r="I250" t="inlineStr">
        <is>
          <t>SPEX-2013-0039 (Special Exception, Approved)</t>
        </is>
      </c>
      <c r="J250" t="inlineStr">
        <is>
          <t>2013-12-11</t>
        </is>
      </c>
      <c r="K250" t="inlineStr">
        <is>
          <t>251</t>
        </is>
      </c>
      <c r="L250" t="inlineStr">
        <is>
          <t>Yes</t>
        </is>
      </c>
      <c r="M250" t="inlineStr">
        <is>
          <t>PROLOGIS PARK-GATEWAY PHASE III, BLDG 8 : A special exception for data center use in the PD-IP zoning district pursuant to 4-504(A). | Approved entitlement; data center building(s) already mapped on/adjacent to site</t>
        </is>
      </c>
      <c r="N250" t="inlineStr">
        <is>
          <t>County-stated status of application(s): Approved. Built/not-built is INFERRED: 1 data center building point(s) lie on/adjacent to the application area.</t>
        </is>
      </c>
      <c r="O250" t="inlineStr">
        <is>
          <t>https://logis.loudoun.gov/gis/rest/services/Projects/LOLA_DATA/MapServer/0/query?where=PlanNumber%3D%27SPEX-2013-0039%27&amp;outFields=PlanNumber,PlanType,PlanStatus,PlanName,PlanApplicationDate,PlanDescription&amp;f=html</t>
        </is>
      </c>
      <c r="P250" t="n">
        <v>38.990501</v>
      </c>
      <c r="Q250" t="n">
        <v>-77.43711500000001</v>
      </c>
    </row>
    <row r="251">
      <c r="A251" t="n">
        <v>632</v>
      </c>
      <c r="B251" t="inlineStr">
        <is>
          <t>Loudoun</t>
        </is>
      </c>
      <c r="C251" t="inlineStr">
        <is>
          <t>DBT-DATA BEAUMEADE FAR</t>
        </is>
      </c>
      <c r="D251" t="inlineStr">
        <is>
          <t>Zoning/legislative</t>
        </is>
      </c>
      <c r="E251" t="inlineStr">
        <is>
          <t>Approved/Planned</t>
        </is>
      </c>
      <c r="F251" t="inlineStr">
        <is>
          <t>Approved, not yet built (inferred)</t>
        </is>
      </c>
      <c r="G251" t="inlineStr">
        <is>
          <t>mixed (county application status stated; built/not-built inferred)</t>
        </is>
      </c>
      <c r="H251" t="inlineStr">
        <is>
          <t>SPEX-2016-0020</t>
        </is>
      </c>
      <c r="I251" t="inlineStr">
        <is>
          <t>SPEX-2016-0020 (Special Exception, Approved)</t>
        </is>
      </c>
      <c r="J251" t="inlineStr">
        <is>
          <t>2016-04-19</t>
        </is>
      </c>
      <c r="K251" t="inlineStr"/>
      <c r="L251" t="inlineStr">
        <is>
          <t>Yes</t>
        </is>
      </c>
      <c r="M251" t="inlineStr">
        <is>
          <t>DBT-DATA BEAUMEADE FAR : A special exception to permit data center uses up to 1.0 FAR</t>
        </is>
      </c>
      <c r="N251" t="inlineStr">
        <is>
          <t>County-stated status of application(s): Approved. Built/not-built is INFERRED: no mapped data center building lies within the application area.</t>
        </is>
      </c>
      <c r="O251" t="inlineStr">
        <is>
          <t>https://logis.loudoun.gov/gis/rest/services/Projects/LOLA_DATA/MapServer/0/query?where=PlanNumber%3D%27SPEX-2016-0020%27&amp;outFields=PlanNumber,PlanType,PlanStatus,PlanName,PlanApplicationDate,PlanDescription&amp;f=html</t>
        </is>
      </c>
      <c r="P251" t="n">
        <v>39.021131</v>
      </c>
      <c r="Q251" t="n">
        <v>-77.456919</v>
      </c>
    </row>
    <row r="252">
      <c r="A252" t="n">
        <v>633</v>
      </c>
      <c r="B252" t="inlineStr">
        <is>
          <t>Loudoun</t>
        </is>
      </c>
      <c r="C252" t="inlineStr">
        <is>
          <t>21673 BEAUMEADE CIRCLE, LLC</t>
        </is>
      </c>
      <c r="D252" t="inlineStr">
        <is>
          <t>Zoning/legislative</t>
        </is>
      </c>
      <c r="E252" t="inlineStr">
        <is>
          <t>Approved/Planned</t>
        </is>
      </c>
      <c r="F252" t="inlineStr">
        <is>
          <t>Approved entitlement; buildings already on site</t>
        </is>
      </c>
      <c r="G252" t="inlineStr">
        <is>
          <t>mixed (county application status stated; built/not-built inferred)</t>
        </is>
      </c>
      <c r="H252" t="inlineStr">
        <is>
          <t>SPEX-2017-0040</t>
        </is>
      </c>
      <c r="I252" t="inlineStr">
        <is>
          <t>SPEX-2017-0040 (Special Exception, Approved); ZRTD-2017-0016 (Zoning Map Amendment, Approved)</t>
        </is>
      </c>
      <c r="J252" t="inlineStr">
        <is>
          <t>2017-12-14</t>
        </is>
      </c>
      <c r="K252" t="inlineStr">
        <is>
          <t>405</t>
        </is>
      </c>
      <c r="L252" t="inlineStr">
        <is>
          <t>Yes</t>
        </is>
      </c>
      <c r="M252" t="inlineStr">
        <is>
          <t>21673 BEAUMEADE CIRCLE, LLC : A ZRTD to convert from PDIP under the 1993 ZO to PDIP under the Revised 1993 ZO. A Special Exception to allow a FAR increase up to a 1.0 for data center use. | Approved entitlement; data center building(s) already mapped on/adjacent to site</t>
        </is>
      </c>
      <c r="N252" t="inlineStr">
        <is>
          <t>County-stated status of application(s): Approved. Built/not-built is INFERRED: 1 data center building point(s) lie on/adjacent to the application area.</t>
        </is>
      </c>
      <c r="O252" t="inlineStr">
        <is>
          <t>https://logis.loudoun.gov/gis/rest/services/Projects/LOLA_DATA/MapServer/0/query?where=PlanNumber%3D%27ZRTD-2017-0016%27&amp;outFields=PlanNumber,PlanType,PlanStatus,PlanName,PlanApplicationDate,PlanDescription&amp;f=html</t>
        </is>
      </c>
      <c r="P252" t="n">
        <v>39.018809</v>
      </c>
      <c r="Q252" t="n">
        <v>-77.45821599999999</v>
      </c>
    </row>
    <row r="253">
      <c r="A253" t="n">
        <v>634</v>
      </c>
      <c r="B253" t="inlineStr">
        <is>
          <t>Loudoun</t>
        </is>
      </c>
      <c r="C253" t="inlineStr">
        <is>
          <t>ROLLINS PROPERTY</t>
        </is>
      </c>
      <c r="D253" t="inlineStr">
        <is>
          <t>Zoning/legislative</t>
        </is>
      </c>
      <c r="E253" t="inlineStr">
        <is>
          <t>Approved/Planned</t>
        </is>
      </c>
      <c r="F253" t="inlineStr">
        <is>
          <t>Approved entitlement; buildings already on site</t>
        </is>
      </c>
      <c r="G253" t="inlineStr">
        <is>
          <t>mixed (county application status stated; built/not-built inferred)</t>
        </is>
      </c>
      <c r="H253" t="inlineStr">
        <is>
          <t>SPEX-2019-0028</t>
        </is>
      </c>
      <c r="I253" t="inlineStr">
        <is>
          <t>SPEX-2019-0028 (Special Exception, Approved)</t>
        </is>
      </c>
      <c r="J253" t="inlineStr">
        <is>
          <t>2019-07-29</t>
        </is>
      </c>
      <c r="K253" t="inlineStr">
        <is>
          <t>408, 409</t>
        </is>
      </c>
      <c r="L253" t="inlineStr">
        <is>
          <t>Yes</t>
        </is>
      </c>
      <c r="M253" t="inlineStr">
        <is>
          <t>ROLLINS PROPERTY : A Special Exception to allow a Data Center in the CLI Zoning District pursuant to Section 3-904(CC) of the Revised 1993 Loudoun County Zoning Ordinance. | Approved entitlement; data center building(s) already mapped on/adjacent to site</t>
        </is>
      </c>
      <c r="N253" t="inlineStr">
        <is>
          <t>County-stated status of application(s): Approved. Built/not-built is INFERRED: 2 data center building point(s) lie on/adjacent to the application area.</t>
        </is>
      </c>
      <c r="O253" t="inlineStr">
        <is>
          <t>https://logis.loudoun.gov/gis/rest/services/Projects/LOLA_DATA/MapServer/0/query?where=PlanNumber%3D%27SPEX-2019-0028%27&amp;outFields=PlanNumber,PlanType,PlanStatus,PlanName,PlanApplicationDate,PlanDescription&amp;f=html</t>
        </is>
      </c>
      <c r="P253" t="n">
        <v>38.915221</v>
      </c>
      <c r="Q253" t="n">
        <v>-77.49086200000001</v>
      </c>
    </row>
    <row r="254">
      <c r="A254" t="n">
        <v>635</v>
      </c>
      <c r="B254" t="inlineStr">
        <is>
          <t>Loudoun</t>
        </is>
      </c>
      <c r="C254" t="inlineStr">
        <is>
          <t>45865 MARIES RD REZONING</t>
        </is>
      </c>
      <c r="D254" t="inlineStr">
        <is>
          <t>Zoning/legislative</t>
        </is>
      </c>
      <c r="E254" t="inlineStr">
        <is>
          <t>Approved/Planned</t>
        </is>
      </c>
      <c r="F254" t="inlineStr">
        <is>
          <t>Approved entitlement; buildings already on site</t>
        </is>
      </c>
      <c r="G254" t="inlineStr">
        <is>
          <t>mixed (county application status stated; built/not-built inferred)</t>
        </is>
      </c>
      <c r="H254" t="inlineStr">
        <is>
          <t>SPEX-2021-0038</t>
        </is>
      </c>
      <c r="I254" t="inlineStr">
        <is>
          <t>SPEX-2021-0038 (Special Exception, Approved); ZMAP-2021-0014 (Zoning Map Amendment, Approved)</t>
        </is>
      </c>
      <c r="J254" t="inlineStr">
        <is>
          <t>2021-09-08</t>
        </is>
      </c>
      <c r="K254" t="inlineStr">
        <is>
          <t>466</t>
        </is>
      </c>
      <c r="L254" t="inlineStr">
        <is>
          <t>Yes</t>
        </is>
      </c>
      <c r="M254" t="inlineStr">
        <is>
          <t>45865 MARIES RD REZONING : A Zoning Map Amendment to rezone 10 acres from A-3 to PD-IP and a Special Exception to permit a maximum 1.0 FAR for data center use. | Approved entitlement; data center building(s) already mapped on/adjacent to site</t>
        </is>
      </c>
      <c r="N254" t="inlineStr">
        <is>
          <t>County-stated status of application(s): Approved. Built/not-built is INFERRED: 1 data center building point(s) lie on/adjacent to the application area.</t>
        </is>
      </c>
      <c r="O254" t="inlineStr">
        <is>
          <t>https://logis.loudoun.gov/gis/rest/services/Projects/LOLA_DATA/MapServer/0/query?where=PlanNumber%3D%27ZMAP-2021-0014%27&amp;outFields=PlanNumber,PlanType,PlanStatus,PlanName,PlanApplicationDate,PlanDescription&amp;f=html</t>
        </is>
      </c>
      <c r="P254" t="n">
        <v>39.021964</v>
      </c>
      <c r="Q254" t="n">
        <v>-77.414941</v>
      </c>
    </row>
    <row r="255">
      <c r="A255" t="n">
        <v>636</v>
      </c>
      <c r="B255" t="inlineStr">
        <is>
          <t>Loudoun</t>
        </is>
      </c>
      <c r="C255" t="inlineStr">
        <is>
          <t>1501 MORAN ROAD</t>
        </is>
      </c>
      <c r="D255" t="inlineStr">
        <is>
          <t>Zoning/legislative</t>
        </is>
      </c>
      <c r="E255" t="inlineStr">
        <is>
          <t>Approved/Planned</t>
        </is>
      </c>
      <c r="F255" t="inlineStr">
        <is>
          <t>Approved, not yet built (inferred)</t>
        </is>
      </c>
      <c r="G255" t="inlineStr">
        <is>
          <t>mixed (county application status stated; built/not-built inferred)</t>
        </is>
      </c>
      <c r="H255" t="inlineStr">
        <is>
          <t>SPEX-2021-0040</t>
        </is>
      </c>
      <c r="I255" t="inlineStr">
        <is>
          <t>SPEX-2021-0040 (Special Exception, Approved); ZRTD-2021-0008 (Zoning Map Amendment, Approved)</t>
        </is>
      </c>
      <c r="J255" t="inlineStr">
        <is>
          <t>2021-09-20</t>
        </is>
      </c>
      <c r="K255" t="inlineStr"/>
      <c r="L255" t="inlineStr">
        <is>
          <t>Yes</t>
        </is>
      </c>
      <c r="M255" t="inlineStr">
        <is>
          <t>1501 MORAN ROAD : A Zoning Conversion to convert the property to PD-IP district pursuantto the Revised 1993 Zoning Ordinance and a Special Exception to increase density to1.0 FAR considering developing with data center use.</t>
        </is>
      </c>
      <c r="N255" t="inlineStr">
        <is>
          <t>County-stated status of application(s): Approved. Built/not-built is INFERRED: no mapped data center building lies within the application area.</t>
        </is>
      </c>
      <c r="O255" t="inlineStr">
        <is>
          <t>https://logis.loudoun.gov/gis/rest/services/Projects/LOLA_DATA/MapServer/0/query?where=PlanNumber%3D%27ZRTD-2021-0008%27&amp;outFields=PlanNumber,PlanType,PlanStatus,PlanName,PlanApplicationDate,PlanDescription&amp;f=html</t>
        </is>
      </c>
      <c r="P255" t="n">
        <v>38.995049</v>
      </c>
      <c r="Q255" t="n">
        <v>-77.446133</v>
      </c>
    </row>
    <row r="256">
      <c r="A256" t="n">
        <v>637</v>
      </c>
      <c r="B256" t="inlineStr">
        <is>
          <t>Loudoun</t>
        </is>
      </c>
      <c r="C256" t="inlineStr">
        <is>
          <t>POLAND RD DATA CENTER YARD EXPANSION</t>
        </is>
      </c>
      <c r="D256" t="inlineStr">
        <is>
          <t>Zoning/legislative</t>
        </is>
      </c>
      <c r="E256" t="inlineStr">
        <is>
          <t>Approved/Planned</t>
        </is>
      </c>
      <c r="F256" t="inlineStr">
        <is>
          <t>Approved, not yet built (inferred)</t>
        </is>
      </c>
      <c r="G256" t="inlineStr">
        <is>
          <t>mixed (county application status stated; built/not-built inferred)</t>
        </is>
      </c>
      <c r="H256" t="inlineStr">
        <is>
          <t>SPEX-2021-0041</t>
        </is>
      </c>
      <c r="I256" t="inlineStr">
        <is>
          <t>SPEX-2021-0041 (Special Exception, Approved)</t>
        </is>
      </c>
      <c r="J256" t="inlineStr">
        <is>
          <t>2021-09-20</t>
        </is>
      </c>
      <c r="K256" t="inlineStr"/>
      <c r="L256" t="inlineStr">
        <is>
          <t>Yes</t>
        </is>
      </c>
      <c r="M256" t="inlineStr">
        <is>
          <t>POLAND RD DATA CENTER YARD EXPANSION : Special Exception to expand a previously approved (SPEX-2019-0028) equipment yard associated with a data center.</t>
        </is>
      </c>
      <c r="N256" t="inlineStr">
        <is>
          <t>County-stated status of application(s): Approved. Built/not-built is INFERRED: no mapped data center building lies within the application area.</t>
        </is>
      </c>
      <c r="O256" t="inlineStr">
        <is>
          <t>https://logis.loudoun.gov/gis/rest/services/Projects/LOLA_DATA/MapServer/0/query?where=PlanNumber%3D%27SPEX-2021-0041%27&amp;outFields=PlanNumber,PlanType,PlanStatus,PlanName,PlanApplicationDate,PlanDescription&amp;f=html</t>
        </is>
      </c>
      <c r="P256" t="n">
        <v>38.916034</v>
      </c>
      <c r="Q256" t="n">
        <v>-77.49109799999999</v>
      </c>
    </row>
    <row r="257">
      <c r="A257" t="n">
        <v>638</v>
      </c>
      <c r="B257" t="inlineStr">
        <is>
          <t>Loudoun</t>
        </is>
      </c>
      <c r="C257" t="inlineStr">
        <is>
          <t>VANTAGE DATA CENTER</t>
        </is>
      </c>
      <c r="D257" t="inlineStr">
        <is>
          <t>Zoning/legislative</t>
        </is>
      </c>
      <c r="E257" t="inlineStr">
        <is>
          <t>Approved/Planned</t>
        </is>
      </c>
      <c r="F257" t="inlineStr">
        <is>
          <t>Approved entitlement; buildings already on site</t>
        </is>
      </c>
      <c r="G257" t="inlineStr">
        <is>
          <t>mixed (county application status stated; built/not-built inferred)</t>
        </is>
      </c>
      <c r="H257" t="inlineStr">
        <is>
          <t>SPEX-2022-0023</t>
        </is>
      </c>
      <c r="I257" t="inlineStr">
        <is>
          <t>SPEX-2022-0023 (Special Exception, Approved); ZMAP-2022-0007 (Zoning Map Amendment, Approved)</t>
        </is>
      </c>
      <c r="J257" t="inlineStr">
        <is>
          <t>2022-04-18</t>
        </is>
      </c>
      <c r="K257" t="inlineStr">
        <is>
          <t>441, 445</t>
        </is>
      </c>
      <c r="L257" t="inlineStr">
        <is>
          <t>Yes</t>
        </is>
      </c>
      <c r="M257" t="inlineStr">
        <is>
          <t>VANTAGE DATA CENTER : A Zoning Map Amendment application to bring all seven parcels within the PD-IP district governed by the most updated version of the Revised1993 Loudoun County Zoning Ordinance. | Approved entitlement; data center building(s) already mapped on/adjacent to site</t>
        </is>
      </c>
      <c r="N257" t="inlineStr">
        <is>
          <t>County-stated status of application(s): Approved. Built/not-built is INFERRED: 2 data center building point(s) lie on/adjacent to the application area.</t>
        </is>
      </c>
      <c r="O257" t="inlineStr">
        <is>
          <t>https://logis.loudoun.gov/gis/rest/services/Projects/LOLA_DATA/MapServer/0/query?where=PlanNumber%3D%27ZMAP-2022-0007%27&amp;outFields=PlanNumber,PlanType,PlanStatus,PlanName,PlanApplicationDate,PlanDescription&amp;f=html</t>
        </is>
      </c>
      <c r="P257" t="n">
        <v>38.997768</v>
      </c>
      <c r="Q257" t="n">
        <v>-77.43002</v>
      </c>
    </row>
    <row r="258">
      <c r="A258" t="n">
        <v>639</v>
      </c>
      <c r="B258" t="inlineStr">
        <is>
          <t>Loudoun</t>
        </is>
      </c>
      <c r="C258" t="inlineStr">
        <is>
          <t>Dulles Distribution Center Phase 1 and 2</t>
        </is>
      </c>
      <c r="D258" t="inlineStr">
        <is>
          <t>Zoning/legislative</t>
        </is>
      </c>
      <c r="E258" t="inlineStr">
        <is>
          <t>Pending</t>
        </is>
      </c>
      <c r="F258" t="inlineStr">
        <is>
          <t>Pending application</t>
        </is>
      </c>
      <c r="G258" t="inlineStr">
        <is>
          <t>stated</t>
        </is>
      </c>
      <c r="H258" t="inlineStr">
        <is>
          <t>ZMAP-2024-0013</t>
        </is>
      </c>
      <c r="I258" t="inlineStr">
        <is>
          <t>ZMAP-2024-0013 (Zoning Map Amendment, In Review); SPEX-2024-0056 (Special Exception, In Review)</t>
        </is>
      </c>
      <c r="J258" t="inlineStr">
        <is>
          <t>2024-09-04</t>
        </is>
      </c>
      <c r="K258" t="inlineStr"/>
      <c r="L258" t="inlineStr">
        <is>
          <t>Yes</t>
        </is>
      </c>
      <c r="M258" t="inlineStr">
        <is>
          <t>See LEGI-2024-0039 for all documents, timeline, and workflow – DULLES DISTRIBUTION CENTER 1 &amp; 2: A Special Exception to allow data center development up to a 1.0 floor area ratio (FAR) on a 32.48-acre site.</t>
        </is>
      </c>
      <c r="N258" t="inlineStr">
        <is>
          <t>County-stated status of application(s): In Review.</t>
        </is>
      </c>
      <c r="O258" t="inlineStr">
        <is>
          <t>https://logis.loudoun.gov/gis/rest/services/Projects/LOLA_DATA/MapServer/0/query?where=PlanNumber%3D%27SPEX-2024-0056%27&amp;outFields=PlanNumber,PlanType,PlanStatus,PlanName,PlanApplicationDate,PlanDescription&amp;f=html</t>
        </is>
      </c>
      <c r="P258" t="n">
        <v>38.977889</v>
      </c>
      <c r="Q258" t="n">
        <v>-77.442348</v>
      </c>
    </row>
    <row r="259">
      <c r="A259" t="n">
        <v>640</v>
      </c>
      <c r="B259" t="inlineStr">
        <is>
          <t>Loudoun</t>
        </is>
      </c>
      <c r="C259" t="inlineStr">
        <is>
          <t>LOUDOUN WEST</t>
        </is>
      </c>
      <c r="D259" t="inlineStr">
        <is>
          <t>Zoning/legislative</t>
        </is>
      </c>
      <c r="E259" t="inlineStr">
        <is>
          <t>Approved/Planned</t>
        </is>
      </c>
      <c r="F259" t="inlineStr">
        <is>
          <t>Approved entitlement; buildings already on site</t>
        </is>
      </c>
      <c r="G259" t="inlineStr">
        <is>
          <t>mixed (county application status stated; built/not-built inferred)</t>
        </is>
      </c>
      <c r="H259" t="inlineStr">
        <is>
          <t>SPMI-2018-0016</t>
        </is>
      </c>
      <c r="I259" t="inlineStr">
        <is>
          <t>SPMI-2018-0016 (Special Exception, Approved)</t>
        </is>
      </c>
      <c r="J259" t="inlineStr">
        <is>
          <t>2018-11-07</t>
        </is>
      </c>
      <c r="K259" t="inlineStr">
        <is>
          <t>448, 449, 456, 457</t>
        </is>
      </c>
      <c r="L259" t="inlineStr">
        <is>
          <t>Yes</t>
        </is>
      </c>
      <c r="M259" t="inlineStr">
        <is>
          <t>LOUDOUN WEST : A Minor Special Exception to modify Section 5-664(D)(1), Additional regulations for data centers that require provision of sidewalks or trails along any side of a public road that abuts the property. | Approved entitlement; data center building(s) already mapped on/adjacent to site</t>
        </is>
      </c>
      <c r="N259" t="inlineStr">
        <is>
          <t>County-stated status of application(s): Approved. Built/not-built is INFERRED: 4 data center building point(s) lie on/adjacent to the application area.</t>
        </is>
      </c>
      <c r="O259" t="inlineStr">
        <is>
          <t>https://logis.loudoun.gov/gis/rest/services/Projects/LOLA_DATA/MapServer/0/query?where=PlanNumber%3D%27SPMI-2018-0016%27&amp;outFields=PlanNumber,PlanType,PlanStatus,PlanName,PlanApplicationDate,PlanDescription&amp;f=html</t>
        </is>
      </c>
      <c r="P259" t="n">
        <v>39.057147</v>
      </c>
      <c r="Q259" t="n">
        <v>-77.54690100000001</v>
      </c>
    </row>
    <row r="260">
      <c r="A260" t="n">
        <v>641</v>
      </c>
      <c r="B260" t="inlineStr">
        <is>
          <t>Loudoun</t>
        </is>
      </c>
      <c r="C260" t="inlineStr">
        <is>
          <t>EQUINIX LIGHTING</t>
        </is>
      </c>
      <c r="D260" t="inlineStr">
        <is>
          <t>Zoning/legislative</t>
        </is>
      </c>
      <c r="E260" t="inlineStr">
        <is>
          <t>Approved/Planned</t>
        </is>
      </c>
      <c r="F260" t="inlineStr">
        <is>
          <t>Approved entitlement; buildings already on site</t>
        </is>
      </c>
      <c r="G260" t="inlineStr">
        <is>
          <t>mixed (county application status stated; built/not-built inferred)</t>
        </is>
      </c>
      <c r="H260" t="inlineStr">
        <is>
          <t>SPMI-2020-0014</t>
        </is>
      </c>
      <c r="I260" t="inlineStr">
        <is>
          <t>SPMI-2020-0014 (Special Exception, Approved)</t>
        </is>
      </c>
      <c r="J260" t="inlineStr">
        <is>
          <t>2020-12-21</t>
        </is>
      </c>
      <c r="K260" t="inlineStr">
        <is>
          <t>370</t>
        </is>
      </c>
      <c r="L260" t="inlineStr">
        <is>
          <t>Yes</t>
        </is>
      </c>
      <c r="M260" t="inlineStr">
        <is>
          <t>EQUINIX LIGHTING : A Minor Special Exception to modify Section 5-664(C), Data Center, Exterior Lighting, of the Revised 1993 Loudoun County Zoning Ordinance. | Approved entitlement; data center building(s) already mapped on/adjacent to site</t>
        </is>
      </c>
      <c r="N260" t="inlineStr">
        <is>
          <t>County-stated status of application(s): Approved. Built/not-built is INFERRED: 1 data center building point(s) lie on/adjacent to the application area.</t>
        </is>
      </c>
      <c r="O260" t="inlineStr">
        <is>
          <t>https://logis.loudoun.gov/gis/rest/services/Projects/LOLA_DATA/MapServer/0/query?where=PlanNumber%3D%27SPMI-2020-0014%27&amp;outFields=PlanNumber,PlanType,PlanStatus,PlanName,PlanApplicationDate,PlanDescription&amp;f=html</t>
        </is>
      </c>
      <c r="P260" t="n">
        <v>39.011784</v>
      </c>
      <c r="Q260" t="n">
        <v>-77.454928</v>
      </c>
    </row>
    <row r="261">
      <c r="A261" t="n">
        <v>642</v>
      </c>
      <c r="B261" t="inlineStr">
        <is>
          <t>Loudoun</t>
        </is>
      </c>
      <c r="C261" t="inlineStr">
        <is>
          <t>ASHBURN CORPORATE CENTER BLDGS 5 &amp; 6</t>
        </is>
      </c>
      <c r="D261" t="inlineStr">
        <is>
          <t>Site/engineering plan</t>
        </is>
      </c>
      <c r="E261" t="inlineStr">
        <is>
          <t>Approved/Planned</t>
        </is>
      </c>
      <c r="F261" t="inlineStr">
        <is>
          <t>Approved entitlement; buildings already on site</t>
        </is>
      </c>
      <c r="G261" t="inlineStr">
        <is>
          <t>mixed (county application status stated; built/not-built inferred)</t>
        </is>
      </c>
      <c r="H261" t="inlineStr">
        <is>
          <t>STMP-2007-0001</t>
        </is>
      </c>
      <c r="I261" t="inlineStr">
        <is>
          <t>STMP-2007-0001 (Engineering Plan, Approved)</t>
        </is>
      </c>
      <c r="J261" t="inlineStr">
        <is>
          <t>2007-08-16</t>
        </is>
      </c>
      <c r="K261" t="inlineStr">
        <is>
          <t>289, 290</t>
        </is>
      </c>
      <c r="L261" t="inlineStr">
        <is>
          <t>Yes</t>
        </is>
      </c>
      <c r="M261" t="inlineStr">
        <is>
          <t>ASHBURN CORPORATE CENTER BLDGS 5 &amp; 6 : REQUEST APPROVAL OF A MODIFIED PROCESS SITE PLAN FOR A ONE-STORY DATA CENTER BUILDING (BUILDING 6) AND A TWO-STORY DATA CENTER BUILDING WITH ACCESSORY OFFICE (BUILDING 5) WITH THE ASSOCIATED PARKING AND UTILITY EXTENSIONS. er | Approved entitlement; data center building(s) already mapped on/adjacent to site</t>
        </is>
      </c>
      <c r="N261" t="inlineStr">
        <is>
          <t>County-stated status of application(s): Approved. Built/not-built is INFERRED: 2 data center building point(s) lie on/adjacent to the application area.</t>
        </is>
      </c>
      <c r="O261" t="inlineStr">
        <is>
          <t>https://logis.loudoun.gov/gis/rest/services/Projects/LOLA_DATA/MapServer/0/query?where=PlanNumber%3D%27STMP-2007-0001%27&amp;outFields=PlanNumber,PlanType,PlanStatus,PlanName,PlanApplicationDate,PlanDescription&amp;f=html</t>
        </is>
      </c>
      <c r="P261" t="n">
        <v>39.02084</v>
      </c>
      <c r="Q261" t="n">
        <v>-77.463016</v>
      </c>
    </row>
    <row r="262">
      <c r="A262" t="n">
        <v>643</v>
      </c>
      <c r="B262" t="inlineStr">
        <is>
          <t>Loudoun</t>
        </is>
      </c>
      <c r="C262" t="inlineStr">
        <is>
          <t>ASHBURN CORPORATE CENTER PHASE IV</t>
        </is>
      </c>
      <c r="D262" t="inlineStr">
        <is>
          <t>Site/engineering plan</t>
        </is>
      </c>
      <c r="E262" t="inlineStr">
        <is>
          <t>Approved/Planned</t>
        </is>
      </c>
      <c r="F262" t="inlineStr">
        <is>
          <t>Approved entitlement; buildings already on site</t>
        </is>
      </c>
      <c r="G262" t="inlineStr">
        <is>
          <t>mixed (county application status stated; built/not-built inferred)</t>
        </is>
      </c>
      <c r="H262" t="inlineStr">
        <is>
          <t>STMP-2010-0001</t>
        </is>
      </c>
      <c r="I262" t="inlineStr">
        <is>
          <t>STMP-2010-0001 (Engineering Plan, Approved)</t>
        </is>
      </c>
      <c r="J262" t="inlineStr">
        <is>
          <t>2010-07-23</t>
        </is>
      </c>
      <c r="K262" t="inlineStr">
        <is>
          <t>296</t>
        </is>
      </c>
      <c r="L262" t="inlineStr">
        <is>
          <t>Yes</t>
        </is>
      </c>
      <c r="M262" t="inlineStr">
        <is>
          <t>ASHBURN CORPORATE CENTER PHASE IV : REQUEST APPROVAL OF A SITE PLAN FOR A THREE HUNDRED THIRTEEN THOUSAND THREE HUNDRED SEVENTY FOUR (313,374) SQUARE FOOT BUILDING AND PARKING FOR A DATA CENTER. DAS "ESI REVIEW. COUNTY AWAITING ESI MINIMUM SUBMISSION VERIFICATION PRIOR TO ACCEPTANCE AND REVIEW." | Approved entitlement; data center building(s) already mapped on/adjacent to site</t>
        </is>
      </c>
      <c r="N262" t="inlineStr">
        <is>
          <t>County-stated status of application(s): Approved. Built/not-built is INFERRED: 1 data center building point(s) lie on/adjacent to the application area.</t>
        </is>
      </c>
      <c r="O262" t="inlineStr">
        <is>
          <t>https://logis.loudoun.gov/gis/rest/services/Projects/LOLA_DATA/MapServer/0/query?where=PlanNumber%3D%27STMP-2010-0001%27&amp;outFields=PlanNumber,PlanType,PlanStatus,PlanName,PlanApplicationDate,PlanDescription&amp;f=html</t>
        </is>
      </c>
      <c r="P262" t="n">
        <v>39.017398</v>
      </c>
      <c r="Q262" t="n">
        <v>-77.46592800000001</v>
      </c>
    </row>
    <row r="263">
      <c r="A263" t="n">
        <v>644</v>
      </c>
      <c r="B263" t="inlineStr">
        <is>
          <t>Loudoun</t>
        </is>
      </c>
      <c r="C263" t="inlineStr">
        <is>
          <t>ASHBURN CROSSING II</t>
        </is>
      </c>
      <c r="D263" t="inlineStr">
        <is>
          <t>Site/engineering plan</t>
        </is>
      </c>
      <c r="E263" t="inlineStr">
        <is>
          <t>Approved/Planned</t>
        </is>
      </c>
      <c r="F263" t="inlineStr">
        <is>
          <t>Approved entitlement; buildings already on site</t>
        </is>
      </c>
      <c r="G263" t="inlineStr">
        <is>
          <t>mixed (county application status stated; built/not-built inferred)</t>
        </is>
      </c>
      <c r="H263" t="inlineStr">
        <is>
          <t>STMP-2013-0001</t>
        </is>
      </c>
      <c r="I263" t="inlineStr">
        <is>
          <t>STMP-2013-0001 (Engineering Plan, Approved)</t>
        </is>
      </c>
      <c r="J263" t="inlineStr">
        <is>
          <t>2013-02-25</t>
        </is>
      </c>
      <c r="K263" t="inlineStr">
        <is>
          <t>305, 306, 307</t>
        </is>
      </c>
      <c r="L263" t="inlineStr">
        <is>
          <t>Yes</t>
        </is>
      </c>
      <c r="M263" t="inlineStr">
        <is>
          <t>ASHBURN CROSSING II : REQUEST APPROVAL OF A MODIFIED PROCESS SITE PLAN (STMP) FOR A FOUR HUNDRED THIRTY FIVE THOUSAND FIVE SQUARE FOOT (435,005) DATA CENTER RP | Approved entitlement; data center building(s) already mapped on/adjacent to site</t>
        </is>
      </c>
      <c r="N263" t="inlineStr">
        <is>
          <t>County-stated status of application(s): Approved. Built/not-built is INFERRED: 3 data center building point(s) lie on/adjacent to the application area.</t>
        </is>
      </c>
      <c r="O263" t="inlineStr">
        <is>
          <t>https://logis.loudoun.gov/gis/rest/services/Projects/LOLA_DATA/MapServer/0/query?where=PlanNumber%3D%27STMP-2013-0001%27&amp;outFields=PlanNumber,PlanType,PlanStatus,PlanName,PlanApplicationDate,PlanDescription&amp;f=html</t>
        </is>
      </c>
      <c r="P263" t="n">
        <v>39.029327</v>
      </c>
      <c r="Q263" t="n">
        <v>-77.45997699999999</v>
      </c>
    </row>
    <row r="264">
      <c r="A264" t="n">
        <v>645</v>
      </c>
      <c r="B264" t="inlineStr">
        <is>
          <t>Loudoun</t>
        </is>
      </c>
      <c r="C264" t="inlineStr">
        <is>
          <t>CYRUSONE LOUDOUN TECH CENTER</t>
        </is>
      </c>
      <c r="D264" t="inlineStr">
        <is>
          <t>Site/engineering plan</t>
        </is>
      </c>
      <c r="E264" t="inlineStr">
        <is>
          <t>Approved/Planned</t>
        </is>
      </c>
      <c r="F264" t="inlineStr">
        <is>
          <t>Approved, not yet built (inferred)</t>
        </is>
      </c>
      <c r="G264" t="inlineStr">
        <is>
          <t>mixed (county application status stated; built/not-built inferred)</t>
        </is>
      </c>
      <c r="H264" t="inlineStr">
        <is>
          <t>STMP-2014-0002</t>
        </is>
      </c>
      <c r="I264" t="inlineStr">
        <is>
          <t>STMP-2014-0002 (Engineering Plan, Approved)</t>
        </is>
      </c>
      <c r="J264" t="inlineStr">
        <is>
          <t>2014-03-04</t>
        </is>
      </c>
      <c r="K264" t="inlineStr"/>
      <c r="L264" t="inlineStr">
        <is>
          <t>Yes</t>
        </is>
      </c>
      <c r="M264" t="inlineStr">
        <is>
          <t>CYRUSONE LOUDOUN TECH CENTER : REQUEST APPROVAL OF A SITE PLAN TO CONSTRUCT A DATA CENTER/OFFICE AND ASSOCIATED INFRASTRUCTURE IN A INDUSTRIAL ZONING DISTRICT. SMK</t>
        </is>
      </c>
      <c r="N264" t="inlineStr">
        <is>
          <t>County-stated status of application(s): Approved. Built/not-built is INFERRED: no mapped data center building lies within the application area.</t>
        </is>
      </c>
      <c r="O264" t="inlineStr">
        <is>
          <t>https://logis.loudoun.gov/gis/rest/services/Projects/LOLA_DATA/MapServer/0/query?where=PlanNumber%3D%27STMP-2014-0002%27&amp;outFields=PlanNumber,PlanType,PlanStatus,PlanName,PlanApplicationDate,PlanDescription&amp;f=html</t>
        </is>
      </c>
      <c r="P264" t="n">
        <v>39.117252</v>
      </c>
      <c r="Q264" t="n">
        <v>-77.578317</v>
      </c>
    </row>
    <row r="265">
      <c r="A265" t="n">
        <v>646</v>
      </c>
      <c r="B265" t="inlineStr">
        <is>
          <t>Loudoun</t>
        </is>
      </c>
      <c r="C265" t="inlineStr">
        <is>
          <t>ICSP @ ARCOLA</t>
        </is>
      </c>
      <c r="D265" t="inlineStr">
        <is>
          <t>Site/engineering plan</t>
        </is>
      </c>
      <c r="E265" t="inlineStr">
        <is>
          <t>Approved/Planned</t>
        </is>
      </c>
      <c r="F265" t="inlineStr">
        <is>
          <t>Approved entitlement; buildings already on site</t>
        </is>
      </c>
      <c r="G265" t="inlineStr">
        <is>
          <t>mixed (county application status stated; built/not-built inferred)</t>
        </is>
      </c>
      <c r="H265" t="inlineStr">
        <is>
          <t>STMP-2015-0006</t>
        </is>
      </c>
      <c r="I265" t="inlineStr">
        <is>
          <t>STMP-2015-0006 (Engineering Plan, Approved); STMP-2021-0014 (Engineering Plan, Approved)</t>
        </is>
      </c>
      <c r="J265" t="inlineStr">
        <is>
          <t>2015-06-23</t>
        </is>
      </c>
      <c r="K265" t="inlineStr">
        <is>
          <t>318, 319, 320, 321, 322, 400</t>
        </is>
      </c>
      <c r="L265" t="inlineStr">
        <is>
          <t>Yes</t>
        </is>
      </c>
      <c r="M265" t="inlineStr">
        <is>
          <t>ICSP @ ARCOLA : REQUEST APPROVAL OFA MODIFIED PROCESS SITE PLAN (STMP) FOR A FAST TRACK SITE PLAN TO ADD A 15,000 SF DATA CENTER BUILDING, IN THE PLANNED DEVELOPMENT GENERAL INDUSTRIAL (PDGI) ZONING DISTRICT. AM | Approved entitlement; data center building(s) already mapped on/adjacent to site</t>
        </is>
      </c>
      <c r="N265" t="inlineStr">
        <is>
          <t>County-stated status of application(s): Approved. Built/not-built is INFERRED: 6 data center building point(s) lie on/adjacent to the application area.</t>
        </is>
      </c>
      <c r="O265" t="inlineStr">
        <is>
          <t>https://logis.loudoun.gov/gis/rest/services/Projects/LOLA_DATA/MapServer/0/query?where=PlanNumber%3D%27STMP-2021-0014%27&amp;outFields=PlanNumber,PlanType,PlanStatus,PlanName,PlanApplicationDate,PlanDescription&amp;f=html</t>
        </is>
      </c>
      <c r="P265" t="n">
        <v>38.948735</v>
      </c>
      <c r="Q265" t="n">
        <v>-77.52183100000001</v>
      </c>
    </row>
    <row r="266">
      <c r="A266" t="n">
        <v>647</v>
      </c>
      <c r="B266" t="inlineStr">
        <is>
          <t>Loudoun</t>
        </is>
      </c>
      <c r="C266" t="inlineStr">
        <is>
          <t>COPT PATRIOT POINT, PHASE 1A &amp; 1B</t>
        </is>
      </c>
      <c r="D266" t="inlineStr">
        <is>
          <t>Site/engineering plan</t>
        </is>
      </c>
      <c r="E266" t="inlineStr">
        <is>
          <t>Approved/Planned</t>
        </is>
      </c>
      <c r="F266" t="inlineStr">
        <is>
          <t>Approved entitlement; buildings already on site</t>
        </is>
      </c>
      <c r="G266" t="inlineStr">
        <is>
          <t>mixed (county application status stated; built/not-built inferred)</t>
        </is>
      </c>
      <c r="H266" t="inlineStr">
        <is>
          <t>STMP-2015-0008</t>
        </is>
      </c>
      <c r="I266" t="inlineStr">
        <is>
          <t>STMP-2015-0008 (Engineering Plan, Approved)</t>
        </is>
      </c>
      <c r="J266" t="inlineStr">
        <is>
          <t>2015-08-18</t>
        </is>
      </c>
      <c r="K266" t="inlineStr">
        <is>
          <t>323, 324, 328</t>
        </is>
      </c>
      <c r="L266" t="inlineStr">
        <is>
          <t>Yes</t>
        </is>
      </c>
      <c r="M266" t="inlineStr">
        <is>
          <t>COPT PATRIOT POINT, PHASE 1A &amp; 1B : REQUEST APPROVAL OF A SITE PLAN MODIFIED PROCESS (STMP) FOR THE CONSTRUCTION OF A DATA CENTER, IN CONJUNCTION WITH SBWV-2015-0007 IN THE PLANNED DEVELOPMENT-INDUSTRIAL PARK (PDIP) ZONING DISTRICT. KI | Approved entitlement; data center building(s) already mapped on/adjacent to site</t>
        </is>
      </c>
      <c r="N266" t="inlineStr">
        <is>
          <t>County-stated status of application(s): Approved. Built/not-built is INFERRED: 3 data center building point(s) lie on/adjacent to the application area.</t>
        </is>
      </c>
      <c r="O266" t="inlineStr">
        <is>
          <t>https://logis.loudoun.gov/gis/rest/services/Projects/LOLA_DATA/MapServer/0/query?where=PlanNumber%3D%27STMP-2015-0008%27&amp;outFields=PlanNumber,PlanType,PlanStatus,PlanName,PlanApplicationDate,PlanDescription&amp;f=html</t>
        </is>
      </c>
      <c r="P266" t="n">
        <v>39.026154</v>
      </c>
      <c r="Q266" t="n">
        <v>-77.451162</v>
      </c>
    </row>
    <row r="267">
      <c r="A267" t="n">
        <v>648</v>
      </c>
      <c r="B267" t="inlineStr">
        <is>
          <t>Loudoun</t>
        </is>
      </c>
      <c r="C267" t="inlineStr">
        <is>
          <t>COPT PATRIOT POINT, PHASE II</t>
        </is>
      </c>
      <c r="D267" t="inlineStr">
        <is>
          <t>Site/engineering plan</t>
        </is>
      </c>
      <c r="E267" t="inlineStr">
        <is>
          <t>Approved/Planned</t>
        </is>
      </c>
      <c r="F267" t="inlineStr">
        <is>
          <t>Approved entitlement; buildings already on site</t>
        </is>
      </c>
      <c r="G267" t="inlineStr">
        <is>
          <t>mixed (county application status stated; built/not-built inferred)</t>
        </is>
      </c>
      <c r="H267" t="inlineStr">
        <is>
          <t>STMP-2015-0010</t>
        </is>
      </c>
      <c r="I267" t="inlineStr">
        <is>
          <t>STMP-2015-0010 (Engineering Plan, Approved)</t>
        </is>
      </c>
      <c r="J267" t="inlineStr">
        <is>
          <t>2015-12-04</t>
        </is>
      </c>
      <c r="K267" t="inlineStr">
        <is>
          <t>323, 324, 328</t>
        </is>
      </c>
      <c r="L267" t="inlineStr">
        <is>
          <t>Yes</t>
        </is>
      </c>
      <c r="M267" t="inlineStr">
        <is>
          <t>COPT PATRIOT POINT, PHASE II : REQUEST APPROVAL OF A MODIFIED PROCESS SITE PLAN (STMP) FOR THE CONSTRUCTION OF A DATA CENTER, IN THE PLANNED DEVELOPMENT-INDUSTRIAL PARK (PDIP) ZONING DISTRICT. KI | Approved entitlement; data center building(s) already mapped on/adjacent to site</t>
        </is>
      </c>
      <c r="N267" t="inlineStr">
        <is>
          <t>County-stated status of application(s): Approved. Built/not-built is INFERRED: 3 data center building point(s) lie on/adjacent to the application area.</t>
        </is>
      </c>
      <c r="O267" t="inlineStr">
        <is>
          <t>https://logis.loudoun.gov/gis/rest/services/Projects/LOLA_DATA/MapServer/0/query?where=PlanNumber%3D%27STMP-2015-0010%27&amp;outFields=PlanNumber,PlanType,PlanStatus,PlanName,PlanApplicationDate,PlanDescription&amp;f=html</t>
        </is>
      </c>
      <c r="P267" t="n">
        <v>39.026154</v>
      </c>
      <c r="Q267" t="n">
        <v>-77.451162</v>
      </c>
    </row>
    <row r="268">
      <c r="A268" t="n">
        <v>649</v>
      </c>
      <c r="B268" t="inlineStr">
        <is>
          <t>Loudoun</t>
        </is>
      </c>
      <c r="C268" t="inlineStr">
        <is>
          <t>ACC-10 DATA CENTER</t>
        </is>
      </c>
      <c r="D268" t="inlineStr">
        <is>
          <t>Site/engineering plan</t>
        </is>
      </c>
      <c r="E268" t="inlineStr">
        <is>
          <t>Approved/Planned</t>
        </is>
      </c>
      <c r="F268" t="inlineStr">
        <is>
          <t>Approved entitlement; buildings already on site</t>
        </is>
      </c>
      <c r="G268" t="inlineStr">
        <is>
          <t>mixed (county application status stated; built/not-built inferred)</t>
        </is>
      </c>
      <c r="H268" t="inlineStr">
        <is>
          <t>STMP-2016-0007</t>
        </is>
      </c>
      <c r="I268" t="inlineStr">
        <is>
          <t>STMP-2016-0007 (Engineering Plan, Approved)</t>
        </is>
      </c>
      <c r="J268" t="inlineStr">
        <is>
          <t>2016-11-14</t>
        </is>
      </c>
      <c r="K268" t="inlineStr">
        <is>
          <t>341</t>
        </is>
      </c>
      <c r="L268" t="inlineStr">
        <is>
          <t>Yes</t>
        </is>
      </c>
      <c r="M268" t="inlineStr">
        <is>
          <t>ACC-10 DATA CENTER : REQUEST APPROVAL OF A MODIFIED SITE PLAN (STMP) FOR THE DESIGN OF A TWO HUNDRED EIGHTY-EIGHT THOUSAND FOUR HUNDRED THREE (288,403) SQUARE FOOT DATA CENTER BUILDING AND ASSOCIATED PARKING, UTILITIES, AND INFRASTRUCTURE, IN THE PLANNED DEVELOPMENT-OFFICE PARK (PDOP) ZONING DISTRIC | Approved entitlement; data center building(s) already mapped on/adjacent to site</t>
        </is>
      </c>
      <c r="N268" t="inlineStr">
        <is>
          <t>County-stated status of application(s): Approved. Built/not-built is INFERRED: 1 data center building point(s) lie on/adjacent to the application area.</t>
        </is>
      </c>
      <c r="O268" t="inlineStr">
        <is>
          <t>https://logis.loudoun.gov/gis/rest/services/Projects/LOLA_DATA/MapServer/0/query?where=PlanNumber%3D%27STMP-2016-0007%27&amp;outFields=PlanNumber,PlanType,PlanStatus,PlanName,PlanApplicationDate,PlanDescription&amp;f=html</t>
        </is>
      </c>
      <c r="P268" t="n">
        <v>39.013296</v>
      </c>
      <c r="Q268" t="n">
        <v>-77.46558899999999</v>
      </c>
    </row>
    <row r="269">
      <c r="A269" t="n">
        <v>650</v>
      </c>
      <c r="B269" t="inlineStr">
        <is>
          <t>Loudoun</t>
        </is>
      </c>
      <c r="C269" t="inlineStr">
        <is>
          <t>TRUE NORTH DATA PH 1</t>
        </is>
      </c>
      <c r="D269" t="inlineStr">
        <is>
          <t>Site/engineering plan</t>
        </is>
      </c>
      <c r="E269" t="inlineStr">
        <is>
          <t>Approved/Planned</t>
        </is>
      </c>
      <c r="F269" t="inlineStr">
        <is>
          <t>Approved entitlement; buildings already on site</t>
        </is>
      </c>
      <c r="G269" t="inlineStr">
        <is>
          <t>mixed (county application status stated; built/not-built inferred)</t>
        </is>
      </c>
      <c r="H269" t="inlineStr">
        <is>
          <t>STMP-2017-0009</t>
        </is>
      </c>
      <c r="I269" t="inlineStr">
        <is>
          <t>STMP-2017-0009 (Engineering Plan, Approved)</t>
        </is>
      </c>
      <c r="J269" t="inlineStr">
        <is>
          <t>2017-08-28</t>
        </is>
      </c>
      <c r="K269" t="inlineStr">
        <is>
          <t>351, 352, 353, 354, 444</t>
        </is>
      </c>
      <c r="L269" t="inlineStr">
        <is>
          <t>Yes</t>
        </is>
      </c>
      <c r="M269" t="inlineStr">
        <is>
          <t>TRUE NORTH DATA PH 1 : REQUEST APPROVAL OF A MODIFIED PROCESS SITE PLAN (STMP) TO DEVELOP AN OFFICE PARK FOR A DATA CENTER WITH ASSOCIATED UTILITIES, IN THE TRANSITIONAL RESIDENTIAL-10 (TR10) ZONING DISTRICT. HV | Approved entitlement; data center building(s) already mapped on/adjacent to site</t>
        </is>
      </c>
      <c r="N269" t="inlineStr">
        <is>
          <t>County-stated status of application(s): Approved. Built/not-built is INFERRED: 5 data center building point(s) lie on/adjacent to the application area.</t>
        </is>
      </c>
      <c r="O269" t="inlineStr">
        <is>
          <t>https://logis.loudoun.gov/gis/rest/services/Projects/LOLA_DATA/MapServer/0/query?where=PlanNumber%3D%27STMP-2017-0009%27&amp;outFields=PlanNumber,PlanType,PlanStatus,PlanName,PlanApplicationDate,PlanDescription&amp;f=html</t>
        </is>
      </c>
      <c r="P269" t="n">
        <v>39.043762</v>
      </c>
      <c r="Q269" t="n">
        <v>-77.537139</v>
      </c>
    </row>
    <row r="270">
      <c r="A270" t="n">
        <v>651</v>
      </c>
      <c r="B270" t="inlineStr">
        <is>
          <t>Loudoun</t>
        </is>
      </c>
      <c r="C270" t="inlineStr">
        <is>
          <t>LOUDOUN CENTER RHINO PH 1</t>
        </is>
      </c>
      <c r="D270" t="inlineStr">
        <is>
          <t>Site/engineering plan</t>
        </is>
      </c>
      <c r="E270" t="inlineStr">
        <is>
          <t>Approved/Planned</t>
        </is>
      </c>
      <c r="F270" t="inlineStr">
        <is>
          <t>Approved, not yet built (inferred)</t>
        </is>
      </c>
      <c r="G270" t="inlineStr">
        <is>
          <t>mixed (county application status stated; built/not-built inferred)</t>
        </is>
      </c>
      <c r="H270" t="inlineStr">
        <is>
          <t>STMP-2017-0013</t>
        </is>
      </c>
      <c r="I270" t="inlineStr">
        <is>
          <t>STMP-2017-0013 (Engineering Plan, Approved)</t>
        </is>
      </c>
      <c r="J270" t="inlineStr">
        <is>
          <t>2017-12-01</t>
        </is>
      </c>
      <c r="K270" t="inlineStr"/>
      <c r="L270" t="inlineStr">
        <is>
          <t>Yes</t>
        </is>
      </c>
      <c r="M270" t="inlineStr">
        <is>
          <t>LOUDOUN CENTER RHINO PH 1 : REQUEST APPROVAL OF A MODIFIED PROCESS SITE PLAN (STMP) FOR THE CONSTRUCTION OF A TWO STORY DATA CENTER BUILDING AND ASSOCIATED INFRASTRUCTURE, IN THE PLANNED DEVELOPMENT- OFFICE PARK (PDOP) ZONING DISTRICT. HV</t>
        </is>
      </c>
      <c r="N270" t="inlineStr">
        <is>
          <t>County-stated status of application(s): Approved. Built/not-built is INFERRED: no mapped data center building lies within the application area.</t>
        </is>
      </c>
      <c r="O270" t="inlineStr">
        <is>
          <t>https://logis.loudoun.gov/gis/rest/services/Projects/LOLA_DATA/MapServer/0/query?where=PlanNumber%3D%27STMP-2017-0013%27&amp;outFields=PlanNumber,PlanType,PlanStatus,PlanName,PlanApplicationDate,PlanDescription&amp;f=html</t>
        </is>
      </c>
      <c r="P270" t="n">
        <v>39.117252</v>
      </c>
      <c r="Q270" t="n">
        <v>-77.578317</v>
      </c>
    </row>
    <row r="271">
      <c r="A271" t="n">
        <v>652</v>
      </c>
      <c r="B271" t="inlineStr">
        <is>
          <t>Loudoun</t>
        </is>
      </c>
      <c r="C271" t="inlineStr">
        <is>
          <t>ASHBURN NEXUS</t>
        </is>
      </c>
      <c r="D271" t="inlineStr">
        <is>
          <t>Site/engineering plan</t>
        </is>
      </c>
      <c r="E271" t="inlineStr">
        <is>
          <t>Approved/Planned</t>
        </is>
      </c>
      <c r="F271" t="inlineStr">
        <is>
          <t>Approved, not yet built (inferred)</t>
        </is>
      </c>
      <c r="G271" t="inlineStr">
        <is>
          <t>mixed (county application status stated; built/not-built inferred)</t>
        </is>
      </c>
      <c r="H271" t="inlineStr">
        <is>
          <t>STMP-2018-0001</t>
        </is>
      </c>
      <c r="I271" t="inlineStr">
        <is>
          <t>STMP-2018-0001 (Engineering Plan, Approved)</t>
        </is>
      </c>
      <c r="J271" t="inlineStr">
        <is>
          <t>2018-01-05</t>
        </is>
      </c>
      <c r="K271" t="inlineStr"/>
      <c r="L271" t="inlineStr">
        <is>
          <t>Yes</t>
        </is>
      </c>
      <c r="M271" t="inlineStr">
        <is>
          <t>ASHBURN NEXUS : REQUEST APPROVAL OF A SITE PLAN MODIFIED PROCESS (STMP) FOR THE CONSTRUCTION OF A ONE HUNDRED SIXTY FIVE THOUSAND SQUARE FOOT OF DATA CENTER, OFFICE FLOOR AREA, INCLUDING INFRASTRUCTURE, UTILITIES IN A PLANNED DEVELOPMENT OFFICE PARK (PDOP) ZONING DISTRICT. SMK</t>
        </is>
      </c>
      <c r="N271" t="inlineStr">
        <is>
          <t>County-stated status of application(s): Approved. Built/not-built is INFERRED: no mapped data center building lies within the application area.</t>
        </is>
      </c>
      <c r="O271" t="inlineStr">
        <is>
          <t>https://logis.loudoun.gov/gis/rest/services/Projects/LOLA_DATA/MapServer/0/query?where=PlanNumber%3D%27STMP-2018-0001%27&amp;outFields=PlanNumber,PlanType,PlanStatus,PlanName,PlanApplicationDate,PlanDescription&amp;f=html</t>
        </is>
      </c>
      <c r="P271" t="n">
        <v>39.117252</v>
      </c>
      <c r="Q271" t="n">
        <v>-77.578317</v>
      </c>
    </row>
    <row r="272">
      <c r="A272" t="n">
        <v>653</v>
      </c>
      <c r="B272" t="inlineStr">
        <is>
          <t>Loudoun</t>
        </is>
      </c>
      <c r="C272" t="inlineStr">
        <is>
          <t>LOUDOUN CENTER LT 1 ASH 2</t>
        </is>
      </c>
      <c r="D272" t="inlineStr">
        <is>
          <t>Site/engineering plan</t>
        </is>
      </c>
      <c r="E272" t="inlineStr">
        <is>
          <t>Approved/Planned</t>
        </is>
      </c>
      <c r="F272" t="inlineStr">
        <is>
          <t>Approved entitlement; buildings already on site</t>
        </is>
      </c>
      <c r="G272" t="inlineStr">
        <is>
          <t>mixed (county application status stated; built/not-built inferred)</t>
        </is>
      </c>
      <c r="H272" t="inlineStr">
        <is>
          <t>STMP-2018-0003</t>
        </is>
      </c>
      <c r="I272" t="inlineStr">
        <is>
          <t>STMP-2018-0003 (Engineering Plan, Approved)</t>
        </is>
      </c>
      <c r="J272" t="inlineStr">
        <is>
          <t>2018-02-09</t>
        </is>
      </c>
      <c r="K272" t="inlineStr">
        <is>
          <t>355, 366</t>
        </is>
      </c>
      <c r="L272" t="inlineStr">
        <is>
          <t>Yes</t>
        </is>
      </c>
      <c r="M272" t="inlineStr">
        <is>
          <t>LOUDOUN CENTER LT 1 ASH 2 : REQUEST APPROVAL OF A MODIFIED PROCESS SITE PLAN (STMP) FOR THE CONSTRUCTION OF A ONE STORY DATA CENTER BUILDING AND ASSOCIATED INFRASTRUCTURE, IN THE PLANNED DEVELOPMENT- OFFICE PARK (PDOP) ZONING DISTRICT. HV | Approved entitlement; data center building(s) already mapped on/adjacent to site</t>
        </is>
      </c>
      <c r="N272" t="inlineStr">
        <is>
          <t>County-stated status of application(s): Approved. Built/not-built is INFERRED: 2 data center building point(s) lie on/adjacent to the application area.</t>
        </is>
      </c>
      <c r="O272" t="inlineStr">
        <is>
          <t>https://logis.loudoun.gov/gis/rest/services/Projects/LOLA_DATA/MapServer/0/query?where=PlanNumber%3D%27STMP-2018-0003%27&amp;outFields=PlanNumber,PlanType,PlanStatus,PlanName,PlanApplicationDate,PlanDescription&amp;f=html</t>
        </is>
      </c>
      <c r="P272" t="n">
        <v>39.011389</v>
      </c>
      <c r="Q272" t="n">
        <v>-77.463318</v>
      </c>
    </row>
    <row r="273">
      <c r="A273" t="n">
        <v>654</v>
      </c>
      <c r="B273" t="inlineStr">
        <is>
          <t>Loudoun</t>
        </is>
      </c>
      <c r="C273" t="inlineStr">
        <is>
          <t>PROJECT KALE</t>
        </is>
      </c>
      <c r="D273" t="inlineStr">
        <is>
          <t>Site/engineering plan</t>
        </is>
      </c>
      <c r="E273" t="inlineStr">
        <is>
          <t>Approved/Planned</t>
        </is>
      </c>
      <c r="F273" t="inlineStr">
        <is>
          <t>Approved entitlement; buildings already on site</t>
        </is>
      </c>
      <c r="G273" t="inlineStr">
        <is>
          <t>mixed (county application status stated; built/not-built inferred)</t>
        </is>
      </c>
      <c r="H273" t="inlineStr">
        <is>
          <t>STMP-2018-0007</t>
        </is>
      </c>
      <c r="I273" t="inlineStr">
        <is>
          <t>STMP-2018-0007 (Engineering Plan, Approved)</t>
        </is>
      </c>
      <c r="J273" t="inlineStr">
        <is>
          <t>2018-04-16</t>
        </is>
      </c>
      <c r="K273" t="inlineStr">
        <is>
          <t>365, 373, 374</t>
        </is>
      </c>
      <c r="L273" t="inlineStr">
        <is>
          <t>Yes</t>
        </is>
      </c>
      <c r="M273" t="inlineStr">
        <is>
          <t>PROJECT KALE : REQUEST APPROVAL OF A SITE PLAN MODIFIED PROCESS (STMP) FOR A TWO HUNDRED EIGHTY EIGHT THOUSAND (288,000) SQUARE FOOT DATA CENTER IN A PLANNED DEVELOPMENT INDUSTRIAL PARK (PDIP) ZONING DISTRICT. SMK | Approved entitlement; data center building(s) already mapped on/adjacent to site</t>
        </is>
      </c>
      <c r="N273" t="inlineStr">
        <is>
          <t>County-stated status of application(s): Approved. Built/not-built is INFERRED: 3 data center building point(s) lie on/adjacent to the application area.</t>
        </is>
      </c>
      <c r="O273" t="inlineStr">
        <is>
          <t>https://logis.loudoun.gov/gis/rest/services/Projects/LOLA_DATA/MapServer/0/query?where=PlanNumber%3D%27STMP-2018-0007%27&amp;outFields=PlanNumber,PlanType,PlanStatus,PlanName,PlanApplicationDate,PlanDescription&amp;f=html</t>
        </is>
      </c>
      <c r="P273" t="n">
        <v>39.05193</v>
      </c>
      <c r="Q273" t="n">
        <v>-77.536203</v>
      </c>
    </row>
    <row r="274">
      <c r="A274" t="n">
        <v>655</v>
      </c>
      <c r="B274" t="inlineStr">
        <is>
          <t>Loudoun</t>
        </is>
      </c>
      <c r="C274" t="inlineStr">
        <is>
          <t>DIGITAL LOUDOUN IV BRODERICK</t>
        </is>
      </c>
      <c r="D274" t="inlineStr">
        <is>
          <t>Site/engineering plan</t>
        </is>
      </c>
      <c r="E274" t="inlineStr">
        <is>
          <t>Approved/Planned</t>
        </is>
      </c>
      <c r="F274" t="inlineStr">
        <is>
          <t>Approved, not yet built (inferred)</t>
        </is>
      </c>
      <c r="G274" t="inlineStr">
        <is>
          <t>mixed (county application status stated; built/not-built inferred)</t>
        </is>
      </c>
      <c r="H274" t="inlineStr">
        <is>
          <t>STMP-2018-0011</t>
        </is>
      </c>
      <c r="I274" t="inlineStr">
        <is>
          <t>STMP-2018-0011 (Engineering Plan, Approved)</t>
        </is>
      </c>
      <c r="J274" t="inlineStr">
        <is>
          <t>2018-08-03</t>
        </is>
      </c>
      <c r="K274" t="inlineStr"/>
      <c r="L274" t="inlineStr">
        <is>
          <t>Yes</t>
        </is>
      </c>
      <c r="M274" t="inlineStr">
        <is>
          <t>DIGITAL LOUDOUN IV BRODERICK : REQUEST APPROVAL OF A MODIFIED PROCESS SITE PLAN (STMP) FOR THE CONSTRUCTION OF DATA CENTER FACILITIES AND ASSOCIATED INFRASTRUCTURE AND UTILITIES, IN THE PLANNED DEVELOPMENT- INDUSTRIAL PARK (PDIP) ZONING DISTRICT. HV</t>
        </is>
      </c>
      <c r="N274" t="inlineStr">
        <is>
          <t>County-stated status of application(s): Approved. Built/not-built is INFERRED: no mapped data center building lies within the application area.</t>
        </is>
      </c>
      <c r="O274" t="inlineStr">
        <is>
          <t>https://logis.loudoun.gov/gis/rest/services/Projects/LOLA_DATA/MapServer/0/query?where=PlanNumber%3D%27STMP-2018-0011%27&amp;outFields=PlanNumber,PlanType,PlanStatus,PlanName,PlanApplicationDate,PlanDescription&amp;f=html</t>
        </is>
      </c>
      <c r="P274" t="n">
        <v>39.117252</v>
      </c>
      <c r="Q274" t="n">
        <v>-77.578317</v>
      </c>
    </row>
    <row r="275">
      <c r="A275" t="n">
        <v>656</v>
      </c>
      <c r="B275" t="inlineStr">
        <is>
          <t>Loudoun</t>
        </is>
      </c>
      <c r="C275" t="inlineStr">
        <is>
          <t>QUANTUM PARK, CENTURION AT</t>
        </is>
      </c>
      <c r="D275" t="inlineStr">
        <is>
          <t>Site/engineering plan</t>
        </is>
      </c>
      <c r="E275" t="inlineStr">
        <is>
          <t>Approved/Planned</t>
        </is>
      </c>
      <c r="F275" t="inlineStr">
        <is>
          <t>Approved entitlement; buildings already on site</t>
        </is>
      </c>
      <c r="G275" t="inlineStr">
        <is>
          <t>mixed (county application status stated; built/not-built inferred)</t>
        </is>
      </c>
      <c r="H275" t="inlineStr">
        <is>
          <t>STMP-2018-0012</t>
        </is>
      </c>
      <c r="I275" t="inlineStr">
        <is>
          <t>STMP-2018-0012 (Engineering Plan, Approved)</t>
        </is>
      </c>
      <c r="J275" t="inlineStr">
        <is>
          <t>2018-08-06</t>
        </is>
      </c>
      <c r="K275" t="inlineStr">
        <is>
          <t>267, 371, 372</t>
        </is>
      </c>
      <c r="L275" t="inlineStr">
        <is>
          <t>Yes</t>
        </is>
      </c>
      <c r="M275" t="inlineStr">
        <is>
          <t>QUANTUM PARK, CENTURION AT : REQUEST APPROVAL OF A SITE PLAN MODIFIED PROCESS (STMP) FOR THE PROPOSED DATA CENTER BUILDINGS WITH SUPPORTIVE OFFICES, MECHANICAL YARDS, ASSOCIATED PARKING AND INFRASTRUCTURE IN A PLANNED DEVELOPMENT OFFICE PARK (PDOP) ZONING DISTRICT. SMK | Approved entitlement; data center building(s) already mapped on/adjacent to site</t>
        </is>
      </c>
      <c r="N275" t="inlineStr">
        <is>
          <t>County-stated status of application(s): Approved. Built/not-built is INFERRED: 3 data center building point(s) lie on/adjacent to the application area.</t>
        </is>
      </c>
      <c r="O275" t="inlineStr">
        <is>
          <t>https://logis.loudoun.gov/gis/rest/services/Projects/LOLA_DATA/MapServer/0/query?where=PlanNumber%3D%27STMP-2018-0012%27&amp;outFields=PlanNumber,PlanType,PlanStatus,PlanName,PlanApplicationDate,PlanDescription&amp;f=html</t>
        </is>
      </c>
      <c r="P275" t="n">
        <v>39.010895</v>
      </c>
      <c r="Q275" t="n">
        <v>-77.47086</v>
      </c>
    </row>
    <row r="276">
      <c r="A276" t="n">
        <v>657</v>
      </c>
      <c r="B276" t="inlineStr">
        <is>
          <t>Loudoun</t>
        </is>
      </c>
      <c r="C276" t="inlineStr">
        <is>
          <t>LOUDOUN CENTER LC1B DATA CENTER</t>
        </is>
      </c>
      <c r="D276" t="inlineStr">
        <is>
          <t>Site/engineering plan</t>
        </is>
      </c>
      <c r="E276" t="inlineStr">
        <is>
          <t>Approved/Planned</t>
        </is>
      </c>
      <c r="F276" t="inlineStr">
        <is>
          <t>Approved entitlement; buildings already on site</t>
        </is>
      </c>
      <c r="G276" t="inlineStr">
        <is>
          <t>mixed (county application status stated; built/not-built inferred)</t>
        </is>
      </c>
      <c r="H276" t="inlineStr">
        <is>
          <t>STMP-2018-0013</t>
        </is>
      </c>
      <c r="I276" t="inlineStr">
        <is>
          <t>STMP-2018-0013 (Engineering Plan, Approved)</t>
        </is>
      </c>
      <c r="J276" t="inlineStr">
        <is>
          <t>2018-09-14</t>
        </is>
      </c>
      <c r="K276" t="inlineStr">
        <is>
          <t>355</t>
        </is>
      </c>
      <c r="L276" t="inlineStr">
        <is>
          <t>Yes</t>
        </is>
      </c>
      <c r="M276" t="inlineStr">
        <is>
          <t>LOUDOUN CENTER LC1B DATA CENTER : REQUEST APPROVAL OF A MODIFIED PROCESS SITE PLAN (STMP) FOR THE CONSTRUCTION OF A TWO STORY DATA CENTER BUILDING AND ASSOCIATED INFRASTRUCTURE, IN THE PLANNED DEVELOPMENT- OFFICE PARK (PDOP) ZONING DISTRICT. HV | Approved entitlement; data center building(s) already mapped on/adjacent to site</t>
        </is>
      </c>
      <c r="N276" t="inlineStr">
        <is>
          <t>County-stated status of application(s): Approved. Built/not-built is INFERRED: 1 data center building point(s) lie on/adjacent to the application area.</t>
        </is>
      </c>
      <c r="O276" t="inlineStr">
        <is>
          <t>https://logis.loudoun.gov/gis/rest/services/Projects/LOLA_DATA/MapServer/0/query?where=PlanNumber%3D%27STMP-2018-0013%27&amp;outFields=PlanNumber,PlanType,PlanStatus,PlanName,PlanApplicationDate,PlanDescription&amp;f=html</t>
        </is>
      </c>
      <c r="P276" t="n">
        <v>39.010287</v>
      </c>
      <c r="Q276" t="n">
        <v>-77.46306300000001</v>
      </c>
    </row>
    <row r="277">
      <c r="A277" t="n">
        <v>658</v>
      </c>
      <c r="B277" t="inlineStr">
        <is>
          <t>Loudoun</t>
        </is>
      </c>
      <c r="C277" t="inlineStr">
        <is>
          <t>Q.R.</t>
        </is>
      </c>
      <c r="D277" t="inlineStr">
        <is>
          <t>Site/engineering plan</t>
        </is>
      </c>
      <c r="E277" t="inlineStr">
        <is>
          <t>Approved/Planned</t>
        </is>
      </c>
      <c r="F277" t="inlineStr">
        <is>
          <t>Approved, not yet built (inferred)</t>
        </is>
      </c>
      <c r="G277" t="inlineStr">
        <is>
          <t>mixed (county application status stated; built/not-built inferred)</t>
        </is>
      </c>
      <c r="H277" t="inlineStr">
        <is>
          <t>STMP-2018-0015</t>
        </is>
      </c>
      <c r="I277" t="inlineStr">
        <is>
          <t>STMP-2018-0015 (Engineering Plan, Approved)</t>
        </is>
      </c>
      <c r="J277" t="inlineStr">
        <is>
          <t>2018-10-24</t>
        </is>
      </c>
      <c r="K277" t="inlineStr"/>
      <c r="L277" t="inlineStr">
        <is>
          <t>Yes</t>
        </is>
      </c>
      <c r="M277" t="inlineStr">
        <is>
          <t>Q.R. : REQUEST APPROVAL OF A MODIFIED PROCESS SITE PLAN (STMP) FOR FOUR (4) DATA CENTERS AND GUARDHOUSE WITH ASSOCIATED INFRASTRUCTURE, IN THE PLANNED DEVELOPMENT- INDUSTRIAL PARK (PDIP) AND SINGLE FAMILY RESIDENTIAL-1 (R1) ZONING DISTRICTS. HV</t>
        </is>
      </c>
      <c r="N277" t="inlineStr">
        <is>
          <t>County-stated status of application(s): Approved. Built/not-built is INFERRED: no mapped data center building lies within the application area.</t>
        </is>
      </c>
      <c r="O277" t="inlineStr">
        <is>
          <t>https://logis.loudoun.gov/gis/rest/services/Projects/LOLA_DATA/MapServer/0/query?where=PlanNumber%3D%27STMP-2018-0015%27&amp;outFields=PlanNumber,PlanType,PlanStatus,PlanName,PlanApplicationDate,PlanDescription&amp;f=html</t>
        </is>
      </c>
      <c r="P277" t="n">
        <v>39.117252</v>
      </c>
      <c r="Q277" t="n">
        <v>-77.578317</v>
      </c>
    </row>
    <row r="278">
      <c r="A278" t="n">
        <v>659</v>
      </c>
      <c r="B278" t="inlineStr">
        <is>
          <t>Loudoun</t>
        </is>
      </c>
      <c r="C278" t="inlineStr">
        <is>
          <t>TRUE NORTH DATA PH 2A</t>
        </is>
      </c>
      <c r="D278" t="inlineStr">
        <is>
          <t>Site/engineering plan</t>
        </is>
      </c>
      <c r="E278" t="inlineStr">
        <is>
          <t>Approved/Planned</t>
        </is>
      </c>
      <c r="F278" t="inlineStr">
        <is>
          <t>Approved, not yet built (inferred)</t>
        </is>
      </c>
      <c r="G278" t="inlineStr">
        <is>
          <t>mixed (county application status stated; built/not-built inferred)</t>
        </is>
      </c>
      <c r="H278" t="inlineStr">
        <is>
          <t>STMP-2018-0017</t>
        </is>
      </c>
      <c r="I278" t="inlineStr">
        <is>
          <t>STMP-2018-0017 (Engineering Plan, Approved)</t>
        </is>
      </c>
      <c r="J278" t="inlineStr">
        <is>
          <t>2018-11-30</t>
        </is>
      </c>
      <c r="K278" t="inlineStr"/>
      <c r="L278" t="inlineStr">
        <is>
          <t>Yes</t>
        </is>
      </c>
      <c r="M278" t="inlineStr">
        <is>
          <t>TRUE NORTH DATA PH 2A : REQUEST APPROVAL OF A MODIFIED PROCESS SITE PLAN (STMP) FOR THE CONSTRUCTION OF THREE (3) DATA CENTER BUILDINGS AND ASSOCIATED INFRASTRUCTURE, IN THE PLANNED DEVELOPMENT- OFFICE PARK (PDOP) ZONING DISTRICT. HV</t>
        </is>
      </c>
      <c r="N278" t="inlineStr">
        <is>
          <t>County-stated status of application(s): Approved. Built/not-built is INFERRED: no mapped data center building lies within the application area.</t>
        </is>
      </c>
      <c r="O278" t="inlineStr">
        <is>
          <t>https://logis.loudoun.gov/gis/rest/services/Projects/LOLA_DATA/MapServer/0/query?where=PlanNumber%3D%27STMP-2018-0017%27&amp;outFields=PlanNumber,PlanType,PlanStatus,PlanName,PlanApplicationDate,PlanDescription&amp;f=html</t>
        </is>
      </c>
      <c r="P278" t="n">
        <v>39.117252</v>
      </c>
      <c r="Q278" t="n">
        <v>-77.578317</v>
      </c>
    </row>
    <row r="279">
      <c r="A279" t="n">
        <v>660</v>
      </c>
      <c r="B279" t="inlineStr">
        <is>
          <t>Loudoun</t>
        </is>
      </c>
      <c r="C279" t="inlineStr">
        <is>
          <t>DULLES HIGHPOINT PH 1</t>
        </is>
      </c>
      <c r="D279" t="inlineStr">
        <is>
          <t>Site/engineering plan</t>
        </is>
      </c>
      <c r="E279" t="inlineStr">
        <is>
          <t>Approved/Planned</t>
        </is>
      </c>
      <c r="F279" t="inlineStr">
        <is>
          <t>Approved entitlement; buildings already on site</t>
        </is>
      </c>
      <c r="G279" t="inlineStr">
        <is>
          <t>mixed (county application status stated; built/not-built inferred)</t>
        </is>
      </c>
      <c r="H279" t="inlineStr">
        <is>
          <t>STMP-2018-0019</t>
        </is>
      </c>
      <c r="I279" t="inlineStr">
        <is>
          <t>STMP-2018-0019 (Engineering Plan, Approved)</t>
        </is>
      </c>
      <c r="J279" t="inlineStr">
        <is>
          <t>2018-12-14</t>
        </is>
      </c>
      <c r="K279" t="inlineStr">
        <is>
          <t>383, 389</t>
        </is>
      </c>
      <c r="L279" t="inlineStr">
        <is>
          <t>Yes</t>
        </is>
      </c>
      <c r="M279" t="inlineStr">
        <is>
          <t>DULLES HIGHPOINT PH 1 : REQUEST APPROVAL OF A MODIFIED PROCESS SITE PLAN (STMP) FOR THE CONSTRUCTION OF ONE (1) DATA CENTER, ONE (1) FLEX WAREHOUSE, AND ASSOCIATED INFRASTRUCTURE, IN THE PLANNED DEVELOPMENT- INDUSTRIAL PARK(PDIP) AND PLANNED DEVELOPMENT- RESEARCH AND DEVELOMPENT PARK (PDRDP) ZONING  | Approved entitlement; data center building(s) already mapped on/adjacent to site</t>
        </is>
      </c>
      <c r="N279" t="inlineStr">
        <is>
          <t>County-stated status of application(s): Approved. Built/not-built is INFERRED: 2 data center building point(s) lie on/adjacent to the application area.</t>
        </is>
      </c>
      <c r="O279" t="inlineStr">
        <is>
          <t>https://logis.loudoun.gov/gis/rest/services/Projects/LOLA_DATA/MapServer/0/query?where=PlanNumber%3D%27STMP-2018-0019%27&amp;outFields=PlanNumber,PlanType,PlanStatus,PlanName,PlanApplicationDate,PlanDescription&amp;f=html</t>
        </is>
      </c>
      <c r="P279" t="n">
        <v>38.996448</v>
      </c>
      <c r="Q279" t="n">
        <v>-77.435669</v>
      </c>
    </row>
    <row r="280">
      <c r="A280" t="n">
        <v>661</v>
      </c>
      <c r="B280" t="inlineStr">
        <is>
          <t>Loudoun</t>
        </is>
      </c>
      <c r="C280" t="inlineStr">
        <is>
          <t>KINCORA CYRUSONE LB Q PH 3</t>
        </is>
      </c>
      <c r="D280" t="inlineStr">
        <is>
          <t>Site/engineering plan</t>
        </is>
      </c>
      <c r="E280" t="inlineStr">
        <is>
          <t>Approved/Planned</t>
        </is>
      </c>
      <c r="F280" t="inlineStr">
        <is>
          <t>Approved, not yet built (inferred)</t>
        </is>
      </c>
      <c r="G280" t="inlineStr">
        <is>
          <t>mixed (county application status stated; built/not-built inferred)</t>
        </is>
      </c>
      <c r="H280" t="inlineStr">
        <is>
          <t>STMP-2019-0001</t>
        </is>
      </c>
      <c r="I280" t="inlineStr">
        <is>
          <t>STMP-2019-0001 (Engineering Plan, Approved)</t>
        </is>
      </c>
      <c r="J280" t="inlineStr">
        <is>
          <t>2019-01-14</t>
        </is>
      </c>
      <c r="K280" t="inlineStr"/>
      <c r="L280" t="inlineStr">
        <is>
          <t>Yes</t>
        </is>
      </c>
      <c r="M280" t="inlineStr">
        <is>
          <t>KINCORA CYRUSONE LB Q PH 3 : REQUEST APPROVAL OF A MODIFIED PROCESS SITE PLAN (STMP) FOR A THREE-STORY DATA CENTER FACILITY, ASSOCIATED ROADWAY, PARKING LOT, ANDUTILITY IMPROVEMENTS, IN THE PLANNED DEVELOPMENT- MIXED USE BUSINESS (PDMUB) ZONING DISTRICT. HV</t>
        </is>
      </c>
      <c r="N280" t="inlineStr">
        <is>
          <t>County-stated status of application(s): Approved. Built/not-built is INFERRED: no mapped data center building lies within the application area.</t>
        </is>
      </c>
      <c r="O280" t="inlineStr">
        <is>
          <t>https://logis.loudoun.gov/gis/rest/services/Projects/LOLA_DATA/MapServer/0/query?where=PlanNumber%3D%27STMP-2019-0001%27&amp;outFields=PlanNumber,PlanType,PlanStatus,PlanName,PlanApplicationDate,PlanDescription&amp;f=html</t>
        </is>
      </c>
      <c r="P280" t="n">
        <v>39.117252</v>
      </c>
      <c r="Q280" t="n">
        <v>-77.578317</v>
      </c>
    </row>
    <row r="281">
      <c r="A281" t="n">
        <v>662</v>
      </c>
      <c r="B281" t="inlineStr">
        <is>
          <t>Loudoun</t>
        </is>
      </c>
      <c r="C281" t="inlineStr">
        <is>
          <t>TRUE NORTH DATA PH 2B</t>
        </is>
      </c>
      <c r="D281" t="inlineStr">
        <is>
          <t>Site/engineering plan</t>
        </is>
      </c>
      <c r="E281" t="inlineStr">
        <is>
          <t>Approved/Planned</t>
        </is>
      </c>
      <c r="F281" t="inlineStr">
        <is>
          <t>Approved, not yet built (inferred)</t>
        </is>
      </c>
      <c r="G281" t="inlineStr">
        <is>
          <t>mixed (county application status stated; built/not-built inferred)</t>
        </is>
      </c>
      <c r="H281" t="inlineStr">
        <is>
          <t>STMP-2019-0002</t>
        </is>
      </c>
      <c r="I281" t="inlineStr">
        <is>
          <t>STMP-2019-0002 (Engineering Plan, Approved)</t>
        </is>
      </c>
      <c r="J281" t="inlineStr">
        <is>
          <t>2019-02-01</t>
        </is>
      </c>
      <c r="K281" t="inlineStr"/>
      <c r="L281" t="inlineStr">
        <is>
          <t>Yes</t>
        </is>
      </c>
      <c r="M281" t="inlineStr">
        <is>
          <t>**APPROVAL sent 6/3/19** TRUE NORTH DATA PH 2B : REQUEST APPROVAL OF A MODIFIED PROCESS SITE PLAN (STMP) FOR THE CONSTRUCTION OF THREE (3) DATA CENTER BUILDINGS AND ASSOCIATED UTILITIES, IN THE PLANNED DEVELOPMENT- OFFICE PARK (PDOP) ZONING DISTRICT. HV</t>
        </is>
      </c>
      <c r="N281" t="inlineStr">
        <is>
          <t>County-stated status of application(s): Approved. Built/not-built is INFERRED: no mapped data center building lies within the application area.</t>
        </is>
      </c>
      <c r="O281" t="inlineStr">
        <is>
          <t>https://logis.loudoun.gov/gis/rest/services/Projects/LOLA_DATA/MapServer/0/query?where=PlanNumber%3D%27STMP-2019-0002%27&amp;outFields=PlanNumber,PlanType,PlanStatus,PlanName,PlanApplicationDate,PlanDescription&amp;f=html</t>
        </is>
      </c>
      <c r="P281" t="n">
        <v>39.117252</v>
      </c>
      <c r="Q281" t="n">
        <v>-77.578317</v>
      </c>
    </row>
    <row r="282">
      <c r="A282" t="n">
        <v>663</v>
      </c>
      <c r="B282" t="inlineStr">
        <is>
          <t>Loudoun</t>
        </is>
      </c>
      <c r="C282" t="inlineStr">
        <is>
          <t>WATERSIDE - LANDBAY A-1</t>
        </is>
      </c>
      <c r="D282" t="inlineStr">
        <is>
          <t>Site/engineering plan</t>
        </is>
      </c>
      <c r="E282" t="inlineStr">
        <is>
          <t>Approved/Planned</t>
        </is>
      </c>
      <c r="F282" t="inlineStr">
        <is>
          <t>Approved entitlement; buildings already on site</t>
        </is>
      </c>
      <c r="G282" t="inlineStr">
        <is>
          <t>mixed (county application status stated; built/not-built inferred)</t>
        </is>
      </c>
      <c r="H282" t="inlineStr">
        <is>
          <t>STMP-2019-0003</t>
        </is>
      </c>
      <c r="I282" t="inlineStr">
        <is>
          <t>STMP-2019-0003 (Engineering Plan, Approved)</t>
        </is>
      </c>
      <c r="J282" t="inlineStr">
        <is>
          <t>2019-02-06</t>
        </is>
      </c>
      <c r="K282" t="inlineStr">
        <is>
          <t>385, 386, 397, 415, 416, 433</t>
        </is>
      </c>
      <c r="L282" t="inlineStr">
        <is>
          <t>Yes</t>
        </is>
      </c>
      <c r="M282" t="inlineStr">
        <is>
          <t>WATERSIDE - LANDBAY A-1 : REQUEST APPROVAL OF A MODIFIED PROCESS SITE PLAN (STMP) FOR THE CONSTRUCTION OF TWO (2) SINGLE-STORY DATA CENTERS AND ASSOCIATED SITE,GRADING, AND UTILITY IMPROVEMENTS, IN THE PLANNED DEVELOPMENT- INDUSTRIAL PARK (PDIP) AND PLANNED DEVELOPMENT- COMMERCIAL CENTER (SMALL REGI | Approved entitlement; data center building(s) already mapped on/adjacent to site</t>
        </is>
      </c>
      <c r="N282" t="inlineStr">
        <is>
          <t>County-stated status of application(s): Approved. Built/not-built is INFERRED: 6 data center building point(s) lie on/adjacent to the application area.</t>
        </is>
      </c>
      <c r="O282" t="inlineStr">
        <is>
          <t>https://logis.loudoun.gov/gis/rest/services/Projects/LOLA_DATA/MapServer/0/query?where=PlanNumber%3D%27STMP-2019-0003%27&amp;outFields=PlanNumber,PlanType,PlanStatus,PlanName,PlanApplicationDate,PlanDescription&amp;f=html</t>
        </is>
      </c>
      <c r="P282" t="n">
        <v>38.981964</v>
      </c>
      <c r="Q282" t="n">
        <v>-77.417224</v>
      </c>
    </row>
    <row r="283">
      <c r="A283" t="n">
        <v>664</v>
      </c>
      <c r="B283" t="inlineStr">
        <is>
          <t>Loudoun</t>
        </is>
      </c>
      <c r="C283" t="inlineStr">
        <is>
          <t>DULLES HIGHPOINT PH II</t>
        </is>
      </c>
      <c r="D283" t="inlineStr">
        <is>
          <t>Site/engineering plan</t>
        </is>
      </c>
      <c r="E283" t="inlineStr">
        <is>
          <t>Approved/Planned</t>
        </is>
      </c>
      <c r="F283" t="inlineStr">
        <is>
          <t>Approved entitlement; buildings already on site</t>
        </is>
      </c>
      <c r="G283" t="inlineStr">
        <is>
          <t>mixed (county application status stated; built/not-built inferred)</t>
        </is>
      </c>
      <c r="H283" t="inlineStr">
        <is>
          <t>STMP-2019-0008</t>
        </is>
      </c>
      <c r="I283" t="inlineStr">
        <is>
          <t>STMP-2019-0008 (Engineering Plan, Approved)</t>
        </is>
      </c>
      <c r="J283" t="inlineStr">
        <is>
          <t>2019-05-30</t>
        </is>
      </c>
      <c r="K283" t="inlineStr">
        <is>
          <t>383, 389</t>
        </is>
      </c>
      <c r="L283" t="inlineStr">
        <is>
          <t>Yes</t>
        </is>
      </c>
      <c r="M283" t="inlineStr">
        <is>
          <t>DULLES HIGHPOINT PH II : REQUEST APPROVAL OF A MODIFIED PROCESS SITE PLAN (STMP) FOR THE CONSTRUCTION OF TWO (2) DATA CENTERS, FLEX WAREHOUSE, AND ASSOCIATED INFRASTRUCTURE, IN THE PLANNED DEVELOPMENT- INDUSTRIAL PARK (PDIP) ZONING DISTRICT. HV | Approved entitlement; data center building(s) already mapped on/adjacent to site</t>
        </is>
      </c>
      <c r="N283" t="inlineStr">
        <is>
          <t>County-stated status of application(s): Approved. Built/not-built is INFERRED: 2 data center building point(s) lie on/adjacent to the application area.</t>
        </is>
      </c>
      <c r="O283" t="inlineStr">
        <is>
          <t>https://logis.loudoun.gov/gis/rest/services/Projects/LOLA_DATA/MapServer/0/query?where=PlanNumber%3D%27STMP-2019-0008%27&amp;outFields=PlanNumber,PlanType,PlanStatus,PlanName,PlanApplicationDate,PlanDescription&amp;f=html</t>
        </is>
      </c>
      <c r="P283" t="n">
        <v>38.996448</v>
      </c>
      <c r="Q283" t="n">
        <v>-77.435669</v>
      </c>
    </row>
    <row r="284">
      <c r="A284" t="n">
        <v>665</v>
      </c>
      <c r="B284" t="inlineStr">
        <is>
          <t>Loudoun</t>
        </is>
      </c>
      <c r="C284" t="inlineStr">
        <is>
          <t>DULLES NORTH INDUSTRIAL PARK-LOT4</t>
        </is>
      </c>
      <c r="D284" t="inlineStr">
        <is>
          <t>Site/engineering plan</t>
        </is>
      </c>
      <c r="E284" t="inlineStr">
        <is>
          <t>Approved/Planned</t>
        </is>
      </c>
      <c r="F284" t="inlineStr">
        <is>
          <t>Approved entitlement; buildings already on site</t>
        </is>
      </c>
      <c r="G284" t="inlineStr">
        <is>
          <t>mixed (county application status stated; built/not-built inferred)</t>
        </is>
      </c>
      <c r="H284" t="inlineStr">
        <is>
          <t>STMP-2019-0009</t>
        </is>
      </c>
      <c r="I284" t="inlineStr">
        <is>
          <t>STMP-2019-0009 (Engineering Plan, Approved)</t>
        </is>
      </c>
      <c r="J284" t="inlineStr">
        <is>
          <t>2019-07-25</t>
        </is>
      </c>
      <c r="K284" t="inlineStr">
        <is>
          <t>367, 368, 465</t>
        </is>
      </c>
      <c r="L284" t="inlineStr">
        <is>
          <t>Yes</t>
        </is>
      </c>
      <c r="M284" t="inlineStr">
        <is>
          <t>DULLES NORTH INDUSTRIAL PARK-LOT4 : REQUEST APPROVAL OF A MODIFIED PROCESS SITE PLAN (STMP) FOR THE CONSTRUCTION OF ONE, TWO-STORY 212,960 SQUARE FOOT DATA CENTER AND ASSOCIATED SITE, GRADING, AND UTILITY IMPROVEMENTS, IN THE PLANNED DEVELOPMENT-INDUSTRIAL PARK (PDIP) ZONING DISTRICT. ACOLE | Approved entitlement; data center building(s) already mapped on/adjacent to site</t>
        </is>
      </c>
      <c r="N284" t="inlineStr">
        <is>
          <t>County-stated status of application(s): Approved. Built/not-built is INFERRED: 3 data center building point(s) lie on/adjacent to the application area.</t>
        </is>
      </c>
      <c r="O284" t="inlineStr">
        <is>
          <t>https://logis.loudoun.gov/gis/rest/services/Projects/LOLA_DATA/MapServer/0/query?where=PlanNumber%3D%27STMP-2019-0009%27&amp;outFields=PlanNumber,PlanType,PlanStatus,PlanName,PlanApplicationDate,PlanDescription&amp;f=html</t>
        </is>
      </c>
      <c r="P284" t="n">
        <v>39.023699</v>
      </c>
      <c r="Q284" t="n">
        <v>-77.41909699999999</v>
      </c>
    </row>
    <row r="285">
      <c r="A285" t="n">
        <v>666</v>
      </c>
      <c r="B285" t="inlineStr">
        <is>
          <t>Loudoun</t>
        </is>
      </c>
      <c r="C285" t="inlineStr">
        <is>
          <t>IAD01</t>
        </is>
      </c>
      <c r="D285" t="inlineStr">
        <is>
          <t>Site/engineering plan</t>
        </is>
      </c>
      <c r="E285" t="inlineStr">
        <is>
          <t>Approved/Planned</t>
        </is>
      </c>
      <c r="F285" t="inlineStr">
        <is>
          <t>Approved entitlement; buildings already on site</t>
        </is>
      </c>
      <c r="G285" t="inlineStr">
        <is>
          <t>mixed (county application status stated; built/not-built inferred)</t>
        </is>
      </c>
      <c r="H285" t="inlineStr">
        <is>
          <t>STMP-2019-0010</t>
        </is>
      </c>
      <c r="I285" t="inlineStr">
        <is>
          <t>STMP-2019-0010 (Engineering Plan, Approved)</t>
        </is>
      </c>
      <c r="J285" t="inlineStr">
        <is>
          <t>2019-10-18</t>
        </is>
      </c>
      <c r="K285" t="inlineStr">
        <is>
          <t>345, 391, 392, 421, 422, 443, 451</t>
        </is>
      </c>
      <c r="L285" t="inlineStr">
        <is>
          <t>Yes</t>
        </is>
      </c>
      <c r="M285" t="inlineStr">
        <is>
          <t>IAD01 : REQUEST APPROVAL FOR A MODIFIED PROCESS SITE PLAN (STMP) FOR TWO (2) DATA CENTER BUILDINGS WITH ASSOCIATED INFRASTRUCTURE, IN THE PLANNED DEVELOPMENT- INDUSTRIAL PARK (PDIP) ZONING DISTRICT. HV | Approved entitlement; data center building(s) already mapped on/adjacent to site</t>
        </is>
      </c>
      <c r="N285" t="inlineStr">
        <is>
          <t>County-stated status of application(s): Approved. Built/not-built is INFERRED: 7 data center building point(s) lie on/adjacent to the application area.</t>
        </is>
      </c>
      <c r="O285" t="inlineStr">
        <is>
          <t>https://logis.loudoun.gov/gis/rest/services/Projects/LOLA_DATA/MapServer/0/query?where=PlanNumber%3D%27STMP-2019-0010%27&amp;outFields=PlanNumber,PlanType,PlanStatus,PlanName,PlanApplicationDate,PlanDescription&amp;f=html</t>
        </is>
      </c>
      <c r="P285" t="n">
        <v>39.062372</v>
      </c>
      <c r="Q285" t="n">
        <v>-77.55427299999999</v>
      </c>
    </row>
    <row r="286">
      <c r="A286" t="n">
        <v>667</v>
      </c>
      <c r="B286" t="inlineStr">
        <is>
          <t>Loudoun</t>
        </is>
      </c>
      <c r="C286" t="inlineStr">
        <is>
          <t>SDC ASHBURN I</t>
        </is>
      </c>
      <c r="D286" t="inlineStr">
        <is>
          <t>Site/engineering plan</t>
        </is>
      </c>
      <c r="E286" t="inlineStr">
        <is>
          <t>Approved/Planned</t>
        </is>
      </c>
      <c r="F286" t="inlineStr">
        <is>
          <t>Approved entitlement; buildings already on site</t>
        </is>
      </c>
      <c r="G286" t="inlineStr">
        <is>
          <t>mixed (county application status stated; built/not-built inferred)</t>
        </is>
      </c>
      <c r="H286" t="inlineStr">
        <is>
          <t>STMP-2019-0011</t>
        </is>
      </c>
      <c r="I286" t="inlineStr">
        <is>
          <t>STMP-2019-0011 (Engineering Plan, Approved)</t>
        </is>
      </c>
      <c r="J286" t="inlineStr">
        <is>
          <t>2019-11-12</t>
        </is>
      </c>
      <c r="K286" t="inlineStr">
        <is>
          <t>394, 395, 396</t>
        </is>
      </c>
      <c r="L286" t="inlineStr">
        <is>
          <t>Yes</t>
        </is>
      </c>
      <c r="M286" t="inlineStr">
        <is>
          <t>SDC ASHBURN I : REQUEST APPROVAL OF A MODIFIED PROCESS SITE PLAN (STMP) FOR FOUR (4) DATA CENTERS, ONE (1) GUARD HOUSE, AND ASSOCIATED STRUCTURES, IN THE PLANNED DEVELOPMENT- OFFICE PARK (PDOP) ZONING DISTRICT. HV | Approved entitlement; data center building(s) already mapped on/adjacent to site</t>
        </is>
      </c>
      <c r="N286" t="inlineStr">
        <is>
          <t>County-stated status of application(s): Approved. Built/not-built is INFERRED: 3 data center building point(s) lie on/adjacent to the application area.</t>
        </is>
      </c>
      <c r="O286" t="inlineStr">
        <is>
          <t>https://logis.loudoun.gov/gis/rest/services/Projects/LOLA_DATA/MapServer/0/query?where=PlanNumber%3D%27STMP-2019-0011%27&amp;outFields=PlanNumber,PlanType,PlanStatus,PlanName,PlanApplicationDate,PlanDescription&amp;f=html</t>
        </is>
      </c>
      <c r="P286" t="n">
        <v>38.996093</v>
      </c>
      <c r="Q286" t="n">
        <v>-77.471906</v>
      </c>
    </row>
    <row r="287">
      <c r="A287" t="n">
        <v>668</v>
      </c>
      <c r="B287" t="inlineStr">
        <is>
          <t>Loudoun</t>
        </is>
      </c>
      <c r="C287" t="inlineStr">
        <is>
          <t>WATERSIDE SITE PLAN LANDBAY B</t>
        </is>
      </c>
      <c r="D287" t="inlineStr">
        <is>
          <t>Site/engineering plan</t>
        </is>
      </c>
      <c r="E287" t="inlineStr">
        <is>
          <t>Approved/Planned</t>
        </is>
      </c>
      <c r="F287" t="inlineStr">
        <is>
          <t>Approved entitlement; buildings already on site</t>
        </is>
      </c>
      <c r="G287" t="inlineStr">
        <is>
          <t>mixed (county application status stated; built/not-built inferred)</t>
        </is>
      </c>
      <c r="H287" t="inlineStr">
        <is>
          <t>STMP-2019-0014</t>
        </is>
      </c>
      <c r="I287" t="inlineStr">
        <is>
          <t>STMP-2019-0014 (Engineering Plan, Approved)</t>
        </is>
      </c>
      <c r="J287" t="inlineStr">
        <is>
          <t>2019-12-23</t>
        </is>
      </c>
      <c r="K287" t="inlineStr">
        <is>
          <t>385, 386, 397, 415, 416, 433</t>
        </is>
      </c>
      <c r="L287" t="inlineStr">
        <is>
          <t>Yes</t>
        </is>
      </c>
      <c r="M287" t="inlineStr">
        <is>
          <t>WATERSIDE SITE PLAN LANDBAY B : REQUEST APPROVAL FOR A SITE PLAN (STPL) FOR THE CONSTRUCTION OF ONE (1) 15,000 S.F. SINGLE-STORY DATA CENTER AND ASSOCIATED GRADING, AND UTILITY IMPROVEMENTS, IN THE PLANNED DEVELOPMENT INDUSTRIAL PARK (PDIP) AND PLANNED DEVELOPMENT- COMMERCIAL CENTER (SMALL REGIONAL  | Approved entitlement; data center building(s) already mapped on/adjacent to site</t>
        </is>
      </c>
      <c r="N287" t="inlineStr">
        <is>
          <t>County-stated status of application(s): Approved. Built/not-built is INFERRED: 6 data center building point(s) lie on/adjacent to the application area.</t>
        </is>
      </c>
      <c r="O287" t="inlineStr">
        <is>
          <t>https://logis.loudoun.gov/gis/rest/services/Projects/LOLA_DATA/MapServer/0/query?where=PlanNumber%3D%27STMP-2019-0014%27&amp;outFields=PlanNumber,PlanType,PlanStatus,PlanName,PlanApplicationDate,PlanDescription&amp;f=html</t>
        </is>
      </c>
      <c r="P287" t="n">
        <v>38.981964</v>
      </c>
      <c r="Q287" t="n">
        <v>-77.417224</v>
      </c>
    </row>
    <row r="288">
      <c r="A288" t="n">
        <v>669</v>
      </c>
      <c r="B288" t="inlineStr">
        <is>
          <t>Loudoun</t>
        </is>
      </c>
      <c r="C288" t="inlineStr">
        <is>
          <t>ASH 3 SHELLHORN DC 1</t>
        </is>
      </c>
      <c r="D288" t="inlineStr">
        <is>
          <t>Site/engineering plan</t>
        </is>
      </c>
      <c r="E288" t="inlineStr">
        <is>
          <t>Approved/Planned</t>
        </is>
      </c>
      <c r="F288" t="inlineStr">
        <is>
          <t>Approved, not yet built (inferred)</t>
        </is>
      </c>
      <c r="G288" t="inlineStr">
        <is>
          <t>mixed (county application status stated; built/not-built inferred)</t>
        </is>
      </c>
      <c r="H288" t="inlineStr">
        <is>
          <t>STMP-2020-0005</t>
        </is>
      </c>
      <c r="I288" t="inlineStr">
        <is>
          <t>STMP-2020-0005 (Engineering Plan, Approved)</t>
        </is>
      </c>
      <c r="J288" t="inlineStr">
        <is>
          <t>2020-04-10</t>
        </is>
      </c>
      <c r="K288" t="inlineStr"/>
      <c r="L288" t="inlineStr">
        <is>
          <t>Yes</t>
        </is>
      </c>
      <c r="M288" t="inlineStr">
        <is>
          <t>ASH 3 SHELLHORN DC 1 : REQUEST APPROVAL OF A MODIFIED PROCESS SITE PLAN (STMP) FOR A PROPOSEDDATA CENTER USE, IN THE PLANNED DEVELOPMENT- OFFICE PARK (PDOP) ZONINGDISTRICT. HV</t>
        </is>
      </c>
      <c r="N288" t="inlineStr">
        <is>
          <t>County-stated status of application(s): Approved. Built/not-built is INFERRED: no mapped data center building lies within the application area.</t>
        </is>
      </c>
      <c r="O288" t="inlineStr">
        <is>
          <t>https://logis.loudoun.gov/gis/rest/services/Projects/LOLA_DATA/MapServer/0/query?where=PlanNumber%3D%27STMP-2020-0005%27&amp;outFields=PlanNumber,PlanType,PlanStatus,PlanName,PlanApplicationDate,PlanDescription&amp;f=html</t>
        </is>
      </c>
      <c r="P288" t="n">
        <v>39.117252</v>
      </c>
      <c r="Q288" t="n">
        <v>-77.578317</v>
      </c>
    </row>
    <row r="289">
      <c r="A289" t="n">
        <v>670</v>
      </c>
      <c r="B289" t="inlineStr">
        <is>
          <t>Loudoun</t>
        </is>
      </c>
      <c r="C289" t="inlineStr">
        <is>
          <t>EDGECORE DULLES</t>
        </is>
      </c>
      <c r="D289" t="inlineStr">
        <is>
          <t>Site/engineering plan</t>
        </is>
      </c>
      <c r="E289" t="inlineStr">
        <is>
          <t>Approved/Planned</t>
        </is>
      </c>
      <c r="F289" t="inlineStr">
        <is>
          <t>Approved, not yet built (inferred)</t>
        </is>
      </c>
      <c r="G289" t="inlineStr">
        <is>
          <t>mixed (county application status stated; built/not-built inferred)</t>
        </is>
      </c>
      <c r="H289" t="inlineStr">
        <is>
          <t>STMP-2020-0007</t>
        </is>
      </c>
      <c r="I289" t="inlineStr">
        <is>
          <t>STMP-2020-0007 (Engineering Plan, Approved)</t>
        </is>
      </c>
      <c r="J289" t="inlineStr">
        <is>
          <t>2020-05-22</t>
        </is>
      </c>
      <c r="K289" t="inlineStr"/>
      <c r="L289" t="inlineStr">
        <is>
          <t>Yes</t>
        </is>
      </c>
      <c r="M289" t="inlineStr">
        <is>
          <t>EDGECORE DULLES : REQUEST APPROVAL OF A MODIFIED PROCESS SITE PLAN (STMP) FOR THREE ONE STORY DATA CENTER BUILDINGS, IN THE PLANNED DEVELOPMENT OFFICE PARK (PDOP) ZONING DISTRICT. AM</t>
        </is>
      </c>
      <c r="N289" t="inlineStr">
        <is>
          <t>County-stated status of application(s): Approved. Built/not-built is INFERRED: no mapped data center building lies within the application area.</t>
        </is>
      </c>
      <c r="O289" t="inlineStr">
        <is>
          <t>https://logis.loudoun.gov/gis/rest/services/Projects/LOLA_DATA/MapServer/0/query?where=PlanNumber%3D%27STMP-2020-0007%27&amp;outFields=PlanNumber,PlanType,PlanStatus,PlanName,PlanApplicationDate,PlanDescription&amp;f=html</t>
        </is>
      </c>
      <c r="P289" t="n">
        <v>39.117252</v>
      </c>
      <c r="Q289" t="n">
        <v>-77.578317</v>
      </c>
    </row>
    <row r="290">
      <c r="A290" t="n">
        <v>671</v>
      </c>
      <c r="B290" t="inlineStr">
        <is>
          <t>Loudoun</t>
        </is>
      </c>
      <c r="C290" t="inlineStr">
        <is>
          <t>BEAUMEADE PROPERTIES</t>
        </is>
      </c>
      <c r="D290" t="inlineStr">
        <is>
          <t>Site/engineering plan</t>
        </is>
      </c>
      <c r="E290" t="inlineStr">
        <is>
          <t>Approved/Planned</t>
        </is>
      </c>
      <c r="F290" t="inlineStr">
        <is>
          <t>Approved, not yet built (inferred)</t>
        </is>
      </c>
      <c r="G290" t="inlineStr">
        <is>
          <t>mixed (county application status stated; built/not-built inferred)</t>
        </is>
      </c>
      <c r="H290" t="inlineStr">
        <is>
          <t>STMP-2020-0009</t>
        </is>
      </c>
      <c r="I290" t="inlineStr">
        <is>
          <t>STMP-2020-0009 (Engineering Plan, Approved)</t>
        </is>
      </c>
      <c r="J290" t="inlineStr">
        <is>
          <t>2020-06-12</t>
        </is>
      </c>
      <c r="K290" t="inlineStr"/>
      <c r="L290" t="inlineStr">
        <is>
          <t>Yes</t>
        </is>
      </c>
      <c r="M290" t="inlineStr">
        <is>
          <t>BEAUMEADE PROPERTIES : REQUEST APPROVAL OF A MODIFIED PROCESS SITE PLAN (STMP) TO CONSTRUCT TWO DATA CENTERS AND ASSOCIATED INFRASTRUCTURE, IN THE PLANNED DEVELOPMENT INDUSTRIAL PARK (PDIP)ZONING DISTRICT. NS</t>
        </is>
      </c>
      <c r="N290" t="inlineStr">
        <is>
          <t>County-stated status of application(s): Approved. Built/not-built is INFERRED: no mapped data center building lies within the application area.</t>
        </is>
      </c>
      <c r="O290" t="inlineStr">
        <is>
          <t>https://logis.loudoun.gov/gis/rest/services/Projects/LOLA_DATA/MapServer/0/query?where=PlanNumber%3D%27STMP-2020-0009%27&amp;outFields=PlanNumber,PlanType,PlanStatus,PlanName,PlanApplicationDate,PlanDescription&amp;f=html</t>
        </is>
      </c>
      <c r="P290" t="n">
        <v>39.117252</v>
      </c>
      <c r="Q290" t="n">
        <v>-77.578317</v>
      </c>
    </row>
    <row r="291">
      <c r="A291" t="n">
        <v>672</v>
      </c>
      <c r="B291" t="inlineStr">
        <is>
          <t>Loudoun</t>
        </is>
      </c>
      <c r="C291" t="inlineStr">
        <is>
          <t>WATERSIDE LB B</t>
        </is>
      </c>
      <c r="D291" t="inlineStr">
        <is>
          <t>Site/engineering plan</t>
        </is>
      </c>
      <c r="E291" t="inlineStr">
        <is>
          <t>Approved/Planned</t>
        </is>
      </c>
      <c r="F291" t="inlineStr">
        <is>
          <t>Approved entitlement; buildings already on site</t>
        </is>
      </c>
      <c r="G291" t="inlineStr">
        <is>
          <t>mixed (county application status stated; built/not-built inferred)</t>
        </is>
      </c>
      <c r="H291" t="inlineStr">
        <is>
          <t>STMP-2020-0017</t>
        </is>
      </c>
      <c r="I291" t="inlineStr">
        <is>
          <t>STMP-2020-0017 (Engineering Plan, Approved)</t>
        </is>
      </c>
      <c r="J291" t="inlineStr">
        <is>
          <t>2020-12-15</t>
        </is>
      </c>
      <c r="K291" t="inlineStr">
        <is>
          <t>385, 386, 397, 415, 416, 433</t>
        </is>
      </c>
      <c r="L291" t="inlineStr">
        <is>
          <t>Yes</t>
        </is>
      </c>
      <c r="M291" t="inlineStr">
        <is>
          <t>WATERSIDE LB B : REQUEST APPROVAL OF A MODIFIED PROCESS SITE PLAN (STMP) FOR THE CONSTRUCTION OF A TWO (2) TWO-STORY DATA CENTERS AND ASSOCIATED GRADING AND UTILITY IMPROVEMENTS, IN THE PLANNED DEVELOPMENT- INDUSTRIAL PARK (PDIP) ZONING DISTRICT. HV | Approved entitlement; data center building(s) already mapped on/adjacent to site</t>
        </is>
      </c>
      <c r="N291" t="inlineStr">
        <is>
          <t>County-stated status of application(s): Approved. Built/not-built is INFERRED: 6 data center building point(s) lie on/adjacent to the application area.</t>
        </is>
      </c>
      <c r="O291" t="inlineStr">
        <is>
          <t>https://logis.loudoun.gov/gis/rest/services/Projects/LOLA_DATA/MapServer/0/query?where=PlanNumber%3D%27STMP-2020-0017%27&amp;outFields=PlanNumber,PlanType,PlanStatus,PlanName,PlanApplicationDate,PlanDescription&amp;f=html</t>
        </is>
      </c>
      <c r="P291" t="n">
        <v>38.981964</v>
      </c>
      <c r="Q291" t="n">
        <v>-77.417224</v>
      </c>
    </row>
    <row r="292">
      <c r="A292" t="n">
        <v>673</v>
      </c>
      <c r="B292" t="inlineStr">
        <is>
          <t>Loudoun</t>
        </is>
      </c>
      <c r="C292" t="inlineStr">
        <is>
          <t>IAD 02</t>
        </is>
      </c>
      <c r="D292" t="inlineStr">
        <is>
          <t>Site/engineering plan</t>
        </is>
      </c>
      <c r="E292" t="inlineStr">
        <is>
          <t>Approved/Planned</t>
        </is>
      </c>
      <c r="F292" t="inlineStr">
        <is>
          <t>Approved entitlement; buildings already on site</t>
        </is>
      </c>
      <c r="G292" t="inlineStr">
        <is>
          <t>mixed (county application status stated; built/not-built inferred)</t>
        </is>
      </c>
      <c r="H292" t="inlineStr">
        <is>
          <t>STMP-2020-0018</t>
        </is>
      </c>
      <c r="I292" t="inlineStr">
        <is>
          <t>STMP-2020-0018 (Engineering Plan, Approved)</t>
        </is>
      </c>
      <c r="J292" t="inlineStr">
        <is>
          <t>2020-12-21</t>
        </is>
      </c>
      <c r="K292" t="inlineStr">
        <is>
          <t>345, 391, 392, 421, 422, 443, 451</t>
        </is>
      </c>
      <c r="L292" t="inlineStr">
        <is>
          <t>Yes</t>
        </is>
      </c>
      <c r="M292" t="inlineStr">
        <is>
          <t>IAD 02 : REQUEST APPROVAL OF A MODIFIED PROCESS SITE PLAN (STMP) FOR THE CONSTRUCTION OF TWO DATA CENTER BUILDINGS, IN THE PLANNED DEVELOPMENT INDUSTRIAL PARK (PDIP) ZONING DISTRICT. AM | Approved entitlement; data center building(s) already mapped on/adjacent to site</t>
        </is>
      </c>
      <c r="N292" t="inlineStr">
        <is>
          <t>County-stated status of application(s): Approved. Built/not-built is INFERRED: 7 data center building point(s) lie on/adjacent to the application area.</t>
        </is>
      </c>
      <c r="O292" t="inlineStr">
        <is>
          <t>https://logis.loudoun.gov/gis/rest/services/Projects/LOLA_DATA/MapServer/0/query?where=PlanNumber%3D%27STMP-2020-0018%27&amp;outFields=PlanNumber,PlanType,PlanStatus,PlanName,PlanApplicationDate,PlanDescription&amp;f=html</t>
        </is>
      </c>
      <c r="P292" t="n">
        <v>39.062372</v>
      </c>
      <c r="Q292" t="n">
        <v>-77.55427299999999</v>
      </c>
    </row>
    <row r="293">
      <c r="A293" t="n">
        <v>674</v>
      </c>
      <c r="B293" t="inlineStr">
        <is>
          <t>Loudoun</t>
        </is>
      </c>
      <c r="C293" t="inlineStr">
        <is>
          <t>ASH 1- BRODERICK DC 2</t>
        </is>
      </c>
      <c r="D293" t="inlineStr">
        <is>
          <t>Site/engineering plan</t>
        </is>
      </c>
      <c r="E293" t="inlineStr">
        <is>
          <t>Approved/Planned</t>
        </is>
      </c>
      <c r="F293" t="inlineStr">
        <is>
          <t>Approved, not yet built (inferred)</t>
        </is>
      </c>
      <c r="G293" t="inlineStr">
        <is>
          <t>mixed (county application status stated; built/not-built inferred)</t>
        </is>
      </c>
      <c r="H293" t="inlineStr">
        <is>
          <t>STMP-2021-0002</t>
        </is>
      </c>
      <c r="I293" t="inlineStr">
        <is>
          <t>STMP-2021-0002 (Engineering Plan, Approved)</t>
        </is>
      </c>
      <c r="J293" t="inlineStr">
        <is>
          <t>2021-02-03</t>
        </is>
      </c>
      <c r="K293" t="inlineStr"/>
      <c r="L293" t="inlineStr">
        <is>
          <t>Yes</t>
        </is>
      </c>
      <c r="M293" t="inlineStr">
        <is>
          <t>ASH 1- BRODERICK DC 2 : REQUEST APPROVAL OF A MODIFIED PROCESS SITE PLAN (STMP) FOR A FINAL SITE PLAN FOR A PROPOSED DATA CENTER USE IN THE PLANNED DEVELOPMENT-INDUSTRIAL PARK (PDIP) SDM</t>
        </is>
      </c>
      <c r="N293" t="inlineStr">
        <is>
          <t>County-stated status of application(s): Approved. Built/not-built is INFERRED: no mapped data center building lies within the application area.</t>
        </is>
      </c>
      <c r="O293" t="inlineStr">
        <is>
          <t>https://logis.loudoun.gov/gis/rest/services/Projects/LOLA_DATA/MapServer/0/query?where=PlanNumber%3D%27STMP-2021-0002%27&amp;outFields=PlanNumber,PlanType,PlanStatus,PlanName,PlanApplicationDate,PlanDescription&amp;f=html</t>
        </is>
      </c>
      <c r="P293" t="n">
        <v>39.117252</v>
      </c>
      <c r="Q293" t="n">
        <v>-77.578317</v>
      </c>
    </row>
    <row r="294">
      <c r="A294" t="n">
        <v>675</v>
      </c>
      <c r="B294" t="inlineStr">
        <is>
          <t>Loudoun</t>
        </is>
      </c>
      <c r="C294" t="inlineStr">
        <is>
          <t>BUILDINGS VA 13 &amp; VA 14</t>
        </is>
      </c>
      <c r="D294" t="inlineStr">
        <is>
          <t>Site/engineering plan</t>
        </is>
      </c>
      <c r="E294" t="inlineStr">
        <is>
          <t>Approved/Planned</t>
        </is>
      </c>
      <c r="F294" t="inlineStr">
        <is>
          <t>Approved entitlement; buildings already on site</t>
        </is>
      </c>
      <c r="G294" t="inlineStr">
        <is>
          <t>mixed (county application status stated; built/not-built inferred)</t>
        </is>
      </c>
      <c r="H294" t="inlineStr">
        <is>
          <t>STMP-2021-0007</t>
        </is>
      </c>
      <c r="I294" t="inlineStr">
        <is>
          <t>STMP-2021-0007 (Engineering Plan, Approved)</t>
        </is>
      </c>
      <c r="J294" t="inlineStr">
        <is>
          <t>2021-04-28</t>
        </is>
      </c>
      <c r="K294" t="inlineStr">
        <is>
          <t>357, 375</t>
        </is>
      </c>
      <c r="L294" t="inlineStr">
        <is>
          <t>Yes</t>
        </is>
      </c>
      <c r="M294" t="inlineStr">
        <is>
          <t>BUILDINGS VA 13 &amp; VA 14 : REQUEST APPROVAL OF A MODIFIED PROCESS SITE PLAN (STMP) FOR THE CONSTRUCTION OF +/- 729,298 SF OF DATA CENTER/OFFICE FLOOR AREA INCLUDING ALL RELATED INFRASTRUCTURE, UTILITIES, ETC. IN THE (PDOP) PLANNED DEVELOPMENT- OFFICE PARK ZONING DISTRICT | Approved entitlement; data center building(s) already mapped on/adjacent to site</t>
        </is>
      </c>
      <c r="N294" t="inlineStr">
        <is>
          <t>County-stated status of application(s): Approved. Built/not-built is INFERRED: 2 data center building point(s) lie on/adjacent to the application area.</t>
        </is>
      </c>
      <c r="O294" t="inlineStr">
        <is>
          <t>https://logis.loudoun.gov/gis/rest/services/Projects/LOLA_DATA/MapServer/0/query?where=PlanNumber%3D%27STMP-2021-0007%27&amp;outFields=PlanNumber,PlanType,PlanStatus,PlanName,PlanApplicationDate,PlanDescription&amp;f=html</t>
        </is>
      </c>
      <c r="P294" t="n">
        <v>39.0016</v>
      </c>
      <c r="Q294" t="n">
        <v>-77.43723199999999</v>
      </c>
    </row>
    <row r="295">
      <c r="A295" t="n">
        <v>676</v>
      </c>
      <c r="B295" t="inlineStr">
        <is>
          <t>Loudoun</t>
        </is>
      </c>
      <c r="C295" t="inlineStr">
        <is>
          <t>STERLING PREMIERE BUILDING</t>
        </is>
      </c>
      <c r="D295" t="inlineStr">
        <is>
          <t>Site/engineering plan</t>
        </is>
      </c>
      <c r="E295" t="inlineStr">
        <is>
          <t>Approved/Planned</t>
        </is>
      </c>
      <c r="F295" t="inlineStr">
        <is>
          <t>Approved, not yet built (inferred)</t>
        </is>
      </c>
      <c r="G295" t="inlineStr">
        <is>
          <t>mixed (county application status stated; built/not-built inferred)</t>
        </is>
      </c>
      <c r="H295" t="inlineStr">
        <is>
          <t>STMP-2021-0012</t>
        </is>
      </c>
      <c r="I295" t="inlineStr">
        <is>
          <t>STMP-2021-0012 (Engineering Plan, Approved)</t>
        </is>
      </c>
      <c r="J295" t="inlineStr">
        <is>
          <t>2021-08-27</t>
        </is>
      </c>
      <c r="K295" t="inlineStr"/>
      <c r="L295" t="inlineStr">
        <is>
          <t>Yes</t>
        </is>
      </c>
      <c r="M295" t="inlineStr">
        <is>
          <t>STERLING PREMIERE BUILDING : REQUEST APPROVAL OF A MODIFIED PROCESS SITE PLAN (STMP) FOR THE CONSTRUCTION OF A DATA CENTER, AND ALL ASSOCIATED INFRASTRUCTRE INCLUDING BMP POND, IN THE( PDIP) PLANNED DEVELOPMENT-INDUSTRIAL PARK ZONING DISTRICT. SDM .</t>
        </is>
      </c>
      <c r="N295" t="inlineStr">
        <is>
          <t>County-stated status of application(s): Approved. Built/not-built is INFERRED: no mapped data center building lies within the application area.</t>
        </is>
      </c>
      <c r="O295" t="inlineStr">
        <is>
          <t>https://logis.loudoun.gov/gis/rest/services/Projects/LOLA_DATA/MapServer/0/query?where=PlanNumber%3D%27STMP-2021-0012%27&amp;outFields=PlanNumber,PlanType,PlanStatus,PlanName,PlanApplicationDate,PlanDescription&amp;f=html</t>
        </is>
      </c>
      <c r="P295" t="n">
        <v>38.991088</v>
      </c>
      <c r="Q295" t="n">
        <v>-77.433745</v>
      </c>
    </row>
    <row r="296">
      <c r="A296" t="n">
        <v>677</v>
      </c>
      <c r="B296" t="inlineStr">
        <is>
          <t>Loudoun</t>
        </is>
      </c>
      <c r="C296" t="inlineStr">
        <is>
          <t>PROJECT ALLEGRO SOUTH CAMPUS PH 1</t>
        </is>
      </c>
      <c r="D296" t="inlineStr">
        <is>
          <t>Site/engineering plan</t>
        </is>
      </c>
      <c r="E296" t="inlineStr">
        <is>
          <t>Approved/Planned</t>
        </is>
      </c>
      <c r="F296" t="inlineStr">
        <is>
          <t>Approved, not yet built (inferred)</t>
        </is>
      </c>
      <c r="G296" t="inlineStr">
        <is>
          <t>mixed (county application status stated; built/not-built inferred)</t>
        </is>
      </c>
      <c r="H296" t="inlineStr">
        <is>
          <t>STMP-2021-0013</t>
        </is>
      </c>
      <c r="I296" t="inlineStr">
        <is>
          <t>STMP-2021-0013 (Engineering Plan, Approved)</t>
        </is>
      </c>
      <c r="J296" t="inlineStr">
        <is>
          <t>2021-09-24</t>
        </is>
      </c>
      <c r="K296" t="inlineStr"/>
      <c r="L296" t="inlineStr">
        <is>
          <t>Yes</t>
        </is>
      </c>
      <c r="M296" t="inlineStr">
        <is>
          <t>PROJECT ALLEGRO SOUTH CAMPUS PH 1 : REQUEST APPROVAL OF A MODIFIED PROCESS SITE PLAN (STMP) FOR PHASE 1 OFTHE SOUTH CAMPUS OF A DATA CENTER COMPLEX WITH ASSOCIATED SUPPORT FACILITIES, IN THE (PDIP/R1) PLANNED DEVELOPMENT-INDUSTRIAL PARK/SINGLE FAMILY RESIDENTIAL-1 ZONING DISTRICTS. SDM</t>
        </is>
      </c>
      <c r="N296" t="inlineStr">
        <is>
          <t>County-stated status of application(s): Approved. Built/not-built is INFERRED: no mapped data center building lies within the application area.</t>
        </is>
      </c>
      <c r="O296" t="inlineStr">
        <is>
          <t>https://logis.loudoun.gov/gis/rest/services/Projects/LOLA_DATA/MapServer/0/query?where=PlanNumber%3D%27STMP-2021-0013%27&amp;outFields=PlanNumber,PlanType,PlanStatus,PlanName,PlanApplicationDate,PlanDescription&amp;f=html</t>
        </is>
      </c>
      <c r="P296" t="n">
        <v>39.117252</v>
      </c>
      <c r="Q296" t="n">
        <v>-77.578317</v>
      </c>
    </row>
    <row r="297">
      <c r="A297" t="n">
        <v>678</v>
      </c>
      <c r="B297" t="inlineStr">
        <is>
          <t>Loudoun</t>
        </is>
      </c>
      <c r="C297" t="inlineStr">
        <is>
          <t>WS-C2</t>
        </is>
      </c>
      <c r="D297" t="inlineStr">
        <is>
          <t>Site/engineering plan</t>
        </is>
      </c>
      <c r="E297" t="inlineStr">
        <is>
          <t>Approved/Planned</t>
        </is>
      </c>
      <c r="F297" t="inlineStr">
        <is>
          <t>Approved entitlement; buildings already on site</t>
        </is>
      </c>
      <c r="G297" t="inlineStr">
        <is>
          <t>mixed (county application status stated; built/not-built inferred)</t>
        </is>
      </c>
      <c r="H297" t="inlineStr">
        <is>
          <t>STMP-2021-0018</t>
        </is>
      </c>
      <c r="I297" t="inlineStr">
        <is>
          <t>STMP-2021-0018 (Engineering Plan, Approved)</t>
        </is>
      </c>
      <c r="J297" t="inlineStr">
        <is>
          <t>2021-12-10</t>
        </is>
      </c>
      <c r="K297" t="inlineStr">
        <is>
          <t>385, 386, 397, 415, 416, 433</t>
        </is>
      </c>
      <c r="L297" t="inlineStr">
        <is>
          <t>Yes</t>
        </is>
      </c>
      <c r="M297" t="inlineStr">
        <is>
          <t>WS-C2 : REQUEST APPROVAL OF A MODIFIED PROCESS PLAN PROCESS (STMP) FOR CONSTURCTION OF ONE 15,000 SF DATA CENTER AND ASSOCIATED GRADING AND UTILITY IMPROVEMENTS, IN THE PLANNED DEVELOPMENT INDUSTRIAL PARK (PDIP) ZONING DISTRICT. AM | Approved entitlement; data center building(s) already mapped on/adjacent to site</t>
        </is>
      </c>
      <c r="N297" t="inlineStr">
        <is>
          <t>County-stated status of application(s): Approved. Built/not-built is INFERRED: 6 data center building point(s) lie on/adjacent to the application area.</t>
        </is>
      </c>
      <c r="O297" t="inlineStr">
        <is>
          <t>https://logis.loudoun.gov/gis/rest/services/Projects/LOLA_DATA/MapServer/0/query?where=PlanNumber%3D%27STMP-2021-0018%27&amp;outFields=PlanNumber,PlanType,PlanStatus,PlanName,PlanApplicationDate,PlanDescription&amp;f=html</t>
        </is>
      </c>
      <c r="P297" t="n">
        <v>38.981964</v>
      </c>
      <c r="Q297" t="n">
        <v>-77.417224</v>
      </c>
    </row>
    <row r="298">
      <c r="A298" t="n">
        <v>679</v>
      </c>
      <c r="B298" t="inlineStr">
        <is>
          <t>Loudoun</t>
        </is>
      </c>
      <c r="C298" t="inlineStr">
        <is>
          <t>DARVISH DATA CENTER</t>
        </is>
      </c>
      <c r="D298" t="inlineStr">
        <is>
          <t>Site/engineering plan</t>
        </is>
      </c>
      <c r="E298" t="inlineStr">
        <is>
          <t>Approved/Planned</t>
        </is>
      </c>
      <c r="F298" t="inlineStr">
        <is>
          <t>Approved entitlement; buildings already on site</t>
        </is>
      </c>
      <c r="G298" t="inlineStr">
        <is>
          <t>mixed (county application status stated; built/not-built inferred)</t>
        </is>
      </c>
      <c r="H298" t="inlineStr">
        <is>
          <t>STMP-2021-0020</t>
        </is>
      </c>
      <c r="I298" t="inlineStr">
        <is>
          <t>STMP-2021-0020 (Engineering Plan, Approved)</t>
        </is>
      </c>
      <c r="J298" t="inlineStr">
        <is>
          <t>2021-12-28</t>
        </is>
      </c>
      <c r="K298" t="inlineStr">
        <is>
          <t>437</t>
        </is>
      </c>
      <c r="L298" t="inlineStr">
        <is>
          <t>Yes</t>
        </is>
      </c>
      <c r="M298" t="inlineStr">
        <is>
          <t>DARVISH DATA CENTER : REQUEST APPROVAL OF A MODIFIED PROCESS SITE PLAN )STMP) FOR A FAST TRACK SITE PLAN FOR CONSTRUCTION OF +/- 277,800 SF DATA CENTER BUILDING, IN THE (PDIP) PLANNED DEVELOPMENT-INDUSTRIAL PARK ZONING DISTRICT. SDM | Approved entitlement; data center building(s) already mapped on/adjacent to site</t>
        </is>
      </c>
      <c r="N298" t="inlineStr">
        <is>
          <t>County-stated status of application(s): Approved. Built/not-built is INFERRED: 1 data center building point(s) lie on/adjacent to the application area.</t>
        </is>
      </c>
      <c r="O298" t="inlineStr">
        <is>
          <t>https://logis.loudoun.gov/gis/rest/services/Projects/LOLA_DATA/MapServer/0/query?where=PlanNumber%3D%27STMP-2021-0020%27&amp;outFields=PlanNumber,PlanType,PlanStatus,PlanName,PlanApplicationDate,PlanDescription&amp;f=html</t>
        </is>
      </c>
      <c r="P298" t="n">
        <v>38.986462</v>
      </c>
      <c r="Q298" t="n">
        <v>-77.435303</v>
      </c>
    </row>
    <row r="299">
      <c r="A299" t="n">
        <v>680</v>
      </c>
      <c r="B299" t="inlineStr">
        <is>
          <t>Loudoun</t>
        </is>
      </c>
      <c r="C299" t="inlineStr">
        <is>
          <t>IAD04</t>
        </is>
      </c>
      <c r="D299" t="inlineStr">
        <is>
          <t>Site/engineering plan</t>
        </is>
      </c>
      <c r="E299" t="inlineStr">
        <is>
          <t>Approved/Planned</t>
        </is>
      </c>
      <c r="F299" t="inlineStr">
        <is>
          <t>Approved entitlement; buildings already on site</t>
        </is>
      </c>
      <c r="G299" t="inlineStr">
        <is>
          <t>mixed (county application status stated; built/not-built inferred)</t>
        </is>
      </c>
      <c r="H299" t="inlineStr">
        <is>
          <t>STMP-2022-0002</t>
        </is>
      </c>
      <c r="I299" t="inlineStr">
        <is>
          <t>STMP-2022-0002 (Engineering Plan, Approved)</t>
        </is>
      </c>
      <c r="J299" t="inlineStr">
        <is>
          <t>2022-03-16</t>
        </is>
      </c>
      <c r="K299" t="inlineStr">
        <is>
          <t>345, 391, 392, 421, 422, 443, 451</t>
        </is>
      </c>
      <c r="L299" t="inlineStr">
        <is>
          <t>Yes</t>
        </is>
      </c>
      <c r="M299" t="inlineStr">
        <is>
          <t>IAD04 : REQUEST APPROVAL OF A MODIFIED PROCESS SITE PLAN (STMP) FOR CONSTRUCTION OF 1 DATA CENTER BUILDING AND ASSOCIATED UTILITIES, IN THE (PDIP) PLANNED DEVELOPMENT- INDUSTRIAL PARK ZONING DISTRICT. SDM | Approved entitlement; data center building(s) already mapped on/adjacent to site</t>
        </is>
      </c>
      <c r="N299" t="inlineStr">
        <is>
          <t>County-stated status of application(s): Approved. Built/not-built is INFERRED: 7 data center building point(s) lie on/adjacent to the application area.</t>
        </is>
      </c>
      <c r="O299" t="inlineStr">
        <is>
          <t>https://logis.loudoun.gov/gis/rest/services/Projects/LOLA_DATA/MapServer/0/query?where=PlanNumber%3D%27STMP-2022-0002%27&amp;outFields=PlanNumber,PlanType,PlanStatus,PlanName,PlanApplicationDate,PlanDescription&amp;f=html</t>
        </is>
      </c>
      <c r="P299" t="n">
        <v>39.062372</v>
      </c>
      <c r="Q299" t="n">
        <v>-77.55427299999999</v>
      </c>
    </row>
    <row r="300">
      <c r="A300" t="n">
        <v>681</v>
      </c>
      <c r="B300" t="inlineStr">
        <is>
          <t>Loudoun</t>
        </is>
      </c>
      <c r="C300" t="inlineStr">
        <is>
          <t>RELOCATION DRIVE</t>
        </is>
      </c>
      <c r="D300" t="inlineStr">
        <is>
          <t>Site/engineering plan</t>
        </is>
      </c>
      <c r="E300" t="inlineStr">
        <is>
          <t>Approved/Planned</t>
        </is>
      </c>
      <c r="F300" t="inlineStr">
        <is>
          <t>Approved entitlement; buildings already on site</t>
        </is>
      </c>
      <c r="G300" t="inlineStr">
        <is>
          <t>mixed (county application status stated; built/not-built inferred)</t>
        </is>
      </c>
      <c r="H300" t="inlineStr">
        <is>
          <t>STMP-2022-0003</t>
        </is>
      </c>
      <c r="I300" t="inlineStr">
        <is>
          <t>STMP-2022-0003 (Engineering Plan, Approved)</t>
        </is>
      </c>
      <c r="J300" t="inlineStr">
        <is>
          <t>2022-03-18</t>
        </is>
      </c>
      <c r="K300" t="inlineStr">
        <is>
          <t>438</t>
        </is>
      </c>
      <c r="L300" t="inlineStr">
        <is>
          <t>Yes</t>
        </is>
      </c>
      <c r="M300" t="inlineStr">
        <is>
          <t>RELOCATION DRIVE : REQUEST APPROVAL OF A MODIFIED PROCESS SITE PLAN (STMP) FOR (1) ONE DATA CENTER AND ASSOCIATED INFRASTRUCTURE INCLUDING SWM AND BMP TOTALING THREE HUNDRED FOUR THOUSAND ONE HUNDRED SIXTY-SIX SQUARE FEET(304,166.0) IN THE (R1) SINGLE FAMILY RESIDENTIAL-1 ZONING DISTRICT. SDM | Approved entitlement; data center building(s) already mapped on/adjacent to site</t>
        </is>
      </c>
      <c r="N300" t="inlineStr">
        <is>
          <t>County-stated status of application(s): Approved. Built/not-built is INFERRED: 1 data center building point(s) lie on/adjacent to the application area.</t>
        </is>
      </c>
      <c r="O300" t="inlineStr">
        <is>
          <t>https://logis.loudoun.gov/gis/rest/services/Projects/LOLA_DATA/MapServer/0/query?where=PlanNumber%3D%27STMP-2022-0003%27&amp;outFields=PlanNumber,PlanType,PlanStatus,PlanName,PlanApplicationDate,PlanDescription&amp;f=html</t>
        </is>
      </c>
      <c r="P300" t="n">
        <v>38.988456</v>
      </c>
      <c r="Q300" t="n">
        <v>-77.440907</v>
      </c>
    </row>
    <row r="301">
      <c r="A301" t="n">
        <v>682</v>
      </c>
      <c r="B301" t="inlineStr">
        <is>
          <t>Loudoun</t>
        </is>
      </c>
      <c r="C301" t="inlineStr">
        <is>
          <t>NTT GLOBAL DATA CENTERS  VA8 &amp; VA9</t>
        </is>
      </c>
      <c r="D301" t="inlineStr">
        <is>
          <t>Site/engineering plan</t>
        </is>
      </c>
      <c r="E301" t="inlineStr">
        <is>
          <t>Approved/Planned</t>
        </is>
      </c>
      <c r="F301" t="inlineStr">
        <is>
          <t>Approved, not yet built (inferred)</t>
        </is>
      </c>
      <c r="G301" t="inlineStr">
        <is>
          <t>mixed (county application status stated; built/not-built inferred)</t>
        </is>
      </c>
      <c r="H301" t="inlineStr">
        <is>
          <t>STMP-2022-0004</t>
        </is>
      </c>
      <c r="I301" t="inlineStr">
        <is>
          <t>STMP-2022-0004 (Engineering Plan, Approved)</t>
        </is>
      </c>
      <c r="J301" t="inlineStr">
        <is>
          <t>2022-04-08</t>
        </is>
      </c>
      <c r="K301" t="inlineStr"/>
      <c r="L301" t="inlineStr">
        <is>
          <t>Yes</t>
        </is>
      </c>
      <c r="M301" t="inlineStr">
        <is>
          <t>NTT GLOBAL DATA CENTERS VA8 &amp; VA9 : REQUEST APPROVAL OF A MODIFIED PROCESS SITE PLAN (STMP) FOR THE CONSTRUCTION OF TWO (2) 2-STORY DATA CENTERS, IN THE PLANNED DEVELOPMENT INDUSTRIAL PARK (PDIP) ZONING DISTRICT. AM</t>
        </is>
      </c>
      <c r="N301" t="inlineStr">
        <is>
          <t>County-stated status of application(s): Approved. Built/not-built is INFERRED: no mapped data center building lies within the application area.</t>
        </is>
      </c>
      <c r="O301" t="inlineStr">
        <is>
          <t>https://logis.loudoun.gov/gis/rest/services/Projects/LOLA_DATA/MapServer/0/query?where=PlanNumber%3D%27STMP-2022-0004%27&amp;outFields=PlanNumber,PlanType,PlanStatus,PlanName,PlanApplicationDate,PlanDescription&amp;f=html</t>
        </is>
      </c>
      <c r="P301" t="n">
        <v>39.117252</v>
      </c>
      <c r="Q301" t="n">
        <v>-77.578317</v>
      </c>
    </row>
    <row r="302">
      <c r="A302" t="n">
        <v>683</v>
      </c>
      <c r="B302" t="inlineStr">
        <is>
          <t>Loudoun</t>
        </is>
      </c>
      <c r="C302" t="inlineStr">
        <is>
          <t>BUILDING VA15</t>
        </is>
      </c>
      <c r="D302" t="inlineStr">
        <is>
          <t>Site/engineering plan</t>
        </is>
      </c>
      <c r="E302" t="inlineStr">
        <is>
          <t>Approved/Planned</t>
        </is>
      </c>
      <c r="F302" t="inlineStr">
        <is>
          <t>Approved entitlement; buildings already on site</t>
        </is>
      </c>
      <c r="G302" t="inlineStr">
        <is>
          <t>mixed (county application status stated; built/not-built inferred)</t>
        </is>
      </c>
      <c r="H302" t="inlineStr">
        <is>
          <t>STMP-2022-0005</t>
        </is>
      </c>
      <c r="I302" t="inlineStr">
        <is>
          <t>STMP-2022-0005 (Engineering Plan, Approved)</t>
        </is>
      </c>
      <c r="J302" t="inlineStr">
        <is>
          <t>2022-04-12</t>
        </is>
      </c>
      <c r="K302" t="inlineStr">
        <is>
          <t>357, 375</t>
        </is>
      </c>
      <c r="L302" t="inlineStr">
        <is>
          <t>Yes</t>
        </is>
      </c>
      <c r="M302" t="inlineStr">
        <is>
          <t>BUILDING VA15 : REQUEST APPROVAL OF A MODIFIED PROCESS SITE PLAN (STMP) FOR THE CONSTRUCITON OF DATA CENTER BUILDING WITH ASSOCIATED SURFACE PARKING, DRIVE AISLE, AND UTILITY INFRASTRUCTURE, IN THE (PDOP) PLANNED DEVELOPMENT-OFFICE PARK ZONING DISTRICT. SDM | Approved entitlement; data center building(s) already mapped on/adjacent to site</t>
        </is>
      </c>
      <c r="N302" t="inlineStr">
        <is>
          <t>County-stated status of application(s): Approved. Built/not-built is INFERRED: 2 data center building point(s) lie on/adjacent to the application area.</t>
        </is>
      </c>
      <c r="O302" t="inlineStr">
        <is>
          <t>https://logis.loudoun.gov/gis/rest/services/Projects/LOLA_DATA/MapServer/0/query?where=PlanNumber%3D%27STMP-2022-0005%27&amp;outFields=PlanNumber,PlanType,PlanStatus,PlanName,PlanApplicationDate,PlanDescription&amp;f=html</t>
        </is>
      </c>
      <c r="P302" t="n">
        <v>39.0016</v>
      </c>
      <c r="Q302" t="n">
        <v>-77.43723199999999</v>
      </c>
    </row>
    <row r="303">
      <c r="A303" t="n">
        <v>684</v>
      </c>
      <c r="B303" t="inlineStr">
        <is>
          <t>Loudoun</t>
        </is>
      </c>
      <c r="C303" t="inlineStr">
        <is>
          <t>VANTAGE VA21</t>
        </is>
      </c>
      <c r="D303" t="inlineStr">
        <is>
          <t>Site/engineering plan</t>
        </is>
      </c>
      <c r="E303" t="inlineStr">
        <is>
          <t>Approved/Planned</t>
        </is>
      </c>
      <c r="F303" t="inlineStr">
        <is>
          <t>Approved entitlement; buildings already on site</t>
        </is>
      </c>
      <c r="G303" t="inlineStr">
        <is>
          <t>mixed (county application status stated; built/not-built inferred)</t>
        </is>
      </c>
      <c r="H303" t="inlineStr">
        <is>
          <t>STMP-2022-0006</t>
        </is>
      </c>
      <c r="I303" t="inlineStr">
        <is>
          <t>STMP-2022-0006 (Engineering Plan, Approved)</t>
        </is>
      </c>
      <c r="J303" t="inlineStr">
        <is>
          <t>2022-04-21</t>
        </is>
      </c>
      <c r="K303" t="inlineStr">
        <is>
          <t>441, 445</t>
        </is>
      </c>
      <c r="L303" t="inlineStr">
        <is>
          <t>Yes</t>
        </is>
      </c>
      <c r="M303" t="inlineStr">
        <is>
          <t>VANTAGE VA21 : REQUEST APPROVAL OF A MODIFIED PROCESS SITE PLAN (STMP) FOR A PROPOSEDDATA CENTER BUILDING AND ALL OF THE ASSOCIATED INFRASTRUCTURE INCLUDING SWM AND BMP VAULTS, IN THE PLANNED DEVELOPMENT- INDUSTRIAL PARK (PDIP) AND SINGLE FAMILY RESIDENTIAL-4 (R4) ZONING DISTRICTS. HV | Approved entitlement; data center building(s) already mapped on/adjacent to site</t>
        </is>
      </c>
      <c r="N303" t="inlineStr">
        <is>
          <t>County-stated status of application(s): Approved. Built/not-built is INFERRED: 2 data center building point(s) lie on/adjacent to the application area.</t>
        </is>
      </c>
      <c r="O303" t="inlineStr">
        <is>
          <t>https://logis.loudoun.gov/gis/rest/services/Projects/LOLA_DATA/MapServer/0/query?where=PlanNumber%3D%27STMP-2022-0006%27&amp;outFields=PlanNumber,PlanType,PlanStatus,PlanName,PlanApplicationDate,PlanDescription&amp;f=html</t>
        </is>
      </c>
      <c r="P303" t="n">
        <v>38.997768</v>
      </c>
      <c r="Q303" t="n">
        <v>-77.429979</v>
      </c>
    </row>
    <row r="304">
      <c r="A304" t="n">
        <v>685</v>
      </c>
      <c r="B304" t="inlineStr">
        <is>
          <t>Loudoun</t>
        </is>
      </c>
      <c r="C304" t="inlineStr">
        <is>
          <t>PROJECT GOLD STERLING</t>
        </is>
      </c>
      <c r="D304" t="inlineStr">
        <is>
          <t>Site/engineering plan</t>
        </is>
      </c>
      <c r="E304" t="inlineStr">
        <is>
          <t>Approved/Planned</t>
        </is>
      </c>
      <c r="F304" t="inlineStr">
        <is>
          <t>Approved entitlement; buildings already on site</t>
        </is>
      </c>
      <c r="G304" t="inlineStr">
        <is>
          <t>mixed (county application status stated; built/not-built inferred)</t>
        </is>
      </c>
      <c r="H304" t="inlineStr">
        <is>
          <t>STMP-2022-0007</t>
        </is>
      </c>
      <c r="I304" t="inlineStr">
        <is>
          <t>STMP-2022-0007 (Engineering Plan, Approved)</t>
        </is>
      </c>
      <c r="J304" t="inlineStr">
        <is>
          <t>2022-06-09</t>
        </is>
      </c>
      <c r="K304" t="inlineStr">
        <is>
          <t>440</t>
        </is>
      </c>
      <c r="L304" t="inlineStr">
        <is>
          <t>Yes</t>
        </is>
      </c>
      <c r="M304" t="inlineStr">
        <is>
          <t>PROJECT GOLD STERLING : REQUEST APPROVAL OF A MODIFIED PROCESS SITE PLAN (STMP) FOR THE CONSTRUCTION OF PROPOSED 181,419 SF DATA CENTER BUILDING, 1,696 SF VISITORS CENTER BUILDING INCLUDING ALL RELATED INFRASTRUCTURE, PARKING, DRIVE AISLES, UTILITIES, ETC., IN THE PLANNED DEVELOPMENT-INDUSTRIAL PARK | Approved entitlement; data center building(s) already mapped on/adjacent to site</t>
        </is>
      </c>
      <c r="N304" t="inlineStr">
        <is>
          <t>County-stated status of application(s): Approved. Built/not-built is INFERRED: 1 data center building point(s) lie on/adjacent to the application area.</t>
        </is>
      </c>
      <c r="O304" t="inlineStr">
        <is>
          <t>https://logis.loudoun.gov/gis/rest/services/Projects/LOLA_DATA/MapServer/0/query?where=PlanNumber%3D%27STMP-2022-0007%27&amp;outFields=PlanNumber,PlanType,PlanStatus,PlanName,PlanApplicationDate,PlanDescription&amp;f=html</t>
        </is>
      </c>
      <c r="P304" t="n">
        <v>38.993033</v>
      </c>
      <c r="Q304" t="n">
        <v>-77.434422</v>
      </c>
    </row>
    <row r="305">
      <c r="A305" t="n">
        <v>686</v>
      </c>
      <c r="B305" t="inlineStr">
        <is>
          <t>Loudoun</t>
        </is>
      </c>
      <c r="C305" t="inlineStr">
        <is>
          <t>ARCOLA GROVE DATA CENTERS</t>
        </is>
      </c>
      <c r="D305" t="inlineStr">
        <is>
          <t>Site/engineering plan</t>
        </is>
      </c>
      <c r="E305" t="inlineStr">
        <is>
          <t>Pending</t>
        </is>
      </c>
      <c r="F305" t="inlineStr">
        <is>
          <t>Pending application</t>
        </is>
      </c>
      <c r="G305" t="inlineStr">
        <is>
          <t>stated</t>
        </is>
      </c>
      <c r="H305" t="inlineStr">
        <is>
          <t>STMP-2022-0008</t>
        </is>
      </c>
      <c r="I305" t="inlineStr">
        <is>
          <t>STMP-2022-0008 (Engineering Plan, In Review)</t>
        </is>
      </c>
      <c r="J305" t="inlineStr">
        <is>
          <t>2022-06-21</t>
        </is>
      </c>
      <c r="K305" t="inlineStr"/>
      <c r="L305" t="inlineStr">
        <is>
          <t>Yes</t>
        </is>
      </c>
      <c r="M305" t="inlineStr">
        <is>
          <t>(Conditional Approval) ARCOLA GROVE DATA CENTERS : REQUEST APPROVAL OF A MODIFIED PROCESS SITE PLAN (STMP) FOR TWO (2) DATA CENTERS AND ASSOICATED INFRASTRUCTURE, IN THE PLANNED DEVELOPMENT- INDUSTRIAL PARK (PDIP) ZONING DISTRCT. AM</t>
        </is>
      </c>
      <c r="N305" t="inlineStr">
        <is>
          <t>County-stated status of application(s): In Review.</t>
        </is>
      </c>
      <c r="O305" t="inlineStr">
        <is>
          <t>https://logis.loudoun.gov/gis/rest/services/Projects/LOLA_DATA/MapServer/0/query?where=PlanNumber%3D%27STMP-2022-0008%27&amp;outFields=PlanNumber,PlanType,PlanStatus,PlanName,PlanApplicationDate,PlanDescription&amp;f=html</t>
        </is>
      </c>
      <c r="P305" t="n">
        <v>39.117252</v>
      </c>
      <c r="Q305" t="n">
        <v>-77.578317</v>
      </c>
    </row>
    <row r="306">
      <c r="A306" t="n">
        <v>687</v>
      </c>
      <c r="B306" t="inlineStr">
        <is>
          <t>Loudoun</t>
        </is>
      </c>
      <c r="C306" t="inlineStr">
        <is>
          <t>INTERGATE ASHBURN DATA CENTER BLDNG A</t>
        </is>
      </c>
      <c r="D306" t="inlineStr">
        <is>
          <t>Site/engineering plan</t>
        </is>
      </c>
      <c r="E306" t="inlineStr">
        <is>
          <t>Approved/Planned</t>
        </is>
      </c>
      <c r="F306" t="inlineStr">
        <is>
          <t>Approved, not yet built (inferred)</t>
        </is>
      </c>
      <c r="G306" t="inlineStr">
        <is>
          <t>mixed (county application status stated; built/not-built inferred)</t>
        </is>
      </c>
      <c r="H306" t="inlineStr">
        <is>
          <t>STMP-2022-0011</t>
        </is>
      </c>
      <c r="I306" t="inlineStr">
        <is>
          <t>STMP-2022-0011 (Engineering Plan, Approved)</t>
        </is>
      </c>
      <c r="J306" t="inlineStr">
        <is>
          <t>2022-07-05</t>
        </is>
      </c>
      <c r="K306" t="inlineStr"/>
      <c r="L306" t="inlineStr">
        <is>
          <t>Yes</t>
        </is>
      </c>
      <c r="M306" t="inlineStr">
        <is>
          <t>INTERGATE ASHBURN DATA CENTER BLDNG A : REQUEST APPROVAL OF A MODIFIED PROCESS SITE PLAN (STMP) FOR A FINAL DATA CENTER AND RELATED INFRASTRUCTURE, DESIGNATED AS BUILDING "A" ON APPROVED APPLICATIONS STPL-2011-0014, SPAM-2013-0025, AND SPAM 2018-0037. THIS APPLICATION WILL SUPERCEDE THE PREVIOUSLY S</t>
        </is>
      </c>
      <c r="N306" t="inlineStr">
        <is>
          <t>County-stated status of application(s): Approved. Built/not-built is INFERRED: no mapped data center building lies within the application area.</t>
        </is>
      </c>
      <c r="O306" t="inlineStr">
        <is>
          <t>https://logis.loudoun.gov/gis/rest/services/Projects/LOLA_DATA/MapServer/0/query?where=PlanNumber%3D%27STMP-2022-0011%27&amp;outFields=PlanNumber,PlanType,PlanStatus,PlanName,PlanApplicationDate,PlanDescription&amp;f=html</t>
        </is>
      </c>
      <c r="P306" t="n">
        <v>39.117252</v>
      </c>
      <c r="Q306" t="n">
        <v>-77.578317</v>
      </c>
    </row>
    <row r="307">
      <c r="A307" t="n">
        <v>688</v>
      </c>
      <c r="B307" t="inlineStr">
        <is>
          <t>Loudoun</t>
        </is>
      </c>
      <c r="C307" t="inlineStr">
        <is>
          <t>DIGITAL LOUDOUN IV-BUILDING S</t>
        </is>
      </c>
      <c r="D307" t="inlineStr">
        <is>
          <t>Site/engineering plan</t>
        </is>
      </c>
      <c r="E307" t="inlineStr">
        <is>
          <t>Approved/Planned</t>
        </is>
      </c>
      <c r="F307" t="inlineStr">
        <is>
          <t>Approved, not yet built (inferred)</t>
        </is>
      </c>
      <c r="G307" t="inlineStr">
        <is>
          <t>mixed (county application status stated; built/not-built inferred)</t>
        </is>
      </c>
      <c r="H307" t="inlineStr">
        <is>
          <t>STMP-2022-0012</t>
        </is>
      </c>
      <c r="I307" t="inlineStr">
        <is>
          <t>STMP-2022-0012 (Engineering Plan, Approved)</t>
        </is>
      </c>
      <c r="J307" t="inlineStr">
        <is>
          <t>2022-07-27</t>
        </is>
      </c>
      <c r="K307" t="inlineStr"/>
      <c r="L307" t="inlineStr">
        <is>
          <t>Yes</t>
        </is>
      </c>
      <c r="M307" t="inlineStr">
        <is>
          <t>DIGITAL LOUDOUN IV-BUILDING S : REQUEST APPROVAL OF A MODIFIED PROCESS SITE PLAN (STMP) FOR CONSTRUCTION OF ONE DATA CENTER BUILDING, GUARD BOOTH BUILDING AND ENTRY PLAZA AREA, AND ASSOCIATED INFRASTRUCTURE AND UTILITIES, IN THE PLANNED DEVELOPMENT-INDUSTRIAL PARK (PDIP) ZONING DISTRICT. AM</t>
        </is>
      </c>
      <c r="N307" t="inlineStr">
        <is>
          <t>County-stated status of application(s): Approved. Built/not-built is INFERRED: no mapped data center building lies within the application area.</t>
        </is>
      </c>
      <c r="O307" t="inlineStr">
        <is>
          <t>https://logis.loudoun.gov/gis/rest/services/Projects/LOLA_DATA/MapServer/0/query?where=PlanNumber%3D%27STMP-2022-0012%27&amp;outFields=PlanNumber,PlanType,PlanStatus,PlanName,PlanApplicationDate,PlanDescription&amp;f=html</t>
        </is>
      </c>
      <c r="P307" t="n">
        <v>39.117252</v>
      </c>
      <c r="Q307" t="n">
        <v>-77.578317</v>
      </c>
    </row>
    <row r="308">
      <c r="A308" t="n">
        <v>689</v>
      </c>
      <c r="B308" t="inlineStr">
        <is>
          <t>Loudoun</t>
        </is>
      </c>
      <c r="C308" t="inlineStr">
        <is>
          <t>DULLES 28 TECHNOLOGY PARK</t>
        </is>
      </c>
      <c r="D308" t="inlineStr">
        <is>
          <t>Site/engineering plan</t>
        </is>
      </c>
      <c r="E308" t="inlineStr">
        <is>
          <t>Approved/Planned</t>
        </is>
      </c>
      <c r="F308" t="inlineStr">
        <is>
          <t>Approved entitlement; buildings already on site</t>
        </is>
      </c>
      <c r="G308" t="inlineStr">
        <is>
          <t>mixed (county application status stated; built/not-built inferred)</t>
        </is>
      </c>
      <c r="H308" t="inlineStr">
        <is>
          <t>STMP-2022-0013</t>
        </is>
      </c>
      <c r="I308" t="inlineStr">
        <is>
          <t>STMP-2022-0013 (Engineering Plan, Approved)</t>
        </is>
      </c>
      <c r="J308" t="inlineStr">
        <is>
          <t>2022-07-29</t>
        </is>
      </c>
      <c r="K308" t="inlineStr">
        <is>
          <t>460</t>
        </is>
      </c>
      <c r="L308" t="inlineStr">
        <is>
          <t>Yes</t>
        </is>
      </c>
      <c r="M308" t="inlineStr">
        <is>
          <t>DULLES 28 TECHNOLOGY PARK : REQUEST APPROVAL OF A MODIFIED PROCESS SITE PLAN (STMP) FOR THE PROPOSED DEVELOPMENT OF TWO DATA CENTER BUILDINGS AND WHOLESALE/FLEX INDUSTRIAL BUILDINGS, IN THE PLANNED DEVELOPMENT-INDUSTRIAL PARK (PDIP) ZONING DISTRICT. AM | Approved entitlement; data center building(s) already mapped on/adjacent to site</t>
        </is>
      </c>
      <c r="N308" t="inlineStr">
        <is>
          <t>County-stated status of application(s): Approved. Built/not-built is INFERRED: 1 data center building point(s) lie on/adjacent to the application area.</t>
        </is>
      </c>
      <c r="O308" t="inlineStr">
        <is>
          <t>https://logis.loudoun.gov/gis/rest/services/Projects/LOLA_DATA/MapServer/0/query?where=PlanNumber%3D%27STMP-2022-0013%27&amp;outFields=PlanNumber,PlanType,PlanStatus,PlanName,PlanApplicationDate,PlanDescription&amp;f=html</t>
        </is>
      </c>
      <c r="P308" t="n">
        <v>39.009947</v>
      </c>
      <c r="Q308" t="n">
        <v>-77.441648</v>
      </c>
    </row>
    <row r="309">
      <c r="A309" t="n">
        <v>690</v>
      </c>
      <c r="B309" t="inlineStr">
        <is>
          <t>Loudoun</t>
        </is>
      </c>
      <c r="C309" t="inlineStr">
        <is>
          <t>DARVISH DATA CENTER BUILDING B</t>
        </is>
      </c>
      <c r="D309" t="inlineStr">
        <is>
          <t>Site/engineering plan</t>
        </is>
      </c>
      <c r="E309" t="inlineStr">
        <is>
          <t>Approved/Planned</t>
        </is>
      </c>
      <c r="F309" t="inlineStr">
        <is>
          <t>Approved entitlement; buildings already on site</t>
        </is>
      </c>
      <c r="G309" t="inlineStr">
        <is>
          <t>mixed (county application status stated; built/not-built inferred)</t>
        </is>
      </c>
      <c r="H309" t="inlineStr">
        <is>
          <t>STMP-2022-0015</t>
        </is>
      </c>
      <c r="I309" t="inlineStr">
        <is>
          <t>STMP-2022-0015 (Engineering Plan, Approved)</t>
        </is>
      </c>
      <c r="J309" t="inlineStr">
        <is>
          <t>2022-08-08</t>
        </is>
      </c>
      <c r="K309" t="inlineStr">
        <is>
          <t>437</t>
        </is>
      </c>
      <c r="L309" t="inlineStr">
        <is>
          <t>Yes</t>
        </is>
      </c>
      <c r="M309" t="inlineStr">
        <is>
          <t>DARVISH DATA CENTER BUILDING B : REQUEST APPROVAL OF A MODIFIED PROCESS SITE PLAN (STMP) FOR A FAST TRACK SITE PLAN FOR CONSTRUCTION OF TWO DATA CENTER BUILDINGS, IN THE PLANNED DEVELOPMENT-INDUSTRIAL PARK (PDIP) ZONING DISTRICT. AM | Approved entitlement; data center building(s) already mapped on/adjacent to site</t>
        </is>
      </c>
      <c r="N309" t="inlineStr">
        <is>
          <t>County-stated status of application(s): Approved. Built/not-built is INFERRED: 1 data center building point(s) lie on/adjacent to the application area.</t>
        </is>
      </c>
      <c r="O309" t="inlineStr">
        <is>
          <t>https://logis.loudoun.gov/gis/rest/services/Projects/LOLA_DATA/MapServer/0/query?where=PlanNumber%3D%27STMP-2022-0015%27&amp;outFields=PlanNumber,PlanType,PlanStatus,PlanName,PlanApplicationDate,PlanDescription&amp;f=html</t>
        </is>
      </c>
      <c r="P309" t="n">
        <v>38.986462</v>
      </c>
      <c r="Q309" t="n">
        <v>-77.435303</v>
      </c>
    </row>
    <row r="310">
      <c r="A310" t="n">
        <v>691</v>
      </c>
      <c r="B310" t="inlineStr">
        <is>
          <t>Loudoun</t>
        </is>
      </c>
      <c r="C310" t="inlineStr">
        <is>
          <t>VANTAGE VA 3</t>
        </is>
      </c>
      <c r="D310" t="inlineStr">
        <is>
          <t>Site/engineering plan</t>
        </is>
      </c>
      <c r="E310" t="inlineStr">
        <is>
          <t>Approved/Planned</t>
        </is>
      </c>
      <c r="F310" t="inlineStr">
        <is>
          <t>Approved, not yet built (inferred)</t>
        </is>
      </c>
      <c r="G310" t="inlineStr">
        <is>
          <t>mixed (county application status stated; built/not-built inferred)</t>
        </is>
      </c>
      <c r="H310" t="inlineStr">
        <is>
          <t>STMP-2022-0016</t>
        </is>
      </c>
      <c r="I310" t="inlineStr">
        <is>
          <t>STMP-2022-0016 (Engineering Plan, Approved)</t>
        </is>
      </c>
      <c r="J310" t="inlineStr">
        <is>
          <t>2022-08-12</t>
        </is>
      </c>
      <c r="K310" t="inlineStr"/>
      <c r="L310" t="inlineStr">
        <is>
          <t>Yes</t>
        </is>
      </c>
      <c r="M310" t="inlineStr">
        <is>
          <t>VANTAGE VA 3 : REQUEST APPROVAL OF A MODIFIED PROCESS SITE PLAN FOR THE CONSTRUCTIONOF FOUR (4) DATACENTER BUILDINGS TOTALING 2,327,448 SQUARE FEET ALONG WITH THE ASSOCIATED ROAD NETWORK, TWO (2) STREAM CROSSINGS, INFRASTRUCTURE, AND STORMWATER MANAGEMENT VAULTS AND PONDS IN THE (A3/PDIP/PDOP) AGRIC</t>
        </is>
      </c>
      <c r="N310" t="inlineStr">
        <is>
          <t>County-stated status of application(s): Approved. Built/not-built is INFERRED: no mapped data center building lies within the application area.</t>
        </is>
      </c>
      <c r="O310" t="inlineStr">
        <is>
          <t>https://logis.loudoun.gov/gis/rest/services/Projects/LOLA_DATA/MapServer/0/query?where=PlanNumber%3D%27STMP-2022-0016%27&amp;outFields=PlanNumber,PlanType,PlanStatus,PlanName,PlanApplicationDate,PlanDescription&amp;f=html</t>
        </is>
      </c>
      <c r="P310" t="n">
        <v>39.117252</v>
      </c>
      <c r="Q310" t="n">
        <v>-77.578317</v>
      </c>
    </row>
    <row r="311">
      <c r="A311" t="n">
        <v>692</v>
      </c>
      <c r="B311" t="inlineStr">
        <is>
          <t>Loudoun</t>
        </is>
      </c>
      <c r="C311" t="inlineStr">
        <is>
          <t>CYRUSONE STERLING 11 DATA CENTER PH 2</t>
        </is>
      </c>
      <c r="D311" t="inlineStr">
        <is>
          <t>Site/engineering plan</t>
        </is>
      </c>
      <c r="E311" t="inlineStr">
        <is>
          <t>Approved/Planned</t>
        </is>
      </c>
      <c r="F311" t="inlineStr">
        <is>
          <t>Approved entitlement; buildings already on site</t>
        </is>
      </c>
      <c r="G311" t="inlineStr">
        <is>
          <t>mixed (county application status stated; built/not-built inferred)</t>
        </is>
      </c>
      <c r="H311" t="inlineStr">
        <is>
          <t>STMP-2022-0017</t>
        </is>
      </c>
      <c r="I311" t="inlineStr">
        <is>
          <t>STMP-2022-0017 (Engineering Plan, Approved)</t>
        </is>
      </c>
      <c r="J311" t="inlineStr">
        <is>
          <t>2022-08-19</t>
        </is>
      </c>
      <c r="K311" t="inlineStr">
        <is>
          <t>381, 426</t>
        </is>
      </c>
      <c r="L311" t="inlineStr">
        <is>
          <t>Yes</t>
        </is>
      </c>
      <c r="M311" t="inlineStr">
        <is>
          <t>CYRUSONE STERLING 11 DATA CENTER PH 2 : REQUEST APPROVAL OF A MODIFIED PROCESS SITE PLAN (STMP) FOR THE CONSTRUCTION OF A DATA CENTER FACILITY WHICH WILL INCLUDE DATA HALLS, OFFICE SPACE, AND ASSOCIATED ROADWAY, PARKING LOT, AND UTILITY IMPROVEMENTS, IN THE (PDGI) PLANNED DEVELOPMENT-GENERL INDUSTRI | Approved entitlement; data center building(s) already mapped on/adjacent to site</t>
        </is>
      </c>
      <c r="N311" t="inlineStr">
        <is>
          <t>County-stated status of application(s): Approved. Built/not-built is INFERRED: 2 data center building point(s) lie on/adjacent to the application area.</t>
        </is>
      </c>
      <c r="O311" t="inlineStr">
        <is>
          <t>https://logis.loudoun.gov/gis/rest/services/Projects/LOLA_DATA/MapServer/0/query?where=PlanNumber%3D%27STMP-2022-0017%27&amp;outFields=PlanNumber,PlanType,PlanStatus,PlanName,PlanApplicationDate,PlanDescription&amp;f=html</t>
        </is>
      </c>
      <c r="P311" t="n">
        <v>38.958524</v>
      </c>
      <c r="Q311" t="n">
        <v>-77.505234</v>
      </c>
    </row>
    <row r="312">
      <c r="A312" t="n">
        <v>693</v>
      </c>
      <c r="B312" t="inlineStr">
        <is>
          <t>Loudoun</t>
        </is>
      </c>
      <c r="C312" t="inlineStr">
        <is>
          <t>TECH PARK AT BRAMBLETON</t>
        </is>
      </c>
      <c r="D312" t="inlineStr">
        <is>
          <t>Site/engineering plan</t>
        </is>
      </c>
      <c r="E312" t="inlineStr">
        <is>
          <t>Approved/Planned</t>
        </is>
      </c>
      <c r="F312" t="inlineStr">
        <is>
          <t>Approved, not yet built (inferred)</t>
        </is>
      </c>
      <c r="G312" t="inlineStr">
        <is>
          <t>mixed (county application status stated; built/not-built inferred)</t>
        </is>
      </c>
      <c r="H312" t="inlineStr">
        <is>
          <t>STMP-2022-0018</t>
        </is>
      </c>
      <c r="I312" t="inlineStr">
        <is>
          <t>STMP-2022-0018 (Engineering Plan, Approved)</t>
        </is>
      </c>
      <c r="J312" t="inlineStr">
        <is>
          <t>2022-09-22</t>
        </is>
      </c>
      <c r="K312" t="inlineStr"/>
      <c r="L312" t="inlineStr">
        <is>
          <t>Yes</t>
        </is>
      </c>
      <c r="M312" t="inlineStr">
        <is>
          <t>TECH PARK AT BRAMBLETON : REQUEST APPROVAL OF A SITE PLAN (STMP) FOR FOUR (4) DATA CENTER BUILDINGS AND ON-SITE SUBSTATION IN THE PDIP ZONING DISTRICT ZDF</t>
        </is>
      </c>
      <c r="N312" t="inlineStr">
        <is>
          <t>County-stated status of application(s): Approved. Built/not-built is INFERRED: no mapped data center building lies within the application area.</t>
        </is>
      </c>
      <c r="O312" t="inlineStr">
        <is>
          <t>https://logis.loudoun.gov/gis/rest/services/Projects/LOLA_DATA/MapServer/0/query?where=PlanNumber%3D%27STMP-2022-0018%27&amp;outFields=PlanNumber,PlanType,PlanStatus,PlanName,PlanApplicationDate,PlanDescription&amp;f=html</t>
        </is>
      </c>
      <c r="P312" t="n">
        <v>39.117252</v>
      </c>
      <c r="Q312" t="n">
        <v>-77.578317</v>
      </c>
    </row>
    <row r="313">
      <c r="A313" t="n">
        <v>694</v>
      </c>
      <c r="B313" t="inlineStr">
        <is>
          <t>Loudoun</t>
        </is>
      </c>
      <c r="C313" t="inlineStr">
        <is>
          <t>PROJECT NOVA SOUTHEAST SITE PLAN</t>
        </is>
      </c>
      <c r="D313" t="inlineStr">
        <is>
          <t>Site/engineering plan</t>
        </is>
      </c>
      <c r="E313" t="inlineStr">
        <is>
          <t>Approved/Planned</t>
        </is>
      </c>
      <c r="F313" t="inlineStr">
        <is>
          <t>Approved, not yet built (inferred)</t>
        </is>
      </c>
      <c r="G313" t="inlineStr">
        <is>
          <t>mixed (county application status stated; built/not-built inferred)</t>
        </is>
      </c>
      <c r="H313" t="inlineStr">
        <is>
          <t>STMP-2022-0020</t>
        </is>
      </c>
      <c r="I313" t="inlineStr">
        <is>
          <t>STMP-2022-0020 (Engineering Plan, Approved)</t>
        </is>
      </c>
      <c r="J313" t="inlineStr">
        <is>
          <t>2022-10-03</t>
        </is>
      </c>
      <c r="K313" t="inlineStr"/>
      <c r="L313" t="inlineStr">
        <is>
          <t>Yes</t>
        </is>
      </c>
      <c r="M313" t="inlineStr">
        <is>
          <t>PROJECT NOVA SOUTHEAST SITE PLAN : REQUEST APPROVAL OF A SITE PLAN (STMP) FOR TWO (2) NEW DATA CENTER FACILITIES WITH ASSOCIATED INFRASTRUCTURE AND BMP IN THE PD-OP ZONING DISTRICT. ZDF</t>
        </is>
      </c>
      <c r="N313" t="inlineStr">
        <is>
          <t>County-stated status of application(s): Approved. Built/not-built is INFERRED: no mapped data center building lies within the application area.</t>
        </is>
      </c>
      <c r="O313" t="inlineStr">
        <is>
          <t>https://logis.loudoun.gov/gis/rest/services/Projects/LOLA_DATA/MapServer/0/query?where=PlanNumber%3D%27STMP-2022-0020%27&amp;outFields=PlanNumber,PlanType,PlanStatus,PlanName,PlanApplicationDate,PlanDescription&amp;f=html</t>
        </is>
      </c>
      <c r="P313" t="n">
        <v>39.117252</v>
      </c>
      <c r="Q313" t="n">
        <v>-77.578317</v>
      </c>
    </row>
    <row r="314">
      <c r="A314" t="n">
        <v>695</v>
      </c>
      <c r="B314" t="inlineStr">
        <is>
          <t>Loudoun</t>
        </is>
      </c>
      <c r="C314" t="inlineStr">
        <is>
          <t>TRUE NORTH DATA</t>
        </is>
      </c>
      <c r="D314" t="inlineStr">
        <is>
          <t>Site/engineering plan</t>
        </is>
      </c>
      <c r="E314" t="inlineStr">
        <is>
          <t>Approved/Planned</t>
        </is>
      </c>
      <c r="F314" t="inlineStr">
        <is>
          <t>Approved, not yet built (inferred)</t>
        </is>
      </c>
      <c r="G314" t="inlineStr">
        <is>
          <t>mixed (county application status stated; built/not-built inferred)</t>
        </is>
      </c>
      <c r="H314" t="inlineStr">
        <is>
          <t>STMP-2022-0021</t>
        </is>
      </c>
      <c r="I314" t="inlineStr">
        <is>
          <t>STMP-2022-0021 (Engineering Plan, Approved)</t>
        </is>
      </c>
      <c r="J314" t="inlineStr">
        <is>
          <t>2022-10-20</t>
        </is>
      </c>
      <c r="K314" t="inlineStr"/>
      <c r="L314" t="inlineStr">
        <is>
          <t>Yes</t>
        </is>
      </c>
      <c r="M314" t="inlineStr">
        <is>
          <t>TRUE NORTH DATA : REQUEST APPROVAL OF A MODIFIED PROCESS SITE PLAN (STMP) FOR A 309,906 SF DATA CENTER, IN THE PLANNED DEVELOPMENT- OFFICE PARK (PDOP) ZONINING DISTRICT. JAB</t>
        </is>
      </c>
      <c r="N314" t="inlineStr">
        <is>
          <t>County-stated status of application(s): Approved. Built/not-built is INFERRED: no mapped data center building lies within the application area.</t>
        </is>
      </c>
      <c r="O314" t="inlineStr">
        <is>
          <t>https://logis.loudoun.gov/gis/rest/services/Projects/LOLA_DATA/MapServer/0/query?where=PlanNumber%3D%27STMP-2022-0021%27&amp;outFields=PlanNumber,PlanType,PlanStatus,PlanName,PlanApplicationDate,PlanDescription&amp;f=html</t>
        </is>
      </c>
      <c r="P314" t="n">
        <v>39.117252</v>
      </c>
      <c r="Q314" t="n">
        <v>-77.578317</v>
      </c>
    </row>
    <row r="315">
      <c r="A315" t="n">
        <v>696</v>
      </c>
      <c r="B315" t="inlineStr">
        <is>
          <t>Loudoun</t>
        </is>
      </c>
      <c r="C315" t="inlineStr">
        <is>
          <t>VANTAGE-VA22</t>
        </is>
      </c>
      <c r="D315" t="inlineStr">
        <is>
          <t>Site/engineering plan</t>
        </is>
      </c>
      <c r="E315" t="inlineStr">
        <is>
          <t>Approved/Planned</t>
        </is>
      </c>
      <c r="F315" t="inlineStr">
        <is>
          <t>Approved entitlement; buildings already on site</t>
        </is>
      </c>
      <c r="G315" t="inlineStr">
        <is>
          <t>mixed (county application status stated; built/not-built inferred)</t>
        </is>
      </c>
      <c r="H315" t="inlineStr">
        <is>
          <t>STMP-2022-0023</t>
        </is>
      </c>
      <c r="I315" t="inlineStr">
        <is>
          <t>STMP-2022-0023 (Engineering Plan, Approved)</t>
        </is>
      </c>
      <c r="J315" t="inlineStr">
        <is>
          <t>2022-10-31</t>
        </is>
      </c>
      <c r="K315" t="inlineStr">
        <is>
          <t>441, 445</t>
        </is>
      </c>
      <c r="L315" t="inlineStr">
        <is>
          <t>Yes</t>
        </is>
      </c>
      <c r="M315" t="inlineStr">
        <is>
          <t>VANTAGE-VA22 : REQUEST APPROVAL OF A SITE PLAN (Fast Track) for the construction of Data Center, circulation drives, and associated infrastructure on landpreviously developed under. (PDIP) ZONING DISTRICT. JAB STMP-2022-0006. | Approved entitlement; data center building(s) already mapped on/adjacent to site</t>
        </is>
      </c>
      <c r="N315" t="inlineStr">
        <is>
          <t>County-stated status of application(s): Approved. Built/not-built is INFERRED: 2 data center building point(s) lie on/adjacent to the application area.</t>
        </is>
      </c>
      <c r="O315" t="inlineStr">
        <is>
          <t>https://logis.loudoun.gov/gis/rest/services/Projects/LOLA_DATA/MapServer/0/query?where=PlanNumber%3D%27STMP-2022-0023%27&amp;outFields=PlanNumber,PlanType,PlanStatus,PlanName,PlanApplicationDate,PlanDescription&amp;f=html</t>
        </is>
      </c>
      <c r="P315" t="n">
        <v>38.997768</v>
      </c>
      <c r="Q315" t="n">
        <v>-77.429979</v>
      </c>
    </row>
    <row r="316">
      <c r="A316" t="n">
        <v>697</v>
      </c>
      <c r="B316" t="inlineStr">
        <is>
          <t>Loudoun</t>
        </is>
      </c>
      <c r="C316" t="inlineStr">
        <is>
          <t>PARCEL J ASHBURN CENTER</t>
        </is>
      </c>
      <c r="D316" t="inlineStr">
        <is>
          <t>Site/engineering plan</t>
        </is>
      </c>
      <c r="E316" t="inlineStr">
        <is>
          <t>Approved/Planned</t>
        </is>
      </c>
      <c r="F316" t="inlineStr">
        <is>
          <t>Approved, not yet built (inferred)</t>
        </is>
      </c>
      <c r="G316" t="inlineStr">
        <is>
          <t>mixed (county application status stated; built/not-built inferred)</t>
        </is>
      </c>
      <c r="H316" t="inlineStr">
        <is>
          <t>STMP-2023-0001</t>
        </is>
      </c>
      <c r="I316" t="inlineStr">
        <is>
          <t>STMP-2023-0001 (Engineering Plan, Approved)</t>
        </is>
      </c>
      <c r="J316" t="inlineStr">
        <is>
          <t>2023-01-05</t>
        </is>
      </c>
      <c r="K316" t="inlineStr"/>
      <c r="L316" t="inlineStr">
        <is>
          <t>Yes</t>
        </is>
      </c>
      <c r="M316" t="inlineStr">
        <is>
          <t>PARCEL J ASHBURN CENTER : REQUEST APPROVAL OF A MODIFIED PROCESS SITE PLAN (STMP) FOR DEMO OF EXISTING ONE (1) STORY BUILDING AND CONSTRUCTION OF DATA CENTER AND ASSOCIATED INFRASTRUCTURE, IN THE PLANNED DEVELOPMENT - INDUSTRIAL PARK (PDIP) ZONING DISTRICT. EK</t>
        </is>
      </c>
      <c r="N316" t="inlineStr">
        <is>
          <t>County-stated status of application(s): Approved. Built/not-built is INFERRED: no mapped data center building lies within the application area.</t>
        </is>
      </c>
      <c r="O316" t="inlineStr">
        <is>
          <t>https://logis.loudoun.gov/gis/rest/services/Projects/LOLA_DATA/MapServer/0/query?where=PlanNumber%3D%27STMP-2023-0001%27&amp;outFields=PlanNumber,PlanType,PlanStatus,PlanName,PlanApplicationDate,PlanDescription&amp;f=html</t>
        </is>
      </c>
      <c r="P316" t="n">
        <v>39.117252</v>
      </c>
      <c r="Q316" t="n">
        <v>-77.578317</v>
      </c>
    </row>
    <row r="317">
      <c r="A317" t="n">
        <v>698</v>
      </c>
      <c r="B317" t="inlineStr">
        <is>
          <t>Loudoun</t>
        </is>
      </c>
      <c r="C317" t="inlineStr">
        <is>
          <t>IAD05</t>
        </is>
      </c>
      <c r="D317" t="inlineStr">
        <is>
          <t>Site/engineering plan</t>
        </is>
      </c>
      <c r="E317" t="inlineStr">
        <is>
          <t>Approved/Planned</t>
        </is>
      </c>
      <c r="F317" t="inlineStr">
        <is>
          <t>Approved entitlement; buildings already on site</t>
        </is>
      </c>
      <c r="G317" t="inlineStr">
        <is>
          <t>mixed (county application status stated; built/not-built inferred)</t>
        </is>
      </c>
      <c r="H317" t="inlineStr">
        <is>
          <t>STMP-2023-0004</t>
        </is>
      </c>
      <c r="I317" t="inlineStr">
        <is>
          <t>STMP-2023-0004 (Engineering Plan, Approved)</t>
        </is>
      </c>
      <c r="J317" t="inlineStr">
        <is>
          <t>2023-03-08</t>
        </is>
      </c>
      <c r="K317" t="inlineStr">
        <is>
          <t>345, 391, 392, 421, 422, 443, 451</t>
        </is>
      </c>
      <c r="L317" t="inlineStr">
        <is>
          <t>Yes</t>
        </is>
      </c>
      <c r="M317" t="inlineStr">
        <is>
          <t>IAD05 : REQUEST APPROVAL OF A MODIFIED PROCESS SITE PLAN (STMP) FOR CONSTRUCTION OF ONE (1) DATA CENTER IN THE, PLANNED DEVELOPMENT INDUSTRIAL PARK (PDIP) ZONING DISTRICT. EK | Approved entitlement; data center building(s) already mapped on/adjacent to site</t>
        </is>
      </c>
      <c r="N317" t="inlineStr">
        <is>
          <t>County-stated status of application(s): Approved. Built/not-built is INFERRED: 7 data center building point(s) lie on/adjacent to the application area.</t>
        </is>
      </c>
      <c r="O317" t="inlineStr">
        <is>
          <t>https://logis.loudoun.gov/gis/rest/services/Projects/LOLA_DATA/MapServer/0/query?where=PlanNumber%3D%27STMP-2023-0004%27&amp;outFields=PlanNumber,PlanType,PlanStatus,PlanName,PlanApplicationDate,PlanDescription&amp;f=html</t>
        </is>
      </c>
      <c r="P317" t="n">
        <v>39.062372</v>
      </c>
      <c r="Q317" t="n">
        <v>-77.55427299999999</v>
      </c>
    </row>
    <row r="318">
      <c r="A318" t="n">
        <v>699</v>
      </c>
      <c r="B318" t="inlineStr">
        <is>
          <t>Loudoun</t>
        </is>
      </c>
      <c r="C318" t="inlineStr">
        <is>
          <t>IAD12 &amp; IAD13 DATA CENTER</t>
        </is>
      </c>
      <c r="D318" t="inlineStr">
        <is>
          <t>Site/engineering plan</t>
        </is>
      </c>
      <c r="E318" t="inlineStr">
        <is>
          <t>Approved/Planned</t>
        </is>
      </c>
      <c r="F318" t="inlineStr">
        <is>
          <t>Approved entitlement; buildings already on site</t>
        </is>
      </c>
      <c r="G318" t="inlineStr">
        <is>
          <t>mixed (county application status stated; built/not-built inferred)</t>
        </is>
      </c>
      <c r="H318" t="inlineStr">
        <is>
          <t>STMP-2023-0005</t>
        </is>
      </c>
      <c r="I318" t="inlineStr">
        <is>
          <t>STMP-2023-0005 (Engineering Plan, Approved)</t>
        </is>
      </c>
      <c r="J318" t="inlineStr">
        <is>
          <t>2023-05-15</t>
        </is>
      </c>
      <c r="K318" t="inlineStr">
        <is>
          <t>423, 452, 453</t>
        </is>
      </c>
      <c r="L318" t="inlineStr">
        <is>
          <t>Yes</t>
        </is>
      </c>
      <c r="M318" t="inlineStr">
        <is>
          <t>IAD12 &amp; IAD13 DATA CENTER : REQUEST APPROVAL OF A MODIFIED PROCESS SITE PLAN (STMP) FOR CONSTRUCTION OF TWO (2) DATA CENTER BUILDINGS AND ASSOCIATED ROADS, UTILITIES, AND AN OFFSITE STEP POOL CONVEYANCE SYSTEM, IN THE PLANNED DEVELOPMENT - INDUSTRIAL PARK (PDIP) AND SINGLE FAMILY RESIDENTIAL - 1(R1) | Approved entitlement; data center building(s) already mapped on/adjacent to site</t>
        </is>
      </c>
      <c r="N318" t="inlineStr">
        <is>
          <t>County-stated status of application(s): Approved. Built/not-built is INFERRED: 3 data center building point(s) lie on/adjacent to the application area.</t>
        </is>
      </c>
      <c r="O318" t="inlineStr">
        <is>
          <t>https://logis.loudoun.gov/gis/rest/services/Projects/LOLA_DATA/MapServer/0/query?where=PlanNumber%3D%27STMP-2023-0005%27&amp;outFields=PlanNumber,PlanType,PlanStatus,PlanName,PlanApplicationDate,PlanDescription&amp;f=html</t>
        </is>
      </c>
      <c r="P318" t="n">
        <v>38.949041</v>
      </c>
      <c r="Q318" t="n">
        <v>-77.555145</v>
      </c>
    </row>
    <row r="319">
      <c r="A319" t="n">
        <v>700</v>
      </c>
      <c r="B319" t="inlineStr">
        <is>
          <t>Loudoun</t>
        </is>
      </c>
      <c r="C319" t="inlineStr">
        <is>
          <t>ASHBURN CORPORATE CENTER PHASE II</t>
        </is>
      </c>
      <c r="D319" t="inlineStr">
        <is>
          <t>Site/engineering plan</t>
        </is>
      </c>
      <c r="E319" t="inlineStr">
        <is>
          <t>Approved/Planned</t>
        </is>
      </c>
      <c r="F319" t="inlineStr">
        <is>
          <t>Approved entitlement; buildings already on site</t>
        </is>
      </c>
      <c r="G319" t="inlineStr">
        <is>
          <t>mixed (county application status stated; built/not-built inferred)</t>
        </is>
      </c>
      <c r="H319" t="inlineStr">
        <is>
          <t>STPL-2006-0004</t>
        </is>
      </c>
      <c r="I319" t="inlineStr">
        <is>
          <t>STPL-2006-0004 (Engineering Plan, Approved)</t>
        </is>
      </c>
      <c r="J319" t="inlineStr">
        <is>
          <t>2006-01-26</t>
        </is>
      </c>
      <c r="K319" t="inlineStr">
        <is>
          <t>287</t>
        </is>
      </c>
      <c r="L319" t="inlineStr">
        <is>
          <t>Yes</t>
        </is>
      </c>
      <c r="M319" t="inlineStr">
        <is>
          <t>ASHBURN CORPORATE CENTER PHASE II : REQUEST APPROVAL OF A SITE PLAN FOR A ONE-STORY DATA CENTER BUILDING ASSOCIATED PARKING AND UTILITY EXTENSIONS. er | Approved entitlement; data center building(s) already mapped on/adjacent to site</t>
        </is>
      </c>
      <c r="N319" t="inlineStr">
        <is>
          <t>County-stated status of application(s): Approved. Built/not-built is INFERRED: 1 data center building point(s) lie on/adjacent to the application area.</t>
        </is>
      </c>
      <c r="O319" t="inlineStr">
        <is>
          <t>https://logis.loudoun.gov/gis/rest/services/Projects/LOLA_DATA/MapServer/0/query?where=PlanNumber%3D%27STPL-2006-0004%27&amp;outFields=PlanNumber,PlanType,PlanStatus,PlanName,PlanApplicationDate,PlanDescription&amp;f=html</t>
        </is>
      </c>
      <c r="P319" t="n">
        <v>39.017905</v>
      </c>
      <c r="Q319" t="n">
        <v>-77.46264600000001</v>
      </c>
    </row>
    <row r="320">
      <c r="A320" t="n">
        <v>701</v>
      </c>
      <c r="B320" t="inlineStr">
        <is>
          <t>Loudoun</t>
        </is>
      </c>
      <c r="C320" t="inlineStr">
        <is>
          <t>PETERSON/COMMONWEALTH CENTER</t>
        </is>
      </c>
      <c r="D320" t="inlineStr">
        <is>
          <t>Site/engineering plan</t>
        </is>
      </c>
      <c r="E320" t="inlineStr">
        <is>
          <t>Approved/Planned</t>
        </is>
      </c>
      <c r="F320" t="inlineStr">
        <is>
          <t>Approved entitlement; buildings already on site</t>
        </is>
      </c>
      <c r="G320" t="inlineStr">
        <is>
          <t>mixed (county application status stated; built/not-built inferred)</t>
        </is>
      </c>
      <c r="H320" t="inlineStr">
        <is>
          <t>STPL-2006-0075</t>
        </is>
      </c>
      <c r="I320" t="inlineStr">
        <is>
          <t>STPL-2006-0075 (Engineering Plan, Approved); STPR-2007-0032 (Engineering Plan, Approved); STPR-2008-0019 (Engineering Plan, Approved)</t>
        </is>
      </c>
      <c r="J320" t="inlineStr">
        <is>
          <t>2006-11-07</t>
        </is>
      </c>
      <c r="K320" t="inlineStr">
        <is>
          <t>260</t>
        </is>
      </c>
      <c r="L320" t="inlineStr">
        <is>
          <t>Yes</t>
        </is>
      </c>
      <c r="M320" t="inlineStr">
        <is>
          <t>PETERSON/COMMONWEALTH CENTER : REQUEST APPROVAL OF A SITE PLAN REVISION TO PREVIOUSLY APPROVED PLANS (STPR 2007-0032) FOR CONSTRUCTION OF GENERAL OFFICE AND DATA CENTER IN THE PLANNED DEVELOPMENT INDUSTRIAL PARK (PDIP) ZONING DISTRICT. er | Approved entitlement; data center building(s) already mapped on/adjacent to site</t>
        </is>
      </c>
      <c r="N320" t="inlineStr">
        <is>
          <t>County-stated status of application(s): Approved. Built/not-built is INFERRED: 1 data center building point(s) lie on/adjacent to the application area.</t>
        </is>
      </c>
      <c r="O320" t="inlineStr">
        <is>
          <t>https://logis.loudoun.gov/gis/rest/services/Projects/LOLA_DATA/MapServer/0/query?where=PlanNumber%3D%27STPR-2008-0019%27&amp;outFields=PlanNumber,PlanType,PlanStatus,PlanName,PlanApplicationDate,PlanDescription&amp;f=html</t>
        </is>
      </c>
      <c r="P320" t="n">
        <v>39.049231</v>
      </c>
      <c r="Q320" t="n">
        <v>-77.44514599999999</v>
      </c>
    </row>
    <row r="321">
      <c r="A321" t="n">
        <v>702</v>
      </c>
      <c r="B321" t="inlineStr">
        <is>
          <t>Loudoun</t>
        </is>
      </c>
      <c r="C321" t="inlineStr">
        <is>
          <t>PROJECT COLUMBIA</t>
        </is>
      </c>
      <c r="D321" t="inlineStr">
        <is>
          <t>Site/engineering plan</t>
        </is>
      </c>
      <c r="E321" t="inlineStr">
        <is>
          <t>Approved/Planned</t>
        </is>
      </c>
      <c r="F321" t="inlineStr">
        <is>
          <t>Approved entitlement; buildings already on site</t>
        </is>
      </c>
      <c r="G321" t="inlineStr">
        <is>
          <t>mixed (county application status stated; built/not-built inferred)</t>
        </is>
      </c>
      <c r="H321" t="inlineStr">
        <is>
          <t>STPL-2011-0015</t>
        </is>
      </c>
      <c r="I321" t="inlineStr">
        <is>
          <t>STPL-2011-0015 (Engineering Plan, Approved)</t>
        </is>
      </c>
      <c r="J321" t="inlineStr">
        <is>
          <t>2011-06-14</t>
        </is>
      </c>
      <c r="K321" t="inlineStr">
        <is>
          <t>300</t>
        </is>
      </c>
      <c r="L321" t="inlineStr">
        <is>
          <t>Yes</t>
        </is>
      </c>
      <c r="M321" t="inlineStr">
        <is>
          <t>PROJECT COLUMBIA : REQUEST APPROVAL OF A SITE PLAN (STPL) FOR A PROPOSED SIXTY FOUR THOUSAND SEVEN HUNDRED EITHY TWO (64,782) SQUARE FOOT DATA CENTER AND A THIRTEEN THOUSAND SIX HUNDRED TWENTY SIX (13,626) SQUARE FOOT EXISTING DATA CENTER. DAS | Approved entitlement; data center building(s) already mapped on/adjacent to site</t>
        </is>
      </c>
      <c r="N321" t="inlineStr">
        <is>
          <t>County-stated status of application(s): Approved. Built/not-built is INFERRED: 1 data center building point(s) lie on/adjacent to the application area.</t>
        </is>
      </c>
      <c r="O321" t="inlineStr">
        <is>
          <t>https://logis.loudoun.gov/gis/rest/services/Projects/LOLA_DATA/MapServer/0/query?where=PlanNumber%3D%27STPL-2011-0015%27&amp;outFields=PlanNumber,PlanType,PlanStatus,PlanName,PlanApplicationDate,PlanDescription&amp;f=html</t>
        </is>
      </c>
      <c r="P321" t="n">
        <v>38.994455</v>
      </c>
      <c r="Q321" t="n">
        <v>-77.448132</v>
      </c>
    </row>
    <row r="322">
      <c r="A322" t="n">
        <v>703</v>
      </c>
      <c r="B322" t="inlineStr">
        <is>
          <t>Loudoun</t>
        </is>
      </c>
      <c r="C322" t="inlineStr">
        <is>
          <t>LOUDOUN METRO DATA CENTERS LM1 &amp; LM2</t>
        </is>
      </c>
      <c r="D322" t="inlineStr">
        <is>
          <t>Site/engineering plan</t>
        </is>
      </c>
      <c r="E322" t="inlineStr">
        <is>
          <t>Approved/Planned</t>
        </is>
      </c>
      <c r="F322" t="inlineStr">
        <is>
          <t>Approved entitlement; buildings already on site</t>
        </is>
      </c>
      <c r="G322" t="inlineStr">
        <is>
          <t>mixed (county application status stated; built/not-built inferred)</t>
        </is>
      </c>
      <c r="H322" t="inlineStr">
        <is>
          <t>STPL-2013-0032</t>
        </is>
      </c>
      <c r="I322" t="inlineStr">
        <is>
          <t>STPL-2013-0032 (Engineering Plan, Approved)</t>
        </is>
      </c>
      <c r="J322" t="inlineStr">
        <is>
          <t>2013-06-11</t>
        </is>
      </c>
      <c r="K322" t="inlineStr">
        <is>
          <t>464</t>
        </is>
      </c>
      <c r="L322" t="inlineStr">
        <is>
          <t>Yes</t>
        </is>
      </c>
      <c r="M322" t="inlineStr">
        <is>
          <t>LOUDOUN METRO DATA CENTERS LM1 &amp; LM2 : REQUEST APPROVAL OF A SITE PLAN (SPTL) FOR THE DESIGN OF TWO (2) DATA CENTER BUILDINGS, AND ASSOCIATED UTILITIES AND INFRASTRUCTURE IN THE PLANNED DEVELOPMENT OFFICE PARK ZONING DSITRICT. EB | Approved entitlement; data center building(s) already mapped on/adjacent to site</t>
        </is>
      </c>
      <c r="N322" t="inlineStr">
        <is>
          <t>County-stated status of application(s): Approved. Built/not-built is INFERRED: 1 data center building point(s) lie on/adjacent to the application area.</t>
        </is>
      </c>
      <c r="O322" t="inlineStr">
        <is>
          <t>https://logis.loudoun.gov/gis/rest/services/Projects/LOLA_DATA/MapServer/0/query?where=PlanNumber%3D%27STPL-2013-0032%27&amp;outFields=PlanNumber,PlanType,PlanStatus,PlanName,PlanApplicationDate,PlanDescription&amp;f=html</t>
        </is>
      </c>
      <c r="P322" t="n">
        <v>39.007779</v>
      </c>
      <c r="Q322" t="n">
        <v>-77.477082</v>
      </c>
    </row>
    <row r="323">
      <c r="A323" t="n">
        <v>704</v>
      </c>
      <c r="B323" t="inlineStr">
        <is>
          <t>Loudoun</t>
        </is>
      </c>
      <c r="C323" t="inlineStr">
        <is>
          <t>LOUDOUN CENTER ACC-9 DATA CENTER</t>
        </is>
      </c>
      <c r="D323" t="inlineStr">
        <is>
          <t>Site/engineering plan</t>
        </is>
      </c>
      <c r="E323" t="inlineStr">
        <is>
          <t>Approved/Planned</t>
        </is>
      </c>
      <c r="F323" t="inlineStr">
        <is>
          <t>Approved, not yet built (inferred)</t>
        </is>
      </c>
      <c r="G323" t="inlineStr">
        <is>
          <t>mixed (county application status stated; built/not-built inferred)</t>
        </is>
      </c>
      <c r="H323" t="inlineStr">
        <is>
          <t>STPL-2013-0058</t>
        </is>
      </c>
      <c r="I323" t="inlineStr">
        <is>
          <t>STPL-2013-0058 (Engineering Plan, Approved)</t>
        </is>
      </c>
      <c r="J323" t="inlineStr">
        <is>
          <t>2013-12-26</t>
        </is>
      </c>
      <c r="K323" t="inlineStr"/>
      <c r="L323" t="inlineStr">
        <is>
          <t>Yes</t>
        </is>
      </c>
      <c r="M323" t="inlineStr">
        <is>
          <t>LOUDOUN CENTER ACC-9 DATA CENTER : REQUEST APPROVAL OF A SITE PLAN (STPL) FOR THE DESIGN OF A SINGLE DATACENTER BUILDING AND ASSOCIATES UTILITIES AND INFRASTRUCTURE IN A OFFICE PARK ZONING DISTRICT. SMK</t>
        </is>
      </c>
      <c r="N323" t="inlineStr">
        <is>
          <t>County-stated status of application(s): Approved. Built/not-built is INFERRED: no mapped data center building lies within the application area.</t>
        </is>
      </c>
      <c r="O323" t="inlineStr">
        <is>
          <t>https://logis.loudoun.gov/gis/rest/services/Projects/LOLA_DATA/MapServer/0/query?where=PlanNumber%3D%27STPL-2013-0058%27&amp;outFields=PlanNumber,PlanType,PlanStatus,PlanName,PlanApplicationDate,PlanDescription&amp;f=html</t>
        </is>
      </c>
      <c r="P323" t="n">
        <v>39.117252</v>
      </c>
      <c r="Q323" t="n">
        <v>-77.578317</v>
      </c>
    </row>
    <row r="324">
      <c r="A324" t="n">
        <v>705</v>
      </c>
      <c r="B324" t="inlineStr">
        <is>
          <t>Loudoun</t>
        </is>
      </c>
      <c r="C324" t="inlineStr">
        <is>
          <t>BEAUMEADE/LOUDOUN COUNTY PKWY PH III</t>
        </is>
      </c>
      <c r="D324" t="inlineStr">
        <is>
          <t>Site/engineering plan</t>
        </is>
      </c>
      <c r="E324" t="inlineStr">
        <is>
          <t>Approved/Planned</t>
        </is>
      </c>
      <c r="F324" t="inlineStr">
        <is>
          <t>Approved, not yet built (inferred)</t>
        </is>
      </c>
      <c r="G324" t="inlineStr">
        <is>
          <t>mixed (county application status stated; built/not-built inferred)</t>
        </is>
      </c>
      <c r="H324" t="inlineStr">
        <is>
          <t>STPL-2014-0017</t>
        </is>
      </c>
      <c r="I324" t="inlineStr">
        <is>
          <t>STPL-2014-0017 (Engineering Plan, Approved)</t>
        </is>
      </c>
      <c r="J324" t="inlineStr">
        <is>
          <t>2014-03-18</t>
        </is>
      </c>
      <c r="K324" t="inlineStr"/>
      <c r="L324" t="inlineStr">
        <is>
          <t>Yes</t>
        </is>
      </c>
      <c r="M324" t="inlineStr">
        <is>
          <t>BEAUMEADE/LOUDOUN COUNTY PKWY PH III : REQUEST APPROVAL OF A SITE PLAN (STPL) FOR IMPROVEMENTS ASSOCIATED WITH TWO (2) DATA CENTERS BUILDINGS IN A INDUSTRIAL ZONING DISTRICT. SMK</t>
        </is>
      </c>
      <c r="N324" t="inlineStr">
        <is>
          <t>County-stated status of application(s): Approved. Built/not-built is INFERRED: no mapped data center building lies within the application area.</t>
        </is>
      </c>
      <c r="O324" t="inlineStr">
        <is>
          <t>https://logis.loudoun.gov/gis/rest/services/Projects/LOLA_DATA/MapServer/0/query?where=PlanNumber%3D%27STPL-2014-0017%27&amp;outFields=PlanNumber,PlanType,PlanStatus,PlanName,PlanApplicationDate,PlanDescription&amp;f=html</t>
        </is>
      </c>
      <c r="P324" t="n">
        <v>39.117252</v>
      </c>
      <c r="Q324" t="n">
        <v>-77.578317</v>
      </c>
    </row>
    <row r="325">
      <c r="A325" t="n">
        <v>706</v>
      </c>
      <c r="B325" t="inlineStr">
        <is>
          <t>Loudoun</t>
        </is>
      </c>
      <c r="C325" t="inlineStr">
        <is>
          <t>LOUDOUN METRO DATA CENTER LM 3 &amp; LM 4</t>
        </is>
      </c>
      <c r="D325" t="inlineStr">
        <is>
          <t>Site/engineering plan</t>
        </is>
      </c>
      <c r="E325" t="inlineStr">
        <is>
          <t>Approved/Planned</t>
        </is>
      </c>
      <c r="F325" t="inlineStr">
        <is>
          <t>Approved, not yet built (inferred)</t>
        </is>
      </c>
      <c r="G325" t="inlineStr">
        <is>
          <t>mixed (county application status stated; built/not-built inferred)</t>
        </is>
      </c>
      <c r="H325" t="inlineStr">
        <is>
          <t>STPL-2014-0024</t>
        </is>
      </c>
      <c r="I325" t="inlineStr">
        <is>
          <t>STPL-2014-0024 (Engineering Plan, Approved)</t>
        </is>
      </c>
      <c r="J325" t="inlineStr">
        <is>
          <t>2014-05-22</t>
        </is>
      </c>
      <c r="K325" t="inlineStr"/>
      <c r="L325" t="inlineStr">
        <is>
          <t>Yes</t>
        </is>
      </c>
      <c r="M325" t="inlineStr">
        <is>
          <t>LOUDOUN METRO DATA CENTER LM 3 &amp; LM 4 : REQUEST APPROVAL OF A SITE PLAN (STPL) FOR TWO (2) DATA CENTER BUILDINGS AND ASSOCIATED ROADWAYS AND INFRASTRUCTURE PER APPROVED ZMAP-2000-0006. MCC</t>
        </is>
      </c>
      <c r="N325" t="inlineStr">
        <is>
          <t>County-stated status of application(s): Approved. Built/not-built is INFERRED: no mapped data center building lies within the application area.</t>
        </is>
      </c>
      <c r="O325" t="inlineStr">
        <is>
          <t>https://logis.loudoun.gov/gis/rest/services/Projects/LOLA_DATA/MapServer/0/query?where=PlanNumber%3D%27STPL-2014-0024%27&amp;outFields=PlanNumber,PlanType,PlanStatus,PlanName,PlanApplicationDate,PlanDescription&amp;f=html</t>
        </is>
      </c>
      <c r="P325" t="n">
        <v>39.005552</v>
      </c>
      <c r="Q325" t="n">
        <v>-77.482617</v>
      </c>
    </row>
    <row r="326">
      <c r="A326" t="n">
        <v>707</v>
      </c>
      <c r="B326" t="inlineStr">
        <is>
          <t>Loudoun</t>
        </is>
      </c>
      <c r="C326" t="inlineStr">
        <is>
          <t>LOUDOUN METRO DATA CENTER LM5-LM8</t>
        </is>
      </c>
      <c r="D326" t="inlineStr">
        <is>
          <t>Site/engineering plan</t>
        </is>
      </c>
      <c r="E326" t="inlineStr">
        <is>
          <t>Approved/Planned</t>
        </is>
      </c>
      <c r="F326" t="inlineStr">
        <is>
          <t>Approved entitlement; buildings already on site</t>
        </is>
      </c>
      <c r="G326" t="inlineStr">
        <is>
          <t>mixed (county application status stated; built/not-built inferred)</t>
        </is>
      </c>
      <c r="H326" t="inlineStr">
        <is>
          <t>STPL-2015-0011</t>
        </is>
      </c>
      <c r="I326" t="inlineStr">
        <is>
          <t>STPL-2015-0011 (Engineering Plan, Approved)</t>
        </is>
      </c>
      <c r="J326" t="inlineStr">
        <is>
          <t>2015-03-26</t>
        </is>
      </c>
      <c r="K326" t="inlineStr">
        <is>
          <t>464</t>
        </is>
      </c>
      <c r="L326" t="inlineStr">
        <is>
          <t>Yes</t>
        </is>
      </c>
      <c r="M326" t="inlineStr">
        <is>
          <t>LOUDOUN METRO DATA CENTER LM5-LM8 : REQUEST APPROVAL OF A SITE PLAN (STPL) FOR FOUR (4) DATA CENTER BUILDINGS AND ASSOCIATED ROADWAYS AND INFRASTRUCTURES IN A OFFICE PARKZONING DISTRICT. SMK | Approved entitlement; data center building(s) already mapped on/adjacent to site</t>
        </is>
      </c>
      <c r="N326" t="inlineStr">
        <is>
          <t>County-stated status of application(s): Approved. Built/not-built is INFERRED: 1 data center building point(s) lie on/adjacent to the application area.</t>
        </is>
      </c>
      <c r="O326" t="inlineStr">
        <is>
          <t>https://logis.loudoun.gov/gis/rest/services/Projects/LOLA_DATA/MapServer/0/query?where=PlanNumber%3D%27STPL-2015-0011%27&amp;outFields=PlanNumber,PlanType,PlanStatus,PlanName,PlanApplicationDate,PlanDescription&amp;f=html</t>
        </is>
      </c>
      <c r="P326" t="n">
        <v>39.00569</v>
      </c>
      <c r="Q326" t="n">
        <v>-77.47698099999999</v>
      </c>
    </row>
    <row r="327">
      <c r="A327" t="n">
        <v>708</v>
      </c>
      <c r="B327" t="inlineStr">
        <is>
          <t>Loudoun</t>
        </is>
      </c>
      <c r="C327" t="inlineStr">
        <is>
          <t>ARCOLA LAKHVINDER PROPERTY</t>
        </is>
      </c>
      <c r="D327" t="inlineStr">
        <is>
          <t>Site/engineering plan</t>
        </is>
      </c>
      <c r="E327" t="inlineStr">
        <is>
          <t>Pending</t>
        </is>
      </c>
      <c r="F327" t="inlineStr">
        <is>
          <t>Pending application</t>
        </is>
      </c>
      <c r="G327" t="inlineStr">
        <is>
          <t>stated</t>
        </is>
      </c>
      <c r="H327" t="inlineStr">
        <is>
          <t>STPL-2018-0019</t>
        </is>
      </c>
      <c r="I327" t="inlineStr">
        <is>
          <t>STPL-2018-0019 (Engineering Plan, In Review)</t>
        </is>
      </c>
      <c r="J327" t="inlineStr">
        <is>
          <t>2018-06-19</t>
        </is>
      </c>
      <c r="K327" t="inlineStr"/>
      <c r="L327" t="inlineStr">
        <is>
          <t>Yes</t>
        </is>
      </c>
      <c r="M327" t="inlineStr">
        <is>
          <t>(Conditional Approval) ARCOLA LAKHVINDER PROPERTY : REQUEST APPROVAL OF A SITE PLAN (STPL) FOR TWO DATA CENTER BUILDINGS WITH ASSOCIATED INFRASTRUCTURE, IN THE PLANNED DEVELOPMENT- GENERAL INDUSTRIAL (PDGI) ZONING DISTRICT. HV</t>
        </is>
      </c>
      <c r="N327" t="inlineStr">
        <is>
          <t>County-stated status of application(s): In Review.</t>
        </is>
      </c>
      <c r="O327" t="inlineStr">
        <is>
          <t>https://logis.loudoun.gov/gis/rest/services/Projects/LOLA_DATA/MapServer/0/query?where=PlanNumber%3D%27STPL-2018-0019%27&amp;outFields=PlanNumber,PlanType,PlanStatus,PlanName,PlanApplicationDate,PlanDescription&amp;f=html</t>
        </is>
      </c>
      <c r="P327" t="n">
        <v>38.942053</v>
      </c>
      <c r="Q327" t="n">
        <v>-77.54690600000001</v>
      </c>
    </row>
    <row r="328">
      <c r="A328" t="n">
        <v>709</v>
      </c>
      <c r="B328" t="inlineStr">
        <is>
          <t>Loudoun</t>
        </is>
      </c>
      <c r="C328" t="inlineStr">
        <is>
          <t>21673 BEAUMEADE CIRCLE</t>
        </is>
      </c>
      <c r="D328" t="inlineStr">
        <is>
          <t>Site/engineering plan</t>
        </is>
      </c>
      <c r="E328" t="inlineStr">
        <is>
          <t>Approved/Planned</t>
        </is>
      </c>
      <c r="F328" t="inlineStr">
        <is>
          <t>Approved entitlement; buildings already on site</t>
        </is>
      </c>
      <c r="G328" t="inlineStr">
        <is>
          <t>mixed (county application status stated; built/not-built inferred)</t>
        </is>
      </c>
      <c r="H328" t="inlineStr">
        <is>
          <t>STPL-2019-0037</t>
        </is>
      </c>
      <c r="I328" t="inlineStr">
        <is>
          <t>STPL-2019-0037 (Engineering Plan, Approved)</t>
        </is>
      </c>
      <c r="J328" t="inlineStr">
        <is>
          <t>2019-09-17</t>
        </is>
      </c>
      <c r="K328" t="inlineStr">
        <is>
          <t>405</t>
        </is>
      </c>
      <c r="L328" t="inlineStr">
        <is>
          <t>Yes</t>
        </is>
      </c>
      <c r="M328" t="inlineStr">
        <is>
          <t>21673 BEAUMEADE CIRCLE : REQUEST APPROVAL OF A SITE PLAN (STPL) FOR A DATA CENTER, IN THE PLANNED DEVELOPMENT- INDUSTRIAL PARK (PDIP) ZONING DISTRICT. HV | Approved entitlement; data center building(s) already mapped on/adjacent to site</t>
        </is>
      </c>
      <c r="N328" t="inlineStr">
        <is>
          <t>County-stated status of application(s): Approved. Built/not-built is INFERRED: 1 data center building point(s) lie on/adjacent to the application area.</t>
        </is>
      </c>
      <c r="O328" t="inlineStr">
        <is>
          <t>https://logis.loudoun.gov/gis/rest/services/Projects/LOLA_DATA/MapServer/0/query?where=PlanNumber%3D%27STPL-2019-0037%27&amp;outFields=PlanNumber,PlanType,PlanStatus,PlanName,PlanApplicationDate,PlanDescription&amp;f=html</t>
        </is>
      </c>
      <c r="P328" t="n">
        <v>39.018806</v>
      </c>
      <c r="Q328" t="n">
        <v>-77.45822200000001</v>
      </c>
    </row>
    <row r="329">
      <c r="A329" t="n">
        <v>710</v>
      </c>
      <c r="B329" t="inlineStr">
        <is>
          <t>Loudoun</t>
        </is>
      </c>
      <c r="C329" t="inlineStr">
        <is>
          <t>ASHBURN CENTER NORTH ZCOLO</t>
        </is>
      </c>
      <c r="D329" t="inlineStr">
        <is>
          <t>Site/engineering plan</t>
        </is>
      </c>
      <c r="E329" t="inlineStr">
        <is>
          <t>Approved/Planned</t>
        </is>
      </c>
      <c r="F329" t="inlineStr">
        <is>
          <t>Approved entitlement; buildings already on site</t>
        </is>
      </c>
      <c r="G329" t="inlineStr">
        <is>
          <t>mixed (county application status stated; built/not-built inferred)</t>
        </is>
      </c>
      <c r="H329" t="inlineStr">
        <is>
          <t>STPL-2019-0039</t>
        </is>
      </c>
      <c r="I329" t="inlineStr">
        <is>
          <t>STPL-2019-0039 (Engineering Plan, Approved)</t>
        </is>
      </c>
      <c r="J329" t="inlineStr">
        <is>
          <t>2019-10-02</t>
        </is>
      </c>
      <c r="K329" t="inlineStr">
        <is>
          <t>428</t>
        </is>
      </c>
      <c r="L329" t="inlineStr">
        <is>
          <t>Yes</t>
        </is>
      </c>
      <c r="M329" t="inlineStr">
        <is>
          <t>ASHBURN CENTER NORTH ZCOLO : REQUEST APPROVAL OF A SITE PLAN (STPL) FOR A PROPOSED DATA CENTER, IN THE PLANNED DEVELOPMENT- INDUSTRIAL PARK (PDIP) ZONING DISTRICT. HV | Approved entitlement; data center building(s) already mapped on/adjacent to site</t>
        </is>
      </c>
      <c r="N329" t="inlineStr">
        <is>
          <t>County-stated status of application(s): Approved. Built/not-built is INFERRED: 1 data center building point(s) lie on/adjacent to the application area.</t>
        </is>
      </c>
      <c r="O329" t="inlineStr">
        <is>
          <t>https://logis.loudoun.gov/gis/rest/services/Projects/LOLA_DATA/MapServer/0/query?where=PlanNumber%3D%27STPL-2019-0039%27&amp;outFields=PlanNumber,PlanType,PlanStatus,PlanName,PlanApplicationDate,PlanDescription&amp;f=html</t>
        </is>
      </c>
      <c r="P329" t="n">
        <v>39.017963</v>
      </c>
      <c r="Q329" t="n">
        <v>-77.48157</v>
      </c>
    </row>
    <row r="330">
      <c r="A330" t="n">
        <v>711</v>
      </c>
      <c r="B330" t="inlineStr">
        <is>
          <t>Loudoun</t>
        </is>
      </c>
      <c r="C330" t="inlineStr">
        <is>
          <t>LOUDOUN CENTER- LC3 DATA CENTER</t>
        </is>
      </c>
      <c r="D330" t="inlineStr">
        <is>
          <t>Site/engineering plan</t>
        </is>
      </c>
      <c r="E330" t="inlineStr">
        <is>
          <t>Approved/Planned</t>
        </is>
      </c>
      <c r="F330" t="inlineStr">
        <is>
          <t>Approved entitlement; buildings already on site</t>
        </is>
      </c>
      <c r="G330" t="inlineStr">
        <is>
          <t>mixed (county application status stated; built/not-built inferred)</t>
        </is>
      </c>
      <c r="H330" t="inlineStr">
        <is>
          <t>STPL-2020-0044</t>
        </is>
      </c>
      <c r="I330" t="inlineStr">
        <is>
          <t>STPL-2020-0044 (Engineering Plan, Approved)</t>
        </is>
      </c>
      <c r="J330" t="inlineStr">
        <is>
          <t>2020-10-13</t>
        </is>
      </c>
      <c r="K330" t="inlineStr">
        <is>
          <t>366, 424</t>
        </is>
      </c>
      <c r="L330" t="inlineStr">
        <is>
          <t>Yes</t>
        </is>
      </c>
      <c r="M330" t="inlineStr">
        <is>
          <t>LOUDOUN CENTER- LC3 DATA CENTER : REQUEST APPROVAL OF A SITE PLAN (STPL) FOR THE CONSTRUCTION OF A 3-STORY DATA CENTER, IN THE PLANNED DEVELOPMENT-OFFICE PARK (PDOP) ZONING DISTRICT. AM | Approved entitlement; data center building(s) already mapped on/adjacent to site</t>
        </is>
      </c>
      <c r="N330" t="inlineStr">
        <is>
          <t>County-stated status of application(s): Approved. Built/not-built is INFERRED: 2 data center building point(s) lie on/adjacent to the application area.</t>
        </is>
      </c>
      <c r="O330" t="inlineStr">
        <is>
          <t>https://logis.loudoun.gov/gis/rest/services/Projects/LOLA_DATA/MapServer/0/query?where=PlanNumber%3D%27STPL-2020-0044%27&amp;outFields=PlanNumber,PlanType,PlanStatus,PlanName,PlanApplicationDate,PlanDescription&amp;f=html</t>
        </is>
      </c>
      <c r="P330" t="n">
        <v>39.01196</v>
      </c>
      <c r="Q330" t="n">
        <v>-77.461759</v>
      </c>
    </row>
    <row r="331">
      <c r="A331" t="n">
        <v>712</v>
      </c>
      <c r="B331" t="inlineStr">
        <is>
          <t>Loudoun</t>
        </is>
      </c>
      <c r="C331" t="inlineStr">
        <is>
          <t>CORSCALE VA2 BLDG 1</t>
        </is>
      </c>
      <c r="D331" t="inlineStr">
        <is>
          <t>Site/engineering plan</t>
        </is>
      </c>
      <c r="E331" t="inlineStr">
        <is>
          <t>Approved/Planned</t>
        </is>
      </c>
      <c r="F331" t="inlineStr">
        <is>
          <t>Approved, not yet built (inferred)</t>
        </is>
      </c>
      <c r="G331" t="inlineStr">
        <is>
          <t>mixed (county application status stated; built/not-built inferred)</t>
        </is>
      </c>
      <c r="H331" t="inlineStr">
        <is>
          <t>STPL-2022-0012</t>
        </is>
      </c>
      <c r="I331" t="inlineStr">
        <is>
          <t>STPL-2022-0012 (Engineering Plan, Approved)</t>
        </is>
      </c>
      <c r="J331" t="inlineStr">
        <is>
          <t>2022-04-11</t>
        </is>
      </c>
      <c r="K331" t="inlineStr"/>
      <c r="L331" t="inlineStr">
        <is>
          <t>Yes</t>
        </is>
      </c>
      <c r="M331" t="inlineStr">
        <is>
          <t>CORSCALE VA2 BLDG 1 : REQUEST APPROVAL OF A SITE PLAN (STPL) FOR THE CONSTRUCTION OF A DATACENTER BUILDING, IN THE PLANNED DEVELOPMENT- INDUSTRIAL PARK (PDIP) ZONING DISTRICT. HV</t>
        </is>
      </c>
      <c r="N331" t="inlineStr">
        <is>
          <t>County-stated status of application(s): Approved. Built/not-built is INFERRED: no mapped data center building lies within the application area.</t>
        </is>
      </c>
      <c r="O331" t="inlineStr">
        <is>
          <t>https://logis.loudoun.gov/gis/rest/services/Projects/LOLA_DATA/MapServer/0/query?where=PlanNumber%3D%27STPL-2022-0012%27&amp;outFields=PlanNumber,PlanType,PlanStatus,PlanName,PlanApplicationDate,PlanDescription&amp;f=html</t>
        </is>
      </c>
      <c r="P331" t="n">
        <v>39.037598</v>
      </c>
      <c r="Q331" t="n">
        <v>-77.43378300000001</v>
      </c>
    </row>
    <row r="332">
      <c r="A332" t="n">
        <v>713</v>
      </c>
      <c r="B332" t="inlineStr">
        <is>
          <t>Loudoun</t>
        </is>
      </c>
      <c r="C332" t="inlineStr">
        <is>
          <t>ASHBURN CENTER NORTH</t>
        </is>
      </c>
      <c r="D332" t="inlineStr">
        <is>
          <t>Site/engineering plan</t>
        </is>
      </c>
      <c r="E332" t="inlineStr">
        <is>
          <t>Approved/Planned</t>
        </is>
      </c>
      <c r="F332" t="inlineStr">
        <is>
          <t>Approved entitlement; buildings already on site</t>
        </is>
      </c>
      <c r="G332" t="inlineStr">
        <is>
          <t>mixed (county application status stated; built/not-built inferred)</t>
        </is>
      </c>
      <c r="H332" t="inlineStr">
        <is>
          <t>STPL-2022-0030</t>
        </is>
      </c>
      <c r="I332" t="inlineStr">
        <is>
          <t>STPL-2022-0030 (Engineering Plan, Approved)</t>
        </is>
      </c>
      <c r="J332" t="inlineStr">
        <is>
          <t>2022-08-10</t>
        </is>
      </c>
      <c r="K332" t="inlineStr">
        <is>
          <t>428</t>
        </is>
      </c>
      <c r="L332" t="inlineStr">
        <is>
          <t>Yes</t>
        </is>
      </c>
      <c r="M332" t="inlineStr">
        <is>
          <t>ASHBURN CENTER NORTH : REQUEST APPROVAL OF A SITE PLAN (STPL) FOR A PROPOSED DATA CENTER, IN THE PLANNED DEVELOPMENT-INDUSTRIAL PARK (PDIP) ZONING DISTRICT. AM | Approved entitlement; data center building(s) already mapped on/adjacent to site</t>
        </is>
      </c>
      <c r="N332" t="inlineStr">
        <is>
          <t>County-stated status of application(s): Approved. Built/not-built is INFERRED: 1 data center building point(s) lie on/adjacent to the application area.</t>
        </is>
      </c>
      <c r="O332" t="inlineStr">
        <is>
          <t>https://logis.loudoun.gov/gis/rest/services/Projects/LOLA_DATA/MapServer/0/query?where=PlanNumber%3D%27STPL-2022-0030%27&amp;outFields=PlanNumber,PlanType,PlanStatus,PlanName,PlanApplicationDate,PlanDescription&amp;f=html</t>
        </is>
      </c>
      <c r="P332" t="n">
        <v>39.017963</v>
      </c>
      <c r="Q332" t="n">
        <v>-77.48157</v>
      </c>
    </row>
    <row r="333">
      <c r="A333" t="n">
        <v>714</v>
      </c>
      <c r="B333" t="inlineStr">
        <is>
          <t>Loudoun</t>
        </is>
      </c>
      <c r="C333" t="inlineStr">
        <is>
          <t>COCHRAN MILL ROAD</t>
        </is>
      </c>
      <c r="D333" t="inlineStr">
        <is>
          <t>Site/engineering plan</t>
        </is>
      </c>
      <c r="E333" t="inlineStr">
        <is>
          <t>Approved/Planned</t>
        </is>
      </c>
      <c r="F333" t="inlineStr">
        <is>
          <t>Approved, not yet built (inferred)</t>
        </is>
      </c>
      <c r="G333" t="inlineStr">
        <is>
          <t>mixed (county application status stated; built/not-built inferred)</t>
        </is>
      </c>
      <c r="H333" t="inlineStr">
        <is>
          <t>STPL-2022-0040</t>
        </is>
      </c>
      <c r="I333" t="inlineStr">
        <is>
          <t>STPL-2022-0040 (Engineering Plan, Approved)</t>
        </is>
      </c>
      <c r="J333" t="inlineStr">
        <is>
          <t>2022-09-27</t>
        </is>
      </c>
      <c r="K333" t="inlineStr"/>
      <c r="L333" t="inlineStr">
        <is>
          <t>Yes</t>
        </is>
      </c>
      <c r="M333" t="inlineStr">
        <is>
          <t>(APPROVED) COCHRAN MILL ROAD : REQUEST APPROVAL OF A SITE PLAN (STPL) FOR THE REDEVELOPMENT OF MULTIPLE MATERIAL MANUFACTURING PLANTS AND NEW DEVELOPMENT CONSISTING OF THREE (3) DATA CENTERS, TWO (2) WAREHOUSES AND ASSOCIATED INFRASTRUCTURE IN THE MRHI ZONING DISTRICT. ZDF</t>
        </is>
      </c>
      <c r="N333" t="inlineStr">
        <is>
          <t>County-stated status of application(s): Approved. Built/not-built is INFERRED: no mapped data center building lies within the application area.</t>
        </is>
      </c>
      <c r="O333" t="inlineStr">
        <is>
          <t>https://logis.loudoun.gov/gis/rest/services/Projects/LOLA_DATA/MapServer/0/query?where=PlanNumber%3D%27STPL-2022-0040%27&amp;outFields=PlanNumber,PlanType,PlanStatus,PlanName,PlanApplicationDate,PlanDescription&amp;f=html</t>
        </is>
      </c>
      <c r="P333" t="n">
        <v>39.073269</v>
      </c>
      <c r="Q333" t="n">
        <v>-77.518467</v>
      </c>
    </row>
    <row r="334">
      <c r="A334" t="n">
        <v>715</v>
      </c>
      <c r="B334" t="inlineStr">
        <is>
          <t>Loudoun</t>
        </is>
      </c>
      <c r="C334" t="inlineStr">
        <is>
          <t>RIDGETOP CENTER</t>
        </is>
      </c>
      <c r="D334" t="inlineStr">
        <is>
          <t>Site/engineering plan</t>
        </is>
      </c>
      <c r="E334" t="inlineStr">
        <is>
          <t>Pending</t>
        </is>
      </c>
      <c r="F334" t="inlineStr">
        <is>
          <t>Pending application</t>
        </is>
      </c>
      <c r="G334" t="inlineStr">
        <is>
          <t>stated</t>
        </is>
      </c>
      <c r="H334" t="inlineStr">
        <is>
          <t>STPL-2022-0051</t>
        </is>
      </c>
      <c r="I334" t="inlineStr">
        <is>
          <t>STPL-2022-0051 (Engineering Plan, In Review)</t>
        </is>
      </c>
      <c r="J334" t="inlineStr">
        <is>
          <t>2022-11-04</t>
        </is>
      </c>
      <c r="K334" t="inlineStr"/>
      <c r="L334" t="inlineStr">
        <is>
          <t>Yes</t>
        </is>
      </c>
      <c r="M334" t="inlineStr">
        <is>
          <t>(Conditional Approval) RIDGETOP CENTER : REQUEST APPROVAL OF A SITE PLAN (STPL) FOR THE CONSTRUCTION OF TWO DATA CENTER BUILDINGS, IN THE PLANNED DEVELOPMENT - INDUSTRIAL PARK (PDIP) ZONING DISTRICT. EK</t>
        </is>
      </c>
      <c r="N334" t="inlineStr">
        <is>
          <t>County-stated status of application(s): In Review.</t>
        </is>
      </c>
      <c r="O334" t="inlineStr">
        <is>
          <t>https://logis.loudoun.gov/gis/rest/services/Projects/LOLA_DATA/MapServer/0/query?where=PlanNumber%3D%27STPL-2022-0051%27&amp;outFields=PlanNumber,PlanType,PlanStatus,PlanName,PlanApplicationDate,PlanDescription&amp;f=html</t>
        </is>
      </c>
      <c r="P334" t="n">
        <v>39.024795</v>
      </c>
      <c r="Q334" t="n">
        <v>-77.410124</v>
      </c>
    </row>
    <row r="335">
      <c r="A335" t="n">
        <v>716</v>
      </c>
      <c r="B335" t="inlineStr">
        <is>
          <t>Loudoun</t>
        </is>
      </c>
      <c r="C335" t="inlineStr">
        <is>
          <t>CLARKE HOOK CENTER</t>
        </is>
      </c>
      <c r="D335" t="inlineStr">
        <is>
          <t>Site/engineering plan</t>
        </is>
      </c>
      <c r="E335" t="inlineStr">
        <is>
          <t>Pending</t>
        </is>
      </c>
      <c r="F335" t="inlineStr">
        <is>
          <t>Pending application</t>
        </is>
      </c>
      <c r="G335" t="inlineStr">
        <is>
          <t>stated</t>
        </is>
      </c>
      <c r="H335" t="inlineStr">
        <is>
          <t>STPL-2022-0052</t>
        </is>
      </c>
      <c r="I335" t="inlineStr">
        <is>
          <t>STPL-2022-0052 (Engineering Plan, In Review)</t>
        </is>
      </c>
      <c r="J335" t="inlineStr">
        <is>
          <t>2022-11-04</t>
        </is>
      </c>
      <c r="K335" t="inlineStr"/>
      <c r="L335" t="inlineStr">
        <is>
          <t>Yes</t>
        </is>
      </c>
      <c r="M335" t="inlineStr">
        <is>
          <t>(Conditional Approval) CLARKE HOOK CENTER : REQUEST APPROVAL OF A SITE PLAN (STPL) TO CONSTRUCT ONE DATA CENTER, IN THE PLANNED DEVELOPMENT - INDUSTRIAL PARK (PDIP) ZONING DISTRICT. EK</t>
        </is>
      </c>
      <c r="N335" t="inlineStr">
        <is>
          <t>County-stated status of application(s): In Review.</t>
        </is>
      </c>
      <c r="O335" t="inlineStr">
        <is>
          <t>https://logis.loudoun.gov/gis/rest/services/Projects/LOLA_DATA/MapServer/0/query?where=PlanNumber%3D%27STPL-2022-0052%27&amp;outFields=PlanNumber,PlanType,PlanStatus,PlanName,PlanApplicationDate,PlanDescription&amp;f=html</t>
        </is>
      </c>
      <c r="P335" t="n">
        <v>39.022192</v>
      </c>
      <c r="Q335" t="n">
        <v>-77.40998999999999</v>
      </c>
    </row>
    <row r="336">
      <c r="A336" t="n">
        <v>717</v>
      </c>
      <c r="B336" t="inlineStr">
        <is>
          <t>Loudoun</t>
        </is>
      </c>
      <c r="C336" t="inlineStr">
        <is>
          <t>MANEKIN PLAZA</t>
        </is>
      </c>
      <c r="D336" t="inlineStr">
        <is>
          <t>Site/engineering plan</t>
        </is>
      </c>
      <c r="E336" t="inlineStr">
        <is>
          <t>Pending</t>
        </is>
      </c>
      <c r="F336" t="inlineStr">
        <is>
          <t>Pending application</t>
        </is>
      </c>
      <c r="G336" t="inlineStr">
        <is>
          <t>stated</t>
        </is>
      </c>
      <c r="H336" t="inlineStr">
        <is>
          <t>STPL-2022-0053</t>
        </is>
      </c>
      <c r="I336" t="inlineStr">
        <is>
          <t>STPL-2022-0053 (Engineering Plan, In Review)</t>
        </is>
      </c>
      <c r="J336" t="inlineStr">
        <is>
          <t>2022-11-04</t>
        </is>
      </c>
      <c r="K336" t="inlineStr"/>
      <c r="L336" t="inlineStr">
        <is>
          <t>Yes</t>
        </is>
      </c>
      <c r="M336" t="inlineStr">
        <is>
          <t>(Conditional Approval) MANEKIN PLAZA : REQUEST APPROVAL FOR A SITE PLAN (STPL) TO CONSTRUCT ONE DATA CENTER, IN THE PLANNED DEVELOPMENT - INDUSTRIAL PARK (PDIP) ZONING DISTRICT. EK</t>
        </is>
      </c>
      <c r="N336" t="inlineStr">
        <is>
          <t>County-stated status of application(s): In Review.</t>
        </is>
      </c>
      <c r="O336" t="inlineStr">
        <is>
          <t>https://logis.loudoun.gov/gis/rest/services/Projects/LOLA_DATA/MapServer/0/query?where=PlanNumber%3D%27STPL-2022-0053%27&amp;outFields=PlanNumber,PlanType,PlanStatus,PlanName,PlanApplicationDate,PlanDescription&amp;f=html</t>
        </is>
      </c>
      <c r="P336" t="n">
        <v>39.023838</v>
      </c>
      <c r="Q336" t="n">
        <v>-77.407561</v>
      </c>
    </row>
    <row r="337">
      <c r="A337" t="n">
        <v>718</v>
      </c>
      <c r="B337" t="inlineStr">
        <is>
          <t>Loudoun</t>
        </is>
      </c>
      <c r="C337" t="inlineStr">
        <is>
          <t>LC 11 AND 12 DATA CENTER</t>
        </is>
      </c>
      <c r="D337" t="inlineStr">
        <is>
          <t>Site/engineering plan</t>
        </is>
      </c>
      <c r="E337" t="inlineStr">
        <is>
          <t>Approved/Planned</t>
        </is>
      </c>
      <c r="F337" t="inlineStr">
        <is>
          <t>Approved entitlement; buildings already on site</t>
        </is>
      </c>
      <c r="G337" t="inlineStr">
        <is>
          <t>mixed (county application status stated; built/not-built inferred)</t>
        </is>
      </c>
      <c r="H337" t="inlineStr">
        <is>
          <t>STPL-2023-0001</t>
        </is>
      </c>
      <c r="I337" t="inlineStr">
        <is>
          <t>STPL-2023-0001 (Engineering Plan, Approved)</t>
        </is>
      </c>
      <c r="J337" t="inlineStr">
        <is>
          <t>2023-01-05</t>
        </is>
      </c>
      <c r="K337" t="inlineStr">
        <is>
          <t>464</t>
        </is>
      </c>
      <c r="L337" t="inlineStr">
        <is>
          <t>Yes</t>
        </is>
      </c>
      <c r="M337" t="inlineStr">
        <is>
          <t>LC 11 AND 12 DATA CENTER : REQUEST APPROVAL OF A SITE PLAN (STPL) TO CONSTRUCT TWO (2) DATA CENTERS AND ASSOCIATED INFRASTRUCTURE, IN THE PLANNED DEVELOPMENT - OFFICE PARK (PDOP) ZONING DISTRICT. EK | Approved entitlement; data center building(s) already mapped on/adjacent to site</t>
        </is>
      </c>
      <c r="N337" t="inlineStr">
        <is>
          <t>County-stated status of application(s): Approved. Built/not-built is INFERRED: 1 data center building point(s) lie on/adjacent to the application area.</t>
        </is>
      </c>
      <c r="O337" t="inlineStr">
        <is>
          <t>https://logis.loudoun.gov/gis/rest/services/Projects/LOLA_DATA/MapServer/0/query?where=PlanNumber%3D%27STPL-2023-0001%27&amp;outFields=PlanNumber,PlanType,PlanStatus,PlanName,PlanApplicationDate,PlanDescription&amp;f=html</t>
        </is>
      </c>
      <c r="P337" t="n">
        <v>39.00569</v>
      </c>
      <c r="Q337" t="n">
        <v>-77.47698099999999</v>
      </c>
    </row>
    <row r="338">
      <c r="A338" t="n">
        <v>719</v>
      </c>
      <c r="B338" t="inlineStr">
        <is>
          <t>Loudoun</t>
        </is>
      </c>
      <c r="C338" t="inlineStr">
        <is>
          <t>DATA CENTER AT COMPASS CREEK SEC. 4</t>
        </is>
      </c>
      <c r="D338" t="inlineStr">
        <is>
          <t>Site/engineering plan</t>
        </is>
      </c>
      <c r="E338" t="inlineStr">
        <is>
          <t>Approved/Planned</t>
        </is>
      </c>
      <c r="F338" t="inlineStr">
        <is>
          <t>Approved, not yet built (inferred)</t>
        </is>
      </c>
      <c r="G338" t="inlineStr">
        <is>
          <t>mixed (county application status stated; built/not-built inferred)</t>
        </is>
      </c>
      <c r="H338" t="inlineStr">
        <is>
          <t>STPL-2023-0004</t>
        </is>
      </c>
      <c r="I338" t="inlineStr">
        <is>
          <t>STPL-2023-0004 (Engineering Plan, Approved)</t>
        </is>
      </c>
      <c r="J338" t="inlineStr">
        <is>
          <t>2023-01-06</t>
        </is>
      </c>
      <c r="K338" t="inlineStr"/>
      <c r="L338" t="inlineStr">
        <is>
          <t>Yes</t>
        </is>
      </c>
      <c r="M338" t="inlineStr">
        <is>
          <t>DATA CENTER AT COMPASS CREEK SEC. 4 : REQUEST APPROVAL OF A SITE PLAN (STPL) FOR THE CONSTRUCTION OF THE ADDITION OF TWO BUILDINGS AND ASSOCIATED UTILITIES, IN THE PLANNED DEVELOPMENT INDUSTRIAL PARK (PDIP) ZONING DISTRICT. DS</t>
        </is>
      </c>
      <c r="N338" t="inlineStr">
        <is>
          <t>County-stated status of application(s): Approved. Built/not-built is INFERRED: no mapped data center building lies within the application area.</t>
        </is>
      </c>
      <c r="O338" t="inlineStr">
        <is>
          <t>https://logis.loudoun.gov/gis/rest/services/Projects/LOLA_DATA/MapServer/0/query?where=PlanNumber%3D%27STPL-2023-0004%27&amp;outFields=PlanNumber,PlanType,PlanStatus,PlanName,PlanApplicationDate,PlanDescription&amp;f=html</t>
        </is>
      </c>
      <c r="P338" t="n">
        <v>39.117252</v>
      </c>
      <c r="Q338" t="n">
        <v>-77.578317</v>
      </c>
    </row>
    <row r="339">
      <c r="A339" t="n">
        <v>720</v>
      </c>
      <c r="B339" t="inlineStr">
        <is>
          <t>Loudoun</t>
        </is>
      </c>
      <c r="C339" t="inlineStr">
        <is>
          <t>TELOS DATA CENTER</t>
        </is>
      </c>
      <c r="D339" t="inlineStr">
        <is>
          <t>Site/engineering plan</t>
        </is>
      </c>
      <c r="E339" t="inlineStr">
        <is>
          <t>Pending</t>
        </is>
      </c>
      <c r="F339" t="inlineStr">
        <is>
          <t>Pending application</t>
        </is>
      </c>
      <c r="G339" t="inlineStr">
        <is>
          <t>stated</t>
        </is>
      </c>
      <c r="H339" t="inlineStr">
        <is>
          <t>STPL-2023-0007</t>
        </is>
      </c>
      <c r="I339" t="inlineStr">
        <is>
          <t>STPL-2023-0007 (Engineering Plan, In Review)</t>
        </is>
      </c>
      <c r="J339" t="inlineStr">
        <is>
          <t>2023-02-07</t>
        </is>
      </c>
      <c r="K339" t="inlineStr"/>
      <c r="L339" t="inlineStr">
        <is>
          <t>Yes</t>
        </is>
      </c>
      <c r="M339" t="inlineStr">
        <is>
          <t>(Conditional Approval 08-05-24) TELOS DATA CENTER : REQUEST APPROVAL OF A SITE PLAN (STPL) FOR THE CONSTRUCTION OF A PUBLIC DATA CENTER, IN THE PLANNED DEVELOPMENT INDUSTRIAL PARK (PDIP) ZONING DISTRICT. DS</t>
        </is>
      </c>
      <c r="N339" t="inlineStr">
        <is>
          <t>County-stated status of application(s): In Review.</t>
        </is>
      </c>
      <c r="O339" t="inlineStr">
        <is>
          <t>https://logis.loudoun.gov/gis/rest/services/Projects/LOLA_DATA/MapServer/0/query?where=PlanNumber%3D%27STPL-2023-0007%27&amp;outFields=PlanNumber,PlanType,PlanStatus,PlanName,PlanApplicationDate,PlanDescription&amp;f=html</t>
        </is>
      </c>
      <c r="P339" t="n">
        <v>39.06741</v>
      </c>
      <c r="Q339" t="n">
        <v>-77.478853</v>
      </c>
    </row>
    <row r="340">
      <c r="A340" t="n">
        <v>721</v>
      </c>
      <c r="B340" t="inlineStr">
        <is>
          <t>Loudoun</t>
        </is>
      </c>
      <c r="C340" t="inlineStr">
        <is>
          <t>HORSESHOE DRIVE</t>
        </is>
      </c>
      <c r="D340" t="inlineStr">
        <is>
          <t>Site/engineering plan</t>
        </is>
      </c>
      <c r="E340" t="inlineStr">
        <is>
          <t>Pending</t>
        </is>
      </c>
      <c r="F340" t="inlineStr">
        <is>
          <t>Pending application</t>
        </is>
      </c>
      <c r="G340" t="inlineStr">
        <is>
          <t>stated</t>
        </is>
      </c>
      <c r="H340" t="inlineStr">
        <is>
          <t>STPL-2023-0008</t>
        </is>
      </c>
      <c r="I340" t="inlineStr">
        <is>
          <t>STPL-2023-0008 (Engineering Plan, In Review)</t>
        </is>
      </c>
      <c r="J340" t="inlineStr">
        <is>
          <t>2023-02-08</t>
        </is>
      </c>
      <c r="K340" t="inlineStr"/>
      <c r="L340" t="inlineStr">
        <is>
          <t>Yes</t>
        </is>
      </c>
      <c r="M340" t="inlineStr">
        <is>
          <t>(Conditional Approval) HORSESHOE DRIVE : REQUEST APPROVAL OF A SITE PLAN (STPL) TO BUILD A DATA CENTER, IN THE PLANNED DEVELOPMENT - INDUSTRIAL PARK (PDIP) ZONING DISTRICT. EK</t>
        </is>
      </c>
      <c r="N340" t="inlineStr">
        <is>
          <t>County-stated status of application(s): In Review.</t>
        </is>
      </c>
      <c r="O340" t="inlineStr">
        <is>
          <t>https://logis.loudoun.gov/gis/rest/services/Projects/LOLA_DATA/MapServer/0/query?where=PlanNumber%3D%27STPL-2023-0008%27&amp;outFields=PlanNumber,PlanType,PlanStatus,PlanName,PlanApplicationDate,PlanDescription&amp;f=html</t>
        </is>
      </c>
      <c r="P340" t="n">
        <v>39.026094</v>
      </c>
      <c r="Q340" t="n">
        <v>-77.41166200000001</v>
      </c>
    </row>
    <row r="341">
      <c r="A341" t="n">
        <v>722</v>
      </c>
      <c r="B341" t="inlineStr">
        <is>
          <t>Loudoun</t>
        </is>
      </c>
      <c r="C341" t="inlineStr">
        <is>
          <t>22675 DULLES SUMMIT COURT</t>
        </is>
      </c>
      <c r="D341" t="inlineStr">
        <is>
          <t>Site/engineering plan</t>
        </is>
      </c>
      <c r="E341" t="inlineStr">
        <is>
          <t>Approved/Planned</t>
        </is>
      </c>
      <c r="F341" t="inlineStr">
        <is>
          <t>Approved, not yet built (inferred)</t>
        </is>
      </c>
      <c r="G341" t="inlineStr">
        <is>
          <t>mixed (county application status stated; built/not-built inferred)</t>
        </is>
      </c>
      <c r="H341" t="inlineStr">
        <is>
          <t>STPL-2023-0015</t>
        </is>
      </c>
      <c r="I341" t="inlineStr">
        <is>
          <t>STPL-2023-0015 (Engineering Plan, Approved)</t>
        </is>
      </c>
      <c r="J341" t="inlineStr">
        <is>
          <t>2023-03-01</t>
        </is>
      </c>
      <c r="K341" t="inlineStr"/>
      <c r="L341" t="inlineStr">
        <is>
          <t>Yes</t>
        </is>
      </c>
      <c r="M341" t="inlineStr">
        <is>
          <t>22675 DULLES SUMMIT COURT : REQUEST APPROVAL OF A SITE PLAN (STPL) FOR THE CONSTRUCTION OF TWO HUNDRED SIXTY THOUSAND (260,000) SQUARE FEET DATA CENTER FACILITY, WHICH WILL INCLUDE DATA HALL, OFFICE SPACE, AND ASSOCIATED ROADWAY, PARKING LOT, AND UTILITY IMPROVEMENTS, IN THE PLANNED DEVELOPMENT-GENE</t>
        </is>
      </c>
      <c r="N341" t="inlineStr">
        <is>
          <t>County-stated status of application(s): Approved. Built/not-built is INFERRED: no mapped data center building lies within the application area.</t>
        </is>
      </c>
      <c r="O341" t="inlineStr">
        <is>
          <t>https://logis.loudoun.gov/gis/rest/services/Projects/LOLA_DATA/MapServer/0/query?where=PlanNumber%3D%27STPL-2023-0015%27&amp;outFields=PlanNumber,PlanType,PlanStatus,PlanName,PlanApplicationDate,PlanDescription&amp;f=html</t>
        </is>
      </c>
      <c r="P341" t="n">
        <v>39.117252</v>
      </c>
      <c r="Q341" t="n">
        <v>-77.578317</v>
      </c>
    </row>
    <row r="342">
      <c r="A342" t="n">
        <v>723</v>
      </c>
      <c r="B342" t="inlineStr">
        <is>
          <t>Loudoun</t>
        </is>
      </c>
      <c r="C342" t="inlineStr">
        <is>
          <t>BELMONT LANDBAY KK DATA CENTER</t>
        </is>
      </c>
      <c r="D342" t="inlineStr">
        <is>
          <t>Site/engineering plan</t>
        </is>
      </c>
      <c r="E342" t="inlineStr">
        <is>
          <t>Pending</t>
        </is>
      </c>
      <c r="F342" t="inlineStr">
        <is>
          <t>Pending application</t>
        </is>
      </c>
      <c r="G342" t="inlineStr">
        <is>
          <t>stated</t>
        </is>
      </c>
      <c r="H342" t="inlineStr">
        <is>
          <t>STPL-2023-0025</t>
        </is>
      </c>
      <c r="I342" t="inlineStr">
        <is>
          <t>STPL-2023-0025 (Engineering Plan, In Review)</t>
        </is>
      </c>
      <c r="J342" t="inlineStr">
        <is>
          <t>2023-05-15</t>
        </is>
      </c>
      <c r="K342" t="inlineStr"/>
      <c r="L342" t="inlineStr">
        <is>
          <t>Yes</t>
        </is>
      </c>
      <c r="M342" t="inlineStr">
        <is>
          <t>(Conditional Approval) BELMONT LANDBAY KK DATA CENTER : REQUEST APPROVAL OF A SITE PLAN (STPL) FOR THE CONSTRUCTION OF A DATA CENTER, OFFICE, AND ASSOCIATED SITE INFRASTRUCTURE TO SUPPORT THE DEVELOPMENT, IN THE PLANNED DEVELOPMENT OFFICE PARK (PDOP) ZONING DISTRICT. DS</t>
        </is>
      </c>
      <c r="N342" t="inlineStr">
        <is>
          <t>County-stated status of application(s): In Review.</t>
        </is>
      </c>
      <c r="O342" t="inlineStr">
        <is>
          <t>https://logis.loudoun.gov/gis/rest/services/Projects/LOLA_DATA/MapServer/0/query?where=PlanNumber%3D%27STPL-2023-0025%27&amp;outFields=PlanNumber,PlanType,PlanStatus,PlanName,PlanApplicationDate,PlanDescription&amp;f=html</t>
        </is>
      </c>
      <c r="P342" t="n">
        <v>39.117252</v>
      </c>
      <c r="Q342" t="n">
        <v>-77.578317</v>
      </c>
    </row>
    <row r="343">
      <c r="A343" t="n">
        <v>724</v>
      </c>
      <c r="B343" t="inlineStr">
        <is>
          <t>Loudoun</t>
        </is>
      </c>
      <c r="C343" t="inlineStr">
        <is>
          <t>BRAMBLETON BUSINESS CAMPUS DATA CENTER</t>
        </is>
      </c>
      <c r="D343" t="inlineStr">
        <is>
          <t>Site/engineering plan</t>
        </is>
      </c>
      <c r="E343" t="inlineStr">
        <is>
          <t>Pending</t>
        </is>
      </c>
      <c r="F343" t="inlineStr">
        <is>
          <t>Pending application</t>
        </is>
      </c>
      <c r="G343" t="inlineStr">
        <is>
          <t>stated</t>
        </is>
      </c>
      <c r="H343" t="inlineStr">
        <is>
          <t>STPL-2023-0028</t>
        </is>
      </c>
      <c r="I343" t="inlineStr">
        <is>
          <t>STPL-2023-0028 (Engineering Plan, In Review)</t>
        </is>
      </c>
      <c r="J343" t="inlineStr">
        <is>
          <t>2023-06-09</t>
        </is>
      </c>
      <c r="K343" t="inlineStr"/>
      <c r="L343" t="inlineStr">
        <is>
          <t>Yes</t>
        </is>
      </c>
      <c r="M343" t="inlineStr">
        <is>
          <t>BRAMBLETON BUSINESS CAMPUS DATA CENTER : REQUEST APPROVAL OF A SITE PLAN (STPL) FOR THE CONSTRUCTION OF A TWO (2) DATA CENTERS AND SUPPORTING UTILITIES, IN THE PLANNED DEVELOPMENT INDUSTRIAL PARK (PDIP) AND THE PLANNED DEVELOPMENT - ACTIVE ADULT AGE RESTRICTED (PDAAAR) ZONING DISTRICT. DS</t>
        </is>
      </c>
      <c r="N343" t="inlineStr">
        <is>
          <t>County-stated status of application(s): In Review.</t>
        </is>
      </c>
      <c r="O343" t="inlineStr">
        <is>
          <t>https://logis.loudoun.gov/gis/rest/services/Projects/LOLA_DATA/MapServer/0/query?where=PlanNumber%3D%27STPL-2023-0028%27&amp;outFields=PlanNumber,PlanType,PlanStatus,PlanName,PlanApplicationDate,PlanDescription&amp;f=html</t>
        </is>
      </c>
      <c r="P343" t="n">
        <v>38.954003</v>
      </c>
      <c r="Q343" t="n">
        <v>-77.518816</v>
      </c>
    </row>
    <row r="344">
      <c r="A344" t="n">
        <v>725</v>
      </c>
      <c r="B344" t="inlineStr">
        <is>
          <t>Loudoun</t>
        </is>
      </c>
      <c r="C344" t="inlineStr">
        <is>
          <t>BRAMBLETON SHREVEPORT SOUTH DATA CENTER</t>
        </is>
      </c>
      <c r="D344" t="inlineStr">
        <is>
          <t>Site/engineering plan</t>
        </is>
      </c>
      <c r="E344" t="inlineStr">
        <is>
          <t>Pending</t>
        </is>
      </c>
      <c r="F344" t="inlineStr">
        <is>
          <t>Pending application</t>
        </is>
      </c>
      <c r="G344" t="inlineStr">
        <is>
          <t>stated</t>
        </is>
      </c>
      <c r="H344" t="inlineStr">
        <is>
          <t>STPL-2023-0029</t>
        </is>
      </c>
      <c r="I344" t="inlineStr">
        <is>
          <t>STPL-2023-0029 (Engineering Plan, In Review)</t>
        </is>
      </c>
      <c r="J344" t="inlineStr">
        <is>
          <t>2023-06-09</t>
        </is>
      </c>
      <c r="K344" t="inlineStr"/>
      <c r="L344" t="inlineStr">
        <is>
          <t>Yes</t>
        </is>
      </c>
      <c r="M344" t="inlineStr">
        <is>
          <t>(Conditional Approval) BRAMBLETON SHREVEPORT SOUTH DATA CENTER : REQUEST APPROVAL OF A SITE PLAN (STPL) FOR THE CONSTRUCTION OF A TWO (2) DATA CENTERS AND SUPPORTING UTILITIES, IN THE PLANNED DEVELOPMENT INDUSTRIAL PARK (PDIP) ZONING DISTRICT. DS</t>
        </is>
      </c>
      <c r="N344" t="inlineStr">
        <is>
          <t>County-stated status of application(s): In Review.</t>
        </is>
      </c>
      <c r="O344" t="inlineStr">
        <is>
          <t>https://logis.loudoun.gov/gis/rest/services/Projects/LOLA_DATA/MapServer/0/query?where=PlanNumber%3D%27STPL-2023-0029%27&amp;outFields=PlanNumber,PlanType,PlanStatus,PlanName,PlanApplicationDate,PlanDescription&amp;f=html</t>
        </is>
      </c>
      <c r="P344" t="n">
        <v>38.958753</v>
      </c>
      <c r="Q344" t="n">
        <v>-77.528674</v>
      </c>
    </row>
    <row r="345">
      <c r="A345" t="n">
        <v>726</v>
      </c>
      <c r="B345" t="inlineStr">
        <is>
          <t>Loudoun</t>
        </is>
      </c>
      <c r="C345" t="inlineStr">
        <is>
          <t>45865 MARIES ROAD</t>
        </is>
      </c>
      <c r="D345" t="inlineStr">
        <is>
          <t>Site/engineering plan</t>
        </is>
      </c>
      <c r="E345" t="inlineStr">
        <is>
          <t>Approved/Planned</t>
        </is>
      </c>
      <c r="F345" t="inlineStr">
        <is>
          <t>Approved entitlement; buildings already on site</t>
        </is>
      </c>
      <c r="G345" t="inlineStr">
        <is>
          <t>mixed (county application status stated; built/not-built inferred)</t>
        </is>
      </c>
      <c r="H345" t="inlineStr">
        <is>
          <t>STPL-2023-0035</t>
        </is>
      </c>
      <c r="I345" t="inlineStr">
        <is>
          <t>STPL-2023-0035 (Engineering Plan, Approved)</t>
        </is>
      </c>
      <c r="J345" t="inlineStr">
        <is>
          <t>2023-07-03</t>
        </is>
      </c>
      <c r="K345" t="inlineStr">
        <is>
          <t>466</t>
        </is>
      </c>
      <c r="L345" t="inlineStr">
        <is>
          <t>Yes</t>
        </is>
      </c>
      <c r="M345" t="inlineStr">
        <is>
          <t>45865 MARIES ROAD : REQUEST APPROVAL OF A SITE PLAN (STPL) FOR SITE IMPROVEMENTS FOR DATA CENTERS, IN THE PLANNED DEVELOPMENT INDUSTRIAL PARK (PDIP) ZONING DISTRICT. DS BLUEBEAM SESSION id 701-999-887 | Approved entitlement; data center building(s) already mapped on/adjacent to site</t>
        </is>
      </c>
      <c r="N345" t="inlineStr">
        <is>
          <t>County-stated status of application(s): Approved. Built/not-built is INFERRED: 1 data center building point(s) lie on/adjacent to the application area.</t>
        </is>
      </c>
      <c r="O345" t="inlineStr">
        <is>
          <t>https://logis.loudoun.gov/gis/rest/services/Projects/LOLA_DATA/MapServer/0/query?where=PlanNumber%3D%27STPL-2023-0035%27&amp;outFields=PlanNumber,PlanType,PlanStatus,PlanName,PlanApplicationDate,PlanDescription&amp;f=html</t>
        </is>
      </c>
      <c r="P345" t="n">
        <v>39.021958</v>
      </c>
      <c r="Q345" t="n">
        <v>-77.414941</v>
      </c>
    </row>
    <row r="346">
      <c r="A346" t="n">
        <v>727</v>
      </c>
      <c r="B346" t="inlineStr">
        <is>
          <t>Loudoun</t>
        </is>
      </c>
      <c r="C346" t="inlineStr">
        <is>
          <t>CYRUSONE BROADLANDS DATA CENTER</t>
        </is>
      </c>
      <c r="D346" t="inlineStr">
        <is>
          <t>Site/engineering plan</t>
        </is>
      </c>
      <c r="E346" t="inlineStr">
        <is>
          <t>Pending</t>
        </is>
      </c>
      <c r="F346" t="inlineStr">
        <is>
          <t>Pending application</t>
        </is>
      </c>
      <c r="G346" t="inlineStr">
        <is>
          <t>stated</t>
        </is>
      </c>
      <c r="H346" t="inlineStr">
        <is>
          <t>STPL-2023-0041</t>
        </is>
      </c>
      <c r="I346" t="inlineStr">
        <is>
          <t>STPL-2023-0041 (Engineering Plan, In Review)</t>
        </is>
      </c>
      <c r="J346" t="inlineStr">
        <is>
          <t>2023-07-24</t>
        </is>
      </c>
      <c r="K346" t="inlineStr"/>
      <c r="L346" t="inlineStr">
        <is>
          <t>Yes</t>
        </is>
      </c>
      <c r="M346" t="inlineStr">
        <is>
          <t>(Conditional Approval) CYRUSONE BROADLANDS DATA CENTER : REQUESTED APPROVAL OF A SITE PLAN (STPL) FOR A DATA CENTER DEVELOPMENTON APPROXIMATELY FIFTY EIGHT (58) ACRES, DEVELOPMENT CONSISTS OF APPROXIMATELY SEVEN HUNDRED EIGHTY-FOUR THOUSAND SIX HUNDRED (784,600)SF OF DATA CENTER AND FOURTY ONE THOUS</t>
        </is>
      </c>
      <c r="N346" t="inlineStr">
        <is>
          <t>County-stated status of application(s): In Review.</t>
        </is>
      </c>
      <c r="O346" t="inlineStr">
        <is>
          <t>https://logis.loudoun.gov/gis/rest/services/Projects/LOLA_DATA/MapServer/0/query?where=PlanNumber%3D%27STPL-2023-0041%27&amp;outFields=PlanNumber,PlanType,PlanStatus,PlanName,PlanApplicationDate,PlanDescription&amp;f=html</t>
        </is>
      </c>
      <c r="P346" t="n">
        <v>39.032511</v>
      </c>
      <c r="Q346" t="n">
        <v>-77.522616</v>
      </c>
    </row>
    <row r="347">
      <c r="A347" t="n">
        <v>728</v>
      </c>
      <c r="B347" t="inlineStr">
        <is>
          <t>Loudoun</t>
        </is>
      </c>
      <c r="C347" t="inlineStr">
        <is>
          <t>LOUDOUN TECH CENTER PARCEL H-2</t>
        </is>
      </c>
      <c r="D347" t="inlineStr">
        <is>
          <t>Site/engineering plan</t>
        </is>
      </c>
      <c r="E347" t="inlineStr">
        <is>
          <t>Approved/Planned</t>
        </is>
      </c>
      <c r="F347" t="inlineStr">
        <is>
          <t>Approved entitlement; buildings already on site</t>
        </is>
      </c>
      <c r="G347" t="inlineStr">
        <is>
          <t>mixed (county application status stated; built/not-built inferred)</t>
        </is>
      </c>
      <c r="H347" t="inlineStr">
        <is>
          <t>STPR-2007-0013</t>
        </is>
      </c>
      <c r="I347" t="inlineStr">
        <is>
          <t>STPR-2007-0013 (Engineering Plan, Approved)</t>
        </is>
      </c>
      <c r="J347" t="inlineStr">
        <is>
          <t>2007-05-11</t>
        </is>
      </c>
      <c r="K347" t="inlineStr">
        <is>
          <t>250</t>
        </is>
      </c>
      <c r="L347" t="inlineStr">
        <is>
          <t>Yes</t>
        </is>
      </c>
      <c r="M347" t="inlineStr">
        <is>
          <t>LOUDOUN TECH CENTER PARCEL H-2 : REQUEST APPROVAL OF A SITE PLAN REVISION TO INCORPORATE GENERATOR YARD AND TRANSFORMERS INTO PLANS, WHICH WAS PREVIOUSLY APPROVED FOR A DATA CENTER USE. er | Approved entitlement; data center building(s) already mapped on/adjacent to site</t>
        </is>
      </c>
      <c r="N347" t="inlineStr">
        <is>
          <t>County-stated status of application(s): Approved. Built/not-built is INFERRED: 1 data center building point(s) lie on/adjacent to the application area.</t>
        </is>
      </c>
      <c r="O347" t="inlineStr">
        <is>
          <t>https://logis.loudoun.gov/gis/rest/services/Projects/LOLA_DATA/MapServer/0/query?where=PlanNumber%3D%27STPR-2007-0013%27&amp;outFields=PlanNumber,PlanType,PlanStatus,PlanName,PlanApplicationDate,PlanDescription&amp;f=html</t>
        </is>
      </c>
      <c r="P347" t="n">
        <v>39.024736</v>
      </c>
      <c r="Q347" t="n">
        <v>-77.412319</v>
      </c>
    </row>
    <row r="348">
      <c r="A348" t="n">
        <v>729</v>
      </c>
      <c r="B348" t="inlineStr">
        <is>
          <t>Loudoun</t>
        </is>
      </c>
      <c r="C348" t="inlineStr">
        <is>
          <t>LAING AT BEAUMEADE BUILDING D</t>
        </is>
      </c>
      <c r="D348" t="inlineStr">
        <is>
          <t>Site/engineering plan</t>
        </is>
      </c>
      <c r="E348" t="inlineStr">
        <is>
          <t>Approved/Planned</t>
        </is>
      </c>
      <c r="F348" t="inlineStr">
        <is>
          <t>Approved entitlement; buildings already on site</t>
        </is>
      </c>
      <c r="G348" t="inlineStr">
        <is>
          <t>mixed (county application status stated; built/not-built inferred)</t>
        </is>
      </c>
      <c r="H348" t="inlineStr">
        <is>
          <t>STPR-2007-0030</t>
        </is>
      </c>
      <c r="I348" t="inlineStr">
        <is>
          <t>STPR-2007-0030 (Engineering Plan, Approved)</t>
        </is>
      </c>
      <c r="J348" t="inlineStr">
        <is>
          <t>2007-08-29</t>
        </is>
      </c>
      <c r="K348" t="inlineStr">
        <is>
          <t>255, 256, 268, 269, 270, 272</t>
        </is>
      </c>
      <c r="L348" t="inlineStr">
        <is>
          <t>Yes</t>
        </is>
      </c>
      <c r="M348" t="inlineStr">
        <is>
          <t>LAING AT BEAUMEADE BUILDING D : REQUEST APPROVAL OF A SITE PLAN REVISION FOR A 29,886 SQUARE FOOT DATA CENTER EXPANSION WITH 3,504 SQUARE FOOT LOADING DOCK ADDITION TO THE EXISTING 58,620 SQUARE FOOT OFFICE/WAREHOUSE BUILDING. er | Approved entitlement; data center building(s) already mapped on/adjacent to site</t>
        </is>
      </c>
      <c r="N348" t="inlineStr">
        <is>
          <t>County-stated status of application(s): Approved. Built/not-built is INFERRED: 6 data center building point(s) lie on/adjacent to the application area.</t>
        </is>
      </c>
      <c r="O348" t="inlineStr">
        <is>
          <t>https://logis.loudoun.gov/gis/rest/services/Projects/LOLA_DATA/MapServer/0/query?where=PlanNumber%3D%27STPR-2007-0030%27&amp;outFields=PlanNumber,PlanType,PlanStatus,PlanName,PlanApplicationDate,PlanDescription&amp;f=html</t>
        </is>
      </c>
      <c r="P348" t="n">
        <v>39.015526</v>
      </c>
      <c r="Q348" t="n">
        <v>-77.459838</v>
      </c>
    </row>
    <row r="349">
      <c r="A349" t="n">
        <v>730</v>
      </c>
      <c r="B349" t="inlineStr">
        <is>
          <t>Loudoun</t>
        </is>
      </c>
      <c r="C349" t="inlineStr">
        <is>
          <t>EQUINIX AT BEAUMEADE TECHNOLOGY CENTER</t>
        </is>
      </c>
      <c r="D349" t="inlineStr">
        <is>
          <t>Site/engineering plan</t>
        </is>
      </c>
      <c r="E349" t="inlineStr">
        <is>
          <t>Approved/Planned</t>
        </is>
      </c>
      <c r="F349" t="inlineStr">
        <is>
          <t>Approved entitlement; buildings already on site</t>
        </is>
      </c>
      <c r="G349" t="inlineStr">
        <is>
          <t>mixed (county application status stated; built/not-built inferred)</t>
        </is>
      </c>
      <c r="H349" t="inlineStr">
        <is>
          <t>STPR-2009-0026</t>
        </is>
      </c>
      <c r="I349" t="inlineStr">
        <is>
          <t>STPR-2009-0026 (Engineering Plan, Approved)</t>
        </is>
      </c>
      <c r="J349" t="inlineStr">
        <is>
          <t>2009-05-04</t>
        </is>
      </c>
      <c r="K349" t="inlineStr">
        <is>
          <t>255, 256, 268, 269, 270, 272</t>
        </is>
      </c>
      <c r="L349" t="inlineStr">
        <is>
          <t>Yes</t>
        </is>
      </c>
      <c r="M349" t="inlineStr">
        <is>
          <t>EQUINIX AT BEAUMEADE TECHNOLOGY CENTER : REQUEST APPROVAL OF A SITE PLAN REVISION TO REMOVE AN EXISTING FLEX WAREHOUSE BUILDING &amp; REPLACE WITH A DATA CENTER BUILDING. CT | Approved entitlement; data center building(s) already mapped on/adjacent to site</t>
        </is>
      </c>
      <c r="N349" t="inlineStr">
        <is>
          <t>County-stated status of application(s): Approved. Built/not-built is INFERRED: 6 data center building point(s) lie on/adjacent to the application area.</t>
        </is>
      </c>
      <c r="O349" t="inlineStr">
        <is>
          <t>https://logis.loudoun.gov/gis/rest/services/Projects/LOLA_DATA/MapServer/0/query?where=PlanNumber%3D%27STPR-2009-0026%27&amp;outFields=PlanNumber,PlanType,PlanStatus,PlanName,PlanApplicationDate,PlanDescription&amp;f=html</t>
        </is>
      </c>
      <c r="P349" t="n">
        <v>39.015526</v>
      </c>
      <c r="Q349" t="n">
        <v>-77.459838</v>
      </c>
    </row>
    <row r="350">
      <c r="A350" t="n">
        <v>731</v>
      </c>
      <c r="B350" t="inlineStr">
        <is>
          <t>Loudoun</t>
        </is>
      </c>
      <c r="C350" t="inlineStr">
        <is>
          <t>TUSCARORA CROSSING</t>
        </is>
      </c>
      <c r="D350" t="inlineStr">
        <is>
          <t>Zoning/legislative</t>
        </is>
      </c>
      <c r="E350" t="inlineStr">
        <is>
          <t>Approved/Planned</t>
        </is>
      </c>
      <c r="F350" t="inlineStr">
        <is>
          <t>Approved, not yet built (inferred)</t>
        </is>
      </c>
      <c r="G350" t="inlineStr">
        <is>
          <t>mixed (county application status stated; built/not-built inferred)</t>
        </is>
      </c>
      <c r="H350" t="inlineStr">
        <is>
          <t>ZCPA-2019-0010</t>
        </is>
      </c>
      <c r="I350" t="inlineStr">
        <is>
          <t>ZCPA-2019-0010 (Zoning Concept Plan Amendment, Approved)</t>
        </is>
      </c>
      <c r="J350" t="inlineStr">
        <is>
          <t>2019-05-01</t>
        </is>
      </c>
      <c r="K350" t="inlineStr"/>
      <c r="L350" t="inlineStr">
        <is>
          <t>Yes</t>
        </is>
      </c>
      <c r="M350" t="inlineStr">
        <is>
          <t>TUSCARORA CROSSING : A Zoning Concept Plan Amendment to amend the Proffers and Concept Development Plan associated with ZMAP-2012-0011 to allow additional Floor Area Ratio (FAR) for a Data Center on Land Bay 3 and to change the designation of Land Bay 6 from PD-H4, PD-CC-CC to PD-H4, R-16 (ADU) to a</t>
        </is>
      </c>
      <c r="N350" t="inlineStr">
        <is>
          <t>County-stated status of application(s): Approved. Built/not-built is INFERRED: no mapped data center building lies within the application area.</t>
        </is>
      </c>
      <c r="O350" t="inlineStr">
        <is>
          <t>https://logis.loudoun.gov/gis/rest/services/Projects/LOLA_DATA/MapServer/0/query?where=PlanNumber%3D%27ZCPA-2019-0010%27&amp;outFields=PlanNumber,PlanType,PlanStatus,PlanName,PlanApplicationDate,PlanDescription&amp;f=html</t>
        </is>
      </c>
      <c r="P350" t="n">
        <v>39.08229</v>
      </c>
      <c r="Q350" t="n">
        <v>-77.528676</v>
      </c>
    </row>
    <row r="351">
      <c r="A351" t="n">
        <v>732</v>
      </c>
      <c r="B351" t="inlineStr">
        <is>
          <t>Loudoun</t>
        </is>
      </c>
      <c r="C351" t="inlineStr">
        <is>
          <t>WATERSIDE NORTH</t>
        </is>
      </c>
      <c r="D351" t="inlineStr">
        <is>
          <t>Zoning/legislative</t>
        </is>
      </c>
      <c r="E351" t="inlineStr">
        <is>
          <t>Approved/Planned</t>
        </is>
      </c>
      <c r="F351" t="inlineStr">
        <is>
          <t>Approved entitlement; buildings already on site</t>
        </is>
      </c>
      <c r="G351" t="inlineStr">
        <is>
          <t>mixed (county application status stated; built/not-built inferred)</t>
        </is>
      </c>
      <c r="H351" t="inlineStr">
        <is>
          <t>ZMAP-2018-0011</t>
        </is>
      </c>
      <c r="I351" t="inlineStr">
        <is>
          <t>ZMAP-2018-0011 (Zoning Map Amendment, Approved); ZCPA-2020-0014 (Zoning Concept Plan Amendment, Approved)</t>
        </is>
      </c>
      <c r="J351" t="inlineStr">
        <is>
          <t>2018-11-05</t>
        </is>
      </c>
      <c r="K351" t="inlineStr">
        <is>
          <t>385, 386, 397, 415, 416, 433</t>
        </is>
      </c>
      <c r="L351" t="inlineStr">
        <is>
          <t>Yes</t>
        </is>
      </c>
      <c r="M351" t="inlineStr">
        <is>
          <t>WATERSIDE NORTH : A Zoning Concept Plan Amendment (ZCPA) to amend the Proffers and Concept Development Plan associated with ZMAP-2018-001 to allow revisions of the Data Centers and Utility Substation layout (see ZCOR-2020-0147) and timing of transportation improvements/triggers. | Approved entitlement; data center building(s) already mapped on/adjacent to site</t>
        </is>
      </c>
      <c r="N351" t="inlineStr">
        <is>
          <t>County-stated status of application(s): Approved. Built/not-built is INFERRED: 6 data center building point(s) lie on/adjacent to the application area.</t>
        </is>
      </c>
      <c r="O351" t="inlineStr">
        <is>
          <t>https://logis.loudoun.gov/gis/rest/services/Projects/LOLA_DATA/MapServer/0/query?where=PlanNumber%3D%27ZCPA-2020-0014%27&amp;outFields=PlanNumber,PlanType,PlanStatus,PlanName,PlanApplicationDate,PlanDescription&amp;f=html</t>
        </is>
      </c>
      <c r="P351" t="n">
        <v>38.981931</v>
      </c>
      <c r="Q351" t="n">
        <v>-77.416798</v>
      </c>
    </row>
    <row r="352">
      <c r="A352" t="n">
        <v>733</v>
      </c>
      <c r="B352" t="inlineStr">
        <is>
          <t>Loudoun</t>
        </is>
      </c>
      <c r="C352" t="inlineStr">
        <is>
          <t>STONEWALL SECURE BUSINESS PARK</t>
        </is>
      </c>
      <c r="D352" t="inlineStr">
        <is>
          <t>Zoning/legislative</t>
        </is>
      </c>
      <c r="E352" t="inlineStr">
        <is>
          <t>Approved/Planned</t>
        </is>
      </c>
      <c r="F352" t="inlineStr">
        <is>
          <t>Approved entitlement; buildings already on site</t>
        </is>
      </c>
      <c r="G352" t="inlineStr">
        <is>
          <t>mixed (county application status stated; built/not-built inferred)</t>
        </is>
      </c>
      <c r="H352" t="inlineStr">
        <is>
          <t>ZMAP-2008-0017</t>
        </is>
      </c>
      <c r="I352" t="inlineStr">
        <is>
          <t>ZMAP-2008-0017 (Zoning Map Amendment, Approved)</t>
        </is>
      </c>
      <c r="J352" t="inlineStr">
        <is>
          <t>2008-09-15</t>
        </is>
      </c>
      <c r="K352" t="inlineStr">
        <is>
          <t>365, 373, 374</t>
        </is>
      </c>
      <c r="L352" t="inlineStr">
        <is>
          <t>Yes</t>
        </is>
      </c>
      <c r="M352" t="inlineStr">
        <is>
          <t>STONEWALL SECURE BUSINESS PARK : Rezone 193 acres from TR-10 to PD-IP to allow up to 3.9 million square feet of restricted access data center, office, and light industrial uses. | Approved entitlement; data center building(s) already mapped on/adjacent to site</t>
        </is>
      </c>
      <c r="N352" t="inlineStr">
        <is>
          <t>County-stated status of application(s): Approved. Built/not-built is INFERRED: 3 data center building point(s) lie on/adjacent to the application area.</t>
        </is>
      </c>
      <c r="O352" t="inlineStr">
        <is>
          <t>https://logis.loudoun.gov/gis/rest/services/Projects/LOLA_DATA/MapServer/0/query?where=PlanNumber%3D%27ZMAP-2008-0017%27&amp;outFields=PlanNumber,PlanType,PlanStatus,PlanName,PlanApplicationDate,PlanDescription&amp;f=html</t>
        </is>
      </c>
      <c r="P352" t="n">
        <v>39.05193</v>
      </c>
      <c r="Q352" t="n">
        <v>-77.536203</v>
      </c>
    </row>
    <row r="353">
      <c r="A353" t="n">
        <v>734</v>
      </c>
      <c r="B353" t="inlineStr">
        <is>
          <t>Loudoun</t>
        </is>
      </c>
      <c r="C353" t="inlineStr">
        <is>
          <t>TRUE NORTH DATA</t>
        </is>
      </c>
      <c r="D353" t="inlineStr">
        <is>
          <t>Zoning/legislative</t>
        </is>
      </c>
      <c r="E353" t="inlineStr">
        <is>
          <t>Approved/Planned</t>
        </is>
      </c>
      <c r="F353" t="inlineStr">
        <is>
          <t>Approved entitlement; buildings already on site</t>
        </is>
      </c>
      <c r="G353" t="inlineStr">
        <is>
          <t>mixed (county application status stated; built/not-built inferred)</t>
        </is>
      </c>
      <c r="H353" t="inlineStr">
        <is>
          <t>ZMAP-2017-0003</t>
        </is>
      </c>
      <c r="I353" t="inlineStr">
        <is>
          <t>ZMAP-2017-0003 (Zoning Map Amendment, Approved)</t>
        </is>
      </c>
      <c r="J353" t="inlineStr">
        <is>
          <t>2017-04-17</t>
        </is>
      </c>
      <c r="K353" t="inlineStr">
        <is>
          <t>351, 352, 353, 354, 444</t>
        </is>
      </c>
      <c r="L353" t="inlineStr">
        <is>
          <t>Yes</t>
        </is>
      </c>
      <c r="M353" t="inlineStr">
        <is>
          <t>TRUE NORTH DATA : Rezone 105 acres to PD-OP to allow data center uses. | Approved entitlement; data center building(s) already mapped on/adjacent to site</t>
        </is>
      </c>
      <c r="N353" t="inlineStr">
        <is>
          <t>County-stated status of application(s): Approved. Built/not-built is INFERRED: 5 data center building point(s) lie on/adjacent to the application area.</t>
        </is>
      </c>
      <c r="O353" t="inlineStr">
        <is>
          <t>https://logis.loudoun.gov/gis/rest/services/Projects/LOLA_DATA/MapServer/0/query?where=PlanNumber%3D%27ZMAP-2017-0003%27&amp;outFields=PlanNumber,PlanType,PlanStatus,PlanName,PlanApplicationDate,PlanDescription&amp;f=html</t>
        </is>
      </c>
      <c r="P353" t="n">
        <v>39.043683</v>
      </c>
      <c r="Q353" t="n">
        <v>-77.536923</v>
      </c>
    </row>
    <row r="354">
      <c r="A354" t="n">
        <v>735</v>
      </c>
      <c r="B354" t="inlineStr">
        <is>
          <t>Loudoun</t>
        </is>
      </c>
      <c r="C354" t="inlineStr">
        <is>
          <t>QUARRY COMMERCE CENTER</t>
        </is>
      </c>
      <c r="D354" t="inlineStr">
        <is>
          <t>Zoning/legislative</t>
        </is>
      </c>
      <c r="E354" t="inlineStr">
        <is>
          <t>Approved/Planned</t>
        </is>
      </c>
      <c r="F354" t="inlineStr">
        <is>
          <t>Approved entitlement; buildings already on site</t>
        </is>
      </c>
      <c r="G354" t="inlineStr">
        <is>
          <t>mixed (county application status stated; built/not-built inferred)</t>
        </is>
      </c>
      <c r="H354" t="inlineStr">
        <is>
          <t>ZMAP-2017-0004</t>
        </is>
      </c>
      <c r="I354" t="inlineStr">
        <is>
          <t>ZMAP-2017-0004 (Zoning Map Amendment, Approved)</t>
        </is>
      </c>
      <c r="J354" t="inlineStr">
        <is>
          <t>2017-09-13</t>
        </is>
      </c>
      <c r="K354" t="inlineStr">
        <is>
          <t>358, 359, 360</t>
        </is>
      </c>
      <c r="L354" t="inlineStr">
        <is>
          <t>Yes</t>
        </is>
      </c>
      <c r="M354" t="inlineStr">
        <is>
          <t>QUARRY COMMERCE CENTER : ZMAP to convert form CLI and MR-HI zoning to PD-GI under the Revised 1993 ZO for data centers. | Approved entitlement; data center building(s) already mapped on/adjacent to site</t>
        </is>
      </c>
      <c r="N354" t="inlineStr">
        <is>
          <t>County-stated status of application(s): Approved. Built/not-built is INFERRED: 3 data center building point(s) lie on/adjacent to the application area.</t>
        </is>
      </c>
      <c r="O354" t="inlineStr">
        <is>
          <t>https://logis.loudoun.gov/gis/rest/services/Projects/LOLA_DATA/MapServer/0/query?where=PlanNumber%3D%27ZMAP-2017-0004%27&amp;outFields=PlanNumber,PlanType,PlanStatus,PlanName,PlanApplicationDate,PlanDescription&amp;f=html</t>
        </is>
      </c>
      <c r="P354" t="n">
        <v>38.916551</v>
      </c>
      <c r="Q354" t="n">
        <v>-77.47836100000001</v>
      </c>
    </row>
    <row r="355">
      <c r="A355" t="n">
        <v>736</v>
      </c>
      <c r="B355" t="inlineStr">
        <is>
          <t>Loudoun</t>
        </is>
      </c>
      <c r="C355" t="inlineStr">
        <is>
          <t>JK TECHNOLOGY PARK #1</t>
        </is>
      </c>
      <c r="D355" t="inlineStr">
        <is>
          <t>Zoning/legislative</t>
        </is>
      </c>
      <c r="E355" t="inlineStr">
        <is>
          <t>Approved/Planned</t>
        </is>
      </c>
      <c r="F355" t="inlineStr">
        <is>
          <t>Approved, not yet built (inferred)</t>
        </is>
      </c>
      <c r="G355" t="inlineStr">
        <is>
          <t>mixed (county application status stated; built/not-built inferred)</t>
        </is>
      </c>
      <c r="H355" t="inlineStr">
        <is>
          <t>ZMAP-2018-0015</t>
        </is>
      </c>
      <c r="I355" t="inlineStr">
        <is>
          <t>ZMAP-2018-0015 (Zoning Map Amendment, Approved)</t>
        </is>
      </c>
      <c r="J355" t="inlineStr">
        <is>
          <t>2018-12-17</t>
        </is>
      </c>
      <c r="K355" t="inlineStr"/>
      <c r="L355" t="inlineStr">
        <is>
          <t>Yes</t>
        </is>
      </c>
      <c r="M355" t="inlineStr">
        <is>
          <t>JK TECHNOLOGY PARK #1 : A Zoning Map Amendment to rezone approximately 71.5-acres from CR-1 and R-1 Zoning Districts to PD-IP for an Industrial Park for Office and Data Center uses.</t>
        </is>
      </c>
      <c r="N355" t="inlineStr">
        <is>
          <t>County-stated status of application(s): Approved. Built/not-built is INFERRED: no mapped data center building lies within the application area.</t>
        </is>
      </c>
      <c r="O355" t="inlineStr">
        <is>
          <t>https://logis.loudoun.gov/gis/rest/services/Projects/LOLA_DATA/MapServer/0/query?where=PlanNumber%3D%27ZMAP-2018-0015%27&amp;outFields=PlanNumber,PlanType,PlanStatus,PlanName,PlanApplicationDate,PlanDescription&amp;f=html</t>
        </is>
      </c>
      <c r="P355" t="n">
        <v>38.95541</v>
      </c>
      <c r="Q355" t="n">
        <v>-77.545976</v>
      </c>
    </row>
    <row r="356">
      <c r="A356" t="n">
        <v>737</v>
      </c>
      <c r="B356" t="inlineStr">
        <is>
          <t>Loudoun</t>
        </is>
      </c>
      <c r="C356" t="inlineStr">
        <is>
          <t>LUCK/HAYDEN/LOUDOUN WATER PROPERTY</t>
        </is>
      </c>
      <c r="D356" t="inlineStr">
        <is>
          <t>Zoning/legislative</t>
        </is>
      </c>
      <c r="E356" t="inlineStr">
        <is>
          <t>Approved/Planned</t>
        </is>
      </c>
      <c r="F356" t="inlineStr">
        <is>
          <t>Approved, not yet built (inferred)</t>
        </is>
      </c>
      <c r="G356" t="inlineStr">
        <is>
          <t>mixed (county application status stated; built/not-built inferred)</t>
        </is>
      </c>
      <c r="H356" t="inlineStr">
        <is>
          <t>ZMAP-2019-0003</t>
        </is>
      </c>
      <c r="I356" t="inlineStr">
        <is>
          <t>ZMAP-2019-0003 (Zoning Map Amendment, Approved)</t>
        </is>
      </c>
      <c r="J356" t="inlineStr">
        <is>
          <t>2019-01-28</t>
        </is>
      </c>
      <c r="K356" t="inlineStr"/>
      <c r="L356" t="inlineStr">
        <is>
          <t>Yes</t>
        </is>
      </c>
      <c r="M356" t="inlineStr">
        <is>
          <t>LUCK/HAYDEN/LOUDOUN WATER PROPERTY : A Zoning Map amendment to rezone from PD-IP and MR-HI Zoning Districtsto PD-GI for data centers and other PD-GI uses.</t>
        </is>
      </c>
      <c r="N356" t="inlineStr">
        <is>
          <t>County-stated status of application(s): Approved. Built/not-built is INFERRED: no mapped data center building lies within the application area.</t>
        </is>
      </c>
      <c r="O356" t="inlineStr">
        <is>
          <t>https://logis.loudoun.gov/gis/rest/services/Projects/LOLA_DATA/MapServer/0/query?where=PlanNumber%3D%27ZMAP-2019-0003%27&amp;outFields=PlanNumber,PlanType,PlanStatus,PlanName,PlanApplicationDate,PlanDescription&amp;f=html</t>
        </is>
      </c>
      <c r="P356" t="n">
        <v>39.05141</v>
      </c>
      <c r="Q356" t="n">
        <v>-77.534453</v>
      </c>
    </row>
    <row r="357">
      <c r="A357" t="n">
        <v>738</v>
      </c>
      <c r="B357" t="inlineStr">
        <is>
          <t>Loudoun</t>
        </is>
      </c>
      <c r="C357" t="inlineStr">
        <is>
          <t>JK TECHNOLOGY PARK #2</t>
        </is>
      </c>
      <c r="D357" t="inlineStr">
        <is>
          <t>Zoning/legislative</t>
        </is>
      </c>
      <c r="E357" t="inlineStr">
        <is>
          <t>Approved/Planned</t>
        </is>
      </c>
      <c r="F357" t="inlineStr">
        <is>
          <t>Approved, not yet built (inferred)</t>
        </is>
      </c>
      <c r="G357" t="inlineStr">
        <is>
          <t>mixed (county application status stated; built/not-built inferred)</t>
        </is>
      </c>
      <c r="H357" t="inlineStr">
        <is>
          <t>ZMAP-2019-0015</t>
        </is>
      </c>
      <c r="I357" t="inlineStr">
        <is>
          <t>ZMAP-2019-0015 (Zoning Map Amendment, Approved)</t>
        </is>
      </c>
      <c r="J357" t="inlineStr">
        <is>
          <t>2019-08-27</t>
        </is>
      </c>
      <c r="K357" t="inlineStr"/>
      <c r="L357" t="inlineStr">
        <is>
          <t>Yes</t>
        </is>
      </c>
      <c r="M357" t="inlineStr">
        <is>
          <t>JK TECHNOLOGY PARK #2 : A Zoning Map Amendment to rezone approximately 19.95 acres from CR-1 &amp;RC to PD-IP for the development of PD-IP uses such as flex-office or data centers.</t>
        </is>
      </c>
      <c r="N357" t="inlineStr">
        <is>
          <t>County-stated status of application(s): Approved. Built/not-built is INFERRED: no mapped data center building lies within the application area.</t>
        </is>
      </c>
      <c r="O357" t="inlineStr">
        <is>
          <t>https://logis.loudoun.gov/gis/rest/services/Projects/LOLA_DATA/MapServer/0/query?where=PlanNumber%3D%27ZMAP-2019-0015%27&amp;outFields=PlanNumber,PlanType,PlanStatus,PlanName,PlanApplicationDate,PlanDescription&amp;f=html</t>
        </is>
      </c>
      <c r="P357" t="n">
        <v>38.948837</v>
      </c>
      <c r="Q357" t="n">
        <v>-77.54345600000001</v>
      </c>
    </row>
    <row r="358">
      <c r="A358" t="n">
        <v>739</v>
      </c>
      <c r="B358" t="inlineStr">
        <is>
          <t>Loudoun</t>
        </is>
      </c>
      <c r="C358" t="inlineStr">
        <is>
          <t>JK TECHNOLOGY PARK #3</t>
        </is>
      </c>
      <c r="D358" t="inlineStr">
        <is>
          <t>Zoning/legislative</t>
        </is>
      </c>
      <c r="E358" t="inlineStr">
        <is>
          <t>Approved/Planned</t>
        </is>
      </c>
      <c r="F358" t="inlineStr">
        <is>
          <t>Approved, not yet built (inferred)</t>
        </is>
      </c>
      <c r="G358" t="inlineStr">
        <is>
          <t>mixed (county application status stated; built/not-built inferred)</t>
        </is>
      </c>
      <c r="H358" t="inlineStr">
        <is>
          <t>ZMAP-2019-0016</t>
        </is>
      </c>
      <c r="I358" t="inlineStr">
        <is>
          <t>ZMAP-2019-0016 (Zoning Map Amendment, Approved)</t>
        </is>
      </c>
      <c r="J358" t="inlineStr">
        <is>
          <t>2019-08-27</t>
        </is>
      </c>
      <c r="K358" t="inlineStr"/>
      <c r="L358" t="inlineStr">
        <is>
          <t>Yes</t>
        </is>
      </c>
      <c r="M358" t="inlineStr">
        <is>
          <t>JK TECHNOLOGY PARK #3 : A Zoning Map Amendment to rezone approximately 21.23 acres from RC to PDIP to develop an Industrial Park for permitted PD-IP uses such as Office or Data Center.</t>
        </is>
      </c>
      <c r="N358" t="inlineStr">
        <is>
          <t>County-stated status of application(s): Approved. Built/not-built is INFERRED: no mapped data center building lies within the application area.</t>
        </is>
      </c>
      <c r="O358" t="inlineStr">
        <is>
          <t>https://logis.loudoun.gov/gis/rest/services/Projects/LOLA_DATA/MapServer/0/query?where=PlanNumber%3D%27ZMAP-2019-0016%27&amp;outFields=PlanNumber,PlanType,PlanStatus,PlanName,PlanApplicationDate,PlanDescription&amp;f=html</t>
        </is>
      </c>
      <c r="P358" t="n">
        <v>38.945789</v>
      </c>
      <c r="Q358" t="n">
        <v>-77.540933</v>
      </c>
    </row>
    <row r="359">
      <c r="A359" t="n">
        <v>740</v>
      </c>
      <c r="B359" t="inlineStr">
        <is>
          <t>Loudoun</t>
        </is>
      </c>
      <c r="C359" t="inlineStr">
        <is>
          <t>H&amp;M PROPERTY</t>
        </is>
      </c>
      <c r="D359" t="inlineStr">
        <is>
          <t>Zoning/legislative</t>
        </is>
      </c>
      <c r="E359" t="inlineStr">
        <is>
          <t>Approved/Planned</t>
        </is>
      </c>
      <c r="F359" t="inlineStr">
        <is>
          <t>Approved entitlement; buildings already on site</t>
        </is>
      </c>
      <c r="G359" t="inlineStr">
        <is>
          <t>mixed (county application status stated; built/not-built inferred)</t>
        </is>
      </c>
      <c r="H359" t="inlineStr">
        <is>
          <t>ZMAP-2019-0017</t>
        </is>
      </c>
      <c r="I359" t="inlineStr">
        <is>
          <t>ZMAP-2019-0017 (Zoning Map Amendment, Approved)</t>
        </is>
      </c>
      <c r="J359" t="inlineStr">
        <is>
          <t>2019-09-23</t>
        </is>
      </c>
      <c r="K359" t="inlineStr">
        <is>
          <t>436, 470</t>
        </is>
      </c>
      <c r="L359" t="inlineStr">
        <is>
          <t>Yes</t>
        </is>
      </c>
      <c r="M359" t="inlineStr">
        <is>
          <t>H&amp;M PROPERTY : A Zoning Map Amendment to rezone approximately 100.18 acres from MR-HIunder the Revised 1993 Loudoun County Zoning District to PD-GI Zoning District under the Revised 1993 Loudoun County Zoning Ordinance to allow the development of Data Center uses pursuant to Section 4-603(QQ). | Approved entitlement; data center building(s) already mapped on/adjacent to site</t>
        </is>
      </c>
      <c r="N359" t="inlineStr">
        <is>
          <t>County-stated status of application(s): Approved. Built/not-built is INFERRED: 2 data center building point(s) lie on/adjacent to the application area.</t>
        </is>
      </c>
      <c r="O359" t="inlineStr">
        <is>
          <t>https://logis.loudoun.gov/gis/rest/services/Projects/LOLA_DATA/MapServer/0/query?where=PlanNumber%3D%27ZMAP-2019-0017%27&amp;outFields=PlanNumber,PlanType,PlanStatus,PlanName,PlanApplicationDate,PlanDescription&amp;f=html</t>
        </is>
      </c>
      <c r="P359" t="n">
        <v>38.92157</v>
      </c>
      <c r="Q359" t="n">
        <v>-77.48279700000001</v>
      </c>
    </row>
    <row r="360">
      <c r="A360" t="n">
        <v>741</v>
      </c>
      <c r="B360" t="inlineStr">
        <is>
          <t>Loudoun</t>
        </is>
      </c>
      <c r="C360" t="inlineStr">
        <is>
          <t>BRAMBLETON SOUTH INDUSTRIAL PROPERTIES</t>
        </is>
      </c>
      <c r="D360" t="inlineStr">
        <is>
          <t>Zoning/legislative</t>
        </is>
      </c>
      <c r="E360" t="inlineStr">
        <is>
          <t>Approved/Planned</t>
        </is>
      </c>
      <c r="F360" t="inlineStr">
        <is>
          <t>Approved, not yet built (inferred)</t>
        </is>
      </c>
      <c r="G360" t="inlineStr">
        <is>
          <t>mixed (county application status stated; built/not-built inferred)</t>
        </is>
      </c>
      <c r="H360" t="inlineStr">
        <is>
          <t>ZMAP-2020-0003</t>
        </is>
      </c>
      <c r="I360" t="inlineStr">
        <is>
          <t>ZMAP-2020-0003 (Zoning Map Amendment, Approved)</t>
        </is>
      </c>
      <c r="J360" t="inlineStr">
        <is>
          <t>2020-04-13</t>
        </is>
      </c>
      <c r="K360" t="inlineStr"/>
      <c r="L360" t="inlineStr">
        <is>
          <t>Yes</t>
        </is>
      </c>
      <c r="M360" t="inlineStr">
        <is>
          <t>BRAMBLETON SOUTH INDUSTRIAL PROPERTIES : A Zoning Map Amendment to rezone approximately 160 acres of property from CR-1, PD-GI and PD-H4 zoning districts to the PD-IP zoning district for the development of data center.</t>
        </is>
      </c>
      <c r="N360" t="inlineStr">
        <is>
          <t>County-stated status of application(s): Approved. Built/not-built is INFERRED: no mapped data center building lies within the application area.</t>
        </is>
      </c>
      <c r="O360" t="inlineStr">
        <is>
          <t>https://logis.loudoun.gov/gis/rest/services/Projects/LOLA_DATA/MapServer/0/query?where=PlanNumber%3D%27ZMAP-2020-0003%27&amp;outFields=PlanNumber,PlanType,PlanStatus,PlanName,PlanApplicationDate,PlanDescription&amp;f=html</t>
        </is>
      </c>
      <c r="P360" t="n">
        <v>38.957082</v>
      </c>
      <c r="Q360" t="n">
        <v>-77.530412</v>
      </c>
    </row>
    <row r="361">
      <c r="A361" t="n">
        <v>742</v>
      </c>
      <c r="B361" t="inlineStr">
        <is>
          <t>Loudoun</t>
        </is>
      </c>
      <c r="C361" t="inlineStr">
        <is>
          <t>DULLES 28 TECHNOLOGY PARK</t>
        </is>
      </c>
      <c r="D361" t="inlineStr">
        <is>
          <t>Zoning/legislative</t>
        </is>
      </c>
      <c r="E361" t="inlineStr">
        <is>
          <t>Approved/Planned</t>
        </is>
      </c>
      <c r="F361" t="inlineStr">
        <is>
          <t>Approved entitlement; buildings already on site</t>
        </is>
      </c>
      <c r="G361" t="inlineStr">
        <is>
          <t>mixed (county application status stated; built/not-built inferred)</t>
        </is>
      </c>
      <c r="H361" t="inlineStr">
        <is>
          <t>ZMAP-2020-0015</t>
        </is>
      </c>
      <c r="I361" t="inlineStr">
        <is>
          <t>ZMAP-2020-0015 (Zoning Map Amendment, Approved)</t>
        </is>
      </c>
      <c r="J361" t="inlineStr">
        <is>
          <t>2020-11-25</t>
        </is>
      </c>
      <c r="K361" t="inlineStr">
        <is>
          <t>459, 460</t>
        </is>
      </c>
      <c r="L361" t="inlineStr">
        <is>
          <t>Yes</t>
        </is>
      </c>
      <c r="M361" t="inlineStr">
        <is>
          <t>DULLES 28 TECHNOLOGY PARK : 39.819 A Zoning Map Amendment to rezone approximately 39.819 acres from PD-CH under the 1972 Zoning Ordinance and PD-CC-RC under the Revised 1993 Loudoun County Zoning Ordinance to PD-IP to allow the development of data center and other PD-IP uses. | Approved entitlement; data center building(s) already mapped on/adjacent to site</t>
        </is>
      </c>
      <c r="N361" t="inlineStr">
        <is>
          <t>County-stated status of application(s): Approved. Built/not-built is INFERRED: 2 data center building point(s) lie on/adjacent to the application area.</t>
        </is>
      </c>
      <c r="O361" t="inlineStr">
        <is>
          <t>https://logis.loudoun.gov/gis/rest/services/Projects/LOLA_DATA/MapServer/0/query?where=PlanNumber%3D%27ZMAP-2020-0015%27&amp;outFields=PlanNumber,PlanType,PlanStatus,PlanName,PlanApplicationDate,PlanDescription&amp;f=html</t>
        </is>
      </c>
      <c r="P361" t="n">
        <v>39.011004</v>
      </c>
      <c r="Q361" t="n">
        <v>-77.441866</v>
      </c>
    </row>
    <row r="362">
      <c r="A362" t="n">
        <v>743</v>
      </c>
      <c r="B362" t="inlineStr">
        <is>
          <t>Loudoun</t>
        </is>
      </c>
      <c r="C362" t="inlineStr">
        <is>
          <t>FIREFOX DULLES</t>
        </is>
      </c>
      <c r="D362" t="inlineStr">
        <is>
          <t>Zoning/legislative</t>
        </is>
      </c>
      <c r="E362" t="inlineStr">
        <is>
          <t>Approved/Planned</t>
        </is>
      </c>
      <c r="F362" t="inlineStr">
        <is>
          <t>Approved, not yet built (inferred)</t>
        </is>
      </c>
      <c r="G362" t="inlineStr">
        <is>
          <t>mixed (county application status stated; built/not-built inferred)</t>
        </is>
      </c>
      <c r="H362" t="inlineStr">
        <is>
          <t>ZMAP-2021-0018</t>
        </is>
      </c>
      <c r="I362" t="inlineStr">
        <is>
          <t>ZMAP-2021-0018 (Zoning Map Amendment, Approved)</t>
        </is>
      </c>
      <c r="J362" t="inlineStr">
        <is>
          <t>2021-10-15</t>
        </is>
      </c>
      <c r="K362" t="inlineStr"/>
      <c r="L362" t="inlineStr">
        <is>
          <t>Yes</t>
        </is>
      </c>
      <c r="M362" t="inlineStr">
        <is>
          <t>FIREFOX DULLES : A Zoning Map Amendment ( ZMAP ) to rezone the parcel to the Planned Development-Industrial Park ( PD-IP ) zoning district to allow the development of data center uses the Property up to an FAR of 0.6, and a Special Exception (SPEX) to increase the FAR to 1.0</t>
        </is>
      </c>
      <c r="N362" t="inlineStr">
        <is>
          <t>County-stated status of application(s): Approved. Built/not-built is INFERRED: no mapped data center building lies within the application area.</t>
        </is>
      </c>
      <c r="O362" t="inlineStr">
        <is>
          <t>https://logis.loudoun.gov/gis/rest/services/Projects/LOLA_DATA/MapServer/0/query?where=PlanNumber%3D%27ZMAP-2021-0018%27&amp;outFields=PlanNumber,PlanType,PlanStatus,PlanName,PlanApplicationDate,PlanDescription&amp;f=html</t>
        </is>
      </c>
      <c r="P362" t="n">
        <v>38.920533</v>
      </c>
      <c r="Q362" t="n">
        <v>-77.473291</v>
      </c>
    </row>
  </sheetData>
  <autoFilter ref="A1:Q3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4" customWidth="1" min="1" max="1"/>
    <col width="16" customWidth="1" min="2" max="2"/>
    <col width="16" customWidth="1" min="3" max="3"/>
    <col width="16" customWidth="1" min="4" max="4"/>
    <col width="16" customWidth="1" min="5" max="5"/>
  </cols>
  <sheetData>
    <row r="1">
      <c r="A1" t="inlineStr">
        <is>
          <t>PWC data center applications/projects - summary</t>
        </is>
      </c>
    </row>
    <row r="2">
      <c r="A2" t="inlineStr">
        <is>
          <t>Pulled live 2026-10-15 13:23 ET from gisweb.pwcva.gov (Build_Out_Analysis layers 9/10, CountyMapper pending cases layer 2, Zoning layer 6) and ePortal (egcss.pwcgov.org).</t>
        </is>
      </c>
    </row>
    <row r="3"/>
    <row r="4">
      <c r="A4" t="inlineStr">
        <is>
          <t>Stage</t>
        </is>
      </c>
      <c r="B4" t="inlineStr">
        <is>
          <t>Projects</t>
        </is>
      </c>
      <c r="C4" t="inlineStr">
        <is>
          <t>Campus-layer rows</t>
        </is>
      </c>
      <c r="D4" t="inlineStr">
        <is>
          <t>Planned GFA (sf, campus layer)</t>
        </is>
      </c>
      <c r="E4" t="inlineStr">
        <is>
          <t>Acreage (GIS, where available)</t>
        </is>
      </c>
    </row>
    <row r="5">
      <c r="A5" t="inlineStr">
        <is>
          <t>Under Construction</t>
        </is>
      </c>
      <c r="B5" t="n">
        <v>13</v>
      </c>
      <c r="C5" t="n">
        <v>13</v>
      </c>
      <c r="D5" t="n">
        <v>16588254</v>
      </c>
      <c r="E5" t="n">
        <v>957.2</v>
      </c>
    </row>
    <row r="6">
      <c r="A6" t="inlineStr">
        <is>
          <t>Completed</t>
        </is>
      </c>
      <c r="B6" t="n">
        <v>10</v>
      </c>
      <c r="C6" t="n">
        <v>10</v>
      </c>
      <c r="D6" t="n">
        <v>5358580</v>
      </c>
      <c r="E6" t="n">
        <v>342.2</v>
      </c>
    </row>
    <row r="7">
      <c r="A7" t="inlineStr">
        <is>
          <t>Approved / Planned</t>
        </is>
      </c>
      <c r="B7" t="n">
        <v>42</v>
      </c>
      <c r="C7" t="n">
        <v>42</v>
      </c>
      <c r="D7" t="n">
        <v>39260057</v>
      </c>
      <c r="E7" t="n">
        <v>2090.3</v>
      </c>
    </row>
    <row r="8">
      <c r="A8" t="inlineStr">
        <is>
          <t>Pending / Under Review</t>
        </is>
      </c>
      <c r="B8" t="n">
        <v>11</v>
      </c>
      <c r="C8" t="n">
        <v>10</v>
      </c>
      <c r="D8" t="n">
        <v>14680648</v>
      </c>
      <c r="E8" t="n">
        <v>941.8</v>
      </c>
    </row>
    <row r="9">
      <c r="A9" t="inlineStr">
        <is>
          <t>In Planning Office (site plan in review)</t>
        </is>
      </c>
      <c r="B9" t="n">
        <v>2</v>
      </c>
      <c r="C9" t="n">
        <v>0</v>
      </c>
      <c r="D9" t="n">
        <v>0</v>
      </c>
      <c r="E9" t="n">
        <v>0</v>
      </c>
    </row>
    <row r="10">
      <c r="A10" t="inlineStr">
        <is>
          <t>Denied</t>
        </is>
      </c>
      <c r="B10" t="n">
        <v>2</v>
      </c>
      <c r="C10" t="n">
        <v>2</v>
      </c>
      <c r="D10" t="n">
        <v>10700000</v>
      </c>
      <c r="E10" t="n">
        <v>875.6</v>
      </c>
    </row>
    <row r="11">
      <c r="A11" t="inlineStr">
        <is>
          <t>Void / Withdrawn / Denied</t>
        </is>
      </c>
      <c r="B11" t="n">
        <v>8</v>
      </c>
      <c r="C11" t="n">
        <v>1</v>
      </c>
      <c r="D11" t="n">
        <v>11555200</v>
      </c>
      <c r="E11" t="n">
        <v>884.2</v>
      </c>
    </row>
    <row r="12">
      <c r="A12" t="inlineStr">
        <is>
          <t>TOTAL</t>
        </is>
      </c>
      <c r="B12">
        <f>SUM(B5:B11)</f>
        <v/>
      </c>
      <c r="C12">
        <f>SUM(C5:C11)</f>
        <v/>
      </c>
      <c r="D12">
        <f>SUM(D5:D11)</f>
        <v/>
      </c>
      <c r="E12">
        <f>SUM(E5:E11)</f>
        <v/>
      </c>
    </row>
    <row r="13"/>
    <row r="14">
      <c r="A14" t="inlineStr">
        <is>
          <t>County raw status (campus layer 10)</t>
        </is>
      </c>
      <c r="B14" t="inlineStr">
        <is>
          <t>Campuses</t>
        </is>
      </c>
    </row>
    <row r="15">
      <c r="A15" t="inlineStr">
        <is>
          <t>Planned</t>
        </is>
      </c>
      <c r="B15" t="n">
        <v>53</v>
      </c>
    </row>
    <row r="16">
      <c r="A16" t="inlineStr">
        <is>
          <t>Pending</t>
        </is>
      </c>
      <c r="B16" t="n">
        <v>15</v>
      </c>
    </row>
    <row r="17">
      <c r="A17" t="inlineStr">
        <is>
          <t>Completed</t>
        </is>
      </c>
      <c r="B17" t="n">
        <v>10</v>
      </c>
    </row>
    <row r="18"/>
    <row r="19">
      <c r="A19" t="inlineStr">
        <is>
          <t>Buildings (layer 9) by status shown (county label in county_layer_status)</t>
        </is>
      </c>
      <c r="B19" t="inlineStr">
        <is>
          <t>Buildings</t>
        </is>
      </c>
    </row>
    <row r="20">
      <c r="A20" t="inlineStr">
        <is>
          <t>Planned</t>
        </is>
      </c>
      <c r="B20" t="n">
        <v>91</v>
      </c>
    </row>
    <row r="21">
      <c r="A21" t="inlineStr">
        <is>
          <t>Pending</t>
        </is>
      </c>
      <c r="B21" t="n">
        <v>31</v>
      </c>
    </row>
    <row r="22">
      <c r="A22" t="inlineStr">
        <is>
          <t>Denied</t>
        </is>
      </c>
      <c r="B22" t="n">
        <v>37</v>
      </c>
    </row>
    <row r="23">
      <c r="A23" t="inlineStr">
        <is>
          <t>Completed</t>
        </is>
      </c>
      <c r="B23" t="n">
        <v>59</v>
      </c>
    </row>
    <row r="24">
      <c r="A24" t="inlineStr">
        <is>
          <t>Under Construction</t>
        </is>
      </c>
      <c r="B24" t="n">
        <v>29</v>
      </c>
    </row>
    <row r="25"/>
    <row r="26">
      <c r="A26" t="inlineStr">
        <is>
          <t>Notes</t>
        </is>
      </c>
    </row>
    <row r="27">
      <c r="A27" t="inlineStr">
        <is>
          <t>One row per campus (78 in layer 10; some share a case number) plus ePortal-only projects not in the campus layer (10).</t>
        </is>
      </c>
    </row>
    <row r="28">
      <c r="A28" t="inlineStr">
        <is>
          <t>Buildings joined to campuses by spatial point-in-polygon (all 247 fall in exactly one campus); building PlanningCaseNumber disagrees with campus case number for 21 (see Buildings sheet).</t>
        </is>
      </c>
    </row>
    <row r="29">
      <c r="A29" t="inlineStr">
        <is>
          <t>Stage rules: plan section 5. Precedence Under Construction &gt; county campus status. Completed = campus ProjectStatus Completed. Planned -&gt; Approved / Planned. Pending -&gt; Pending / Under Review (sub-state in county_status_pending_case, e.g. Deferred, Suspended).</t>
        </is>
      </c>
    </row>
    <row r="30">
      <c r="A30" t="inlineStr">
        <is>
          <t>Denied (Oct 15, 2026 edit): Digital Gateway North/South (REZ2022-00032/-33) stage set to 'Denied' and Compass (REZ2022-00036) kept as 'Void / Withdrawn / Denied' (no evidence found it was denied). The 37 buildings of all three (12+8+17) show BuildingStatus 'Denied' (per Patrick: Digital Gateway denied; Compass buildings shown with them); the county layer label ('Pending') is kept in Buildings.county_layer_status. The county pending-case layer still lists the three as Suspended (On-Hold).</t>
        </is>
      </c>
    </row>
    <row r="31">
      <c r="A31" t="inlineStr">
        <is>
          <t>Pending-case layer: 9 'DATA CENTER' description matches included (7 by campus case number; SUP2026-00035 and SUP2027-00008 attached to Southgate South and Gardner Property by project name). Other pending-layer companion cases joined by case number or exact name.</t>
        </is>
      </c>
    </row>
    <row r="32">
      <c r="A32" t="inlineStr">
        <is>
          <t>ePortal 'data center' keyword search (1,094 hits, noisy) joined by case number, then building GPIN, then case number cited in description, then exact/unique-prefix name. Join method is shown per case in eportal_related_cases.</t>
        </is>
      </c>
    </row>
    <row r="33">
      <c r="A33" t="inlineStr">
        <is>
          <t>ePortal-only rows: stage from ePortal case status; acreage/district filled only if the case is also in the pending-case layer; otherwise blank. Public facility (substation) reviews excluded.</t>
        </is>
      </c>
    </row>
    <row r="34">
      <c r="A34" t="inlineStr">
        <is>
          <t>Blank = not available in the sources. MW, applicant/owner not in these sources.</t>
        </is>
      </c>
    </row>
    <row r="35">
      <c r="A35" t="inlineStr">
        <is>
          <t>last_edit_date = latest LastEditDate among campus and its buildings (county GIS edit, not filing 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8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s="3" t="inlineStr">
        <is>
          <t>Combined #</t>
        </is>
      </c>
      <c r="B1" s="3" t="inlineStr">
        <is>
          <t>row_id</t>
        </is>
      </c>
      <c r="C1" s="3" t="inlineStr">
        <is>
          <t>project_name</t>
        </is>
      </c>
      <c r="D1" s="3" t="inlineStr">
        <is>
          <t>buildings</t>
        </is>
      </c>
      <c r="E1" s="3" t="inlineStr">
        <is>
          <t>county_project_name</t>
        </is>
      </c>
      <c r="F1" s="3" t="inlineStr">
        <is>
          <t>primary_case_number</t>
        </is>
      </c>
      <c r="G1" s="3" t="inlineStr">
        <is>
          <t>all_case_numbers</t>
        </is>
      </c>
      <c r="H1" s="3" t="inlineStr">
        <is>
          <t>stage</t>
        </is>
      </c>
      <c r="I1" s="3" t="inlineStr">
        <is>
          <t>county_status_campus_layer</t>
        </is>
      </c>
      <c r="J1" s="3" t="inlineStr">
        <is>
          <t>county_status_pending_case</t>
        </is>
      </c>
      <c r="K1" s="3" t="inlineStr">
        <is>
          <t>eportal_status_primary_case</t>
        </is>
      </c>
      <c r="L1" s="3" t="inlineStr">
        <is>
          <t>stage_basis</t>
        </is>
      </c>
      <c r="M1" s="3" t="inlineStr">
        <is>
          <t>acreage</t>
        </is>
      </c>
      <c r="N1" s="3" t="inlineStr">
        <is>
          <t>planned_gfa_sf</t>
        </is>
      </c>
      <c r="O1" s="3" t="inlineStr">
        <is>
          <t>remaining_gfa_sf</t>
        </is>
      </c>
      <c r="P1" s="3" t="inlineStr">
        <is>
          <t>buildings_count</t>
        </is>
      </c>
      <c r="Q1" s="3" t="inlineStr">
        <is>
          <t>building_status_counts</t>
        </is>
      </c>
      <c r="R1" s="3" t="inlineStr">
        <is>
          <t>buildings_gfa_sum_sf</t>
        </is>
      </c>
      <c r="S1" s="3" t="inlineStr">
        <is>
          <t>magisterial_district</t>
        </is>
      </c>
      <c r="T1" s="3" t="inlineStr">
        <is>
          <t>in_dc_overlay_dcood</t>
        </is>
      </c>
      <c r="U1" s="3" t="inlineStr">
        <is>
          <t>zoning_district</t>
        </is>
      </c>
      <c r="V1" s="3" t="inlineStr">
        <is>
          <t>gpins</t>
        </is>
      </c>
      <c r="W1" s="3" t="inlineStr">
        <is>
          <t>addresses</t>
        </is>
      </c>
      <c r="X1" s="3" t="inlineStr">
        <is>
          <t>buildings</t>
        </is>
      </c>
      <c r="Y1" s="3" t="inlineStr">
        <is>
          <t>building_permit_cases</t>
        </is>
      </c>
      <c r="Z1" s="3" t="inlineStr">
        <is>
          <t>pending_case_layer_cases</t>
        </is>
      </c>
      <c r="AA1" s="3" t="inlineStr">
        <is>
          <t>use_permit_cases</t>
        </is>
      </c>
      <c r="AB1" s="3" t="inlineStr">
        <is>
          <t>eportal_related_cases</t>
        </is>
      </c>
      <c r="AC1" s="3" t="inlineStr">
        <is>
          <t>site_plans_in_review</t>
        </is>
      </c>
      <c r="AD1" s="3" t="inlineStr">
        <is>
          <t>energov_id</t>
        </is>
      </c>
      <c r="AE1" s="3" t="inlineStr">
        <is>
          <t>source_layer</t>
        </is>
      </c>
      <c r="AF1" s="3" t="inlineStr">
        <is>
          <t>source_url</t>
        </is>
      </c>
      <c r="AG1" s="3" t="inlineStr">
        <is>
          <t>last_edit_date</t>
        </is>
      </c>
      <c r="AH1" s="3" t="inlineStr">
        <is>
          <t>notes</t>
        </is>
      </c>
    </row>
    <row r="2">
      <c r="B2" t="n">
        <v>1</v>
      </c>
      <c r="C2" t="inlineStr">
        <is>
          <t>Amazon Village Place Technology Park</t>
        </is>
      </c>
      <c r="D2" t="n">
        <v>4</v>
      </c>
      <c r="E2" t="inlineStr">
        <is>
          <t>Village Place Technology Park</t>
        </is>
      </c>
      <c r="F2" t="inlineStr">
        <is>
          <t>REZ2020-00024</t>
        </is>
      </c>
      <c r="G2" t="inlineStr">
        <is>
          <t>REZ2020-00024; SUP2020-00037</t>
        </is>
      </c>
      <c r="H2" t="inlineStr">
        <is>
          <t>Under Construction</t>
        </is>
      </c>
      <c r="I2" t="inlineStr">
        <is>
          <t>Planned</t>
        </is>
      </c>
      <c r="K2" t="inlineStr">
        <is>
          <t>Approved</t>
        </is>
      </c>
      <c r="L2" t="inlineStr">
        <is>
          <t>Rule 1: &gt;=1 building 'Under Construction' in layer 9</t>
        </is>
      </c>
      <c r="M2" t="n">
        <v>45.18</v>
      </c>
      <c r="N2" t="n">
        <v>978169</v>
      </c>
      <c r="O2" t="n">
        <v>978169</v>
      </c>
      <c r="P2" t="n">
        <v>4</v>
      </c>
      <c r="Q2" t="inlineStr">
        <is>
          <t>Under Construction: 4</t>
        </is>
      </c>
      <c r="R2" t="n">
        <v>217917</v>
      </c>
      <c r="S2" t="inlineStr">
        <is>
          <t>Gainesville</t>
        </is>
      </c>
      <c r="T2" t="inlineStr">
        <is>
          <t>No</t>
        </is>
      </c>
      <c r="U2" t="inlineStr">
        <is>
          <t>PMD</t>
        </is>
      </c>
      <c r="V2" t="inlineStr">
        <is>
          <t>7397-35-5597; 7397-35-8363; 7397-36-1468; 7397-36-2834</t>
        </is>
      </c>
      <c r="W2" t="inlineStr">
        <is>
          <t>14435 JOHN MARSHALL HWY; 14455 JOHN MARSHALL HWY; 14475 JOHN MARSHALL HWY; 14495 JOHN MARSHALL HWY</t>
        </is>
      </c>
      <c r="X2" t="inlineStr">
        <is>
          <t>Village Place Technology Park Bldg 1 (Under Construction); Village Place Technology Park Bldg 2 (Under Construction); Village Place Technology Park Bldg 3 (Under Construction); Village Place Technology Park Bldg 4 (Under Construction)</t>
        </is>
      </c>
      <c r="Y2" t="inlineStr">
        <is>
          <t>BLD2023-01296 (Issued); BLD2023-04861 (Issued); BLD2023-07720 (Issued); BLD2024-03062 (Issued)</t>
        </is>
      </c>
      <c r="AA2" t="inlineStr">
        <is>
          <t>SUP2020-00037 [SUP; ACTIVE; approved 2021-06-14]</t>
        </is>
      </c>
      <c r="AB2" t="inlineStr">
        <is>
          <t>REZ2020-00024 [Rezoning - Proffer Amendment; Approved; case number]; SUP2020-00037 [Special Use Permit - New Application; Approved; case number REZ2020-00024 referenced in description]</t>
        </is>
      </c>
      <c r="AD2" t="inlineStr">
        <is>
          <t>1ea11347-1c8b-4847-b1a4-76194692023c</t>
        </is>
      </c>
      <c r="AE2" t="inlineStr">
        <is>
          <t>Build_Out_Analysis/10 (campuses); Build_Out_Analysis/9 (buildings); Planning/Zoning/6 (use permits); ePortal</t>
        </is>
      </c>
      <c r="AF2" t="inlineStr">
        <is>
          <t>https://gisweb.pwcva.gov/arcgis/rest/services/Planning/Build_Out_Analysis/MapServer/10/35?f=html | https://gisweb.pwcva.gov/arcgis/rest/services/Planning/Build_Out_Analysis/MapServer/9/query?where=GPIN IS NOT NULL&amp;outFields=*&amp;f=html (buildings joined spatially) | https://egcss.pwcgov.org/SelfService#/home</t>
        </is>
      </c>
      <c r="AG2" t="inlineStr">
        <is>
          <t>2026-09-25</t>
        </is>
      </c>
    </row>
    <row r="3">
      <c r="B3" t="n">
        <v>2</v>
      </c>
      <c r="C3" t="inlineStr">
        <is>
          <t>CloudHQ Manassas Corporate Center (MCC)</t>
        </is>
      </c>
      <c r="D3" t="n">
        <v>9</v>
      </c>
      <c r="E3" t="inlineStr">
        <is>
          <t>Airport Gateway Commerce Center I</t>
        </is>
      </c>
      <c r="F3" t="inlineStr">
        <is>
          <t>PLN2011-00437</t>
        </is>
      </c>
      <c r="G3" t="inlineStr">
        <is>
          <t>PLN2011-00437; REZ2024-00025</t>
        </is>
      </c>
      <c r="H3" t="inlineStr">
        <is>
          <t>Under Construction</t>
        </is>
      </c>
      <c r="I3" t="inlineStr">
        <is>
          <t>Planned</t>
        </is>
      </c>
      <c r="K3" t="inlineStr">
        <is>
          <t>Amended</t>
        </is>
      </c>
      <c r="L3" t="inlineStr">
        <is>
          <t>Rule 1: &gt;=1 building 'Under Construction' in layer 9</t>
        </is>
      </c>
      <c r="M3" t="n">
        <v>178.45</v>
      </c>
      <c r="N3" t="n">
        <v>2326576</v>
      </c>
      <c r="O3" t="n">
        <v>1518452</v>
      </c>
      <c r="P3" t="n">
        <v>9</v>
      </c>
      <c r="Q3" t="inlineStr">
        <is>
          <t>Completed: 2; Planned: 5; Under Construction: 2</t>
        </is>
      </c>
      <c r="R3" t="n">
        <v>2930147</v>
      </c>
      <c r="S3" t="inlineStr">
        <is>
          <t>Coles</t>
        </is>
      </c>
      <c r="T3" t="inlineStr">
        <is>
          <t>Yes</t>
        </is>
      </c>
      <c r="U3" t="inlineStr">
        <is>
          <t>M/T PBD</t>
        </is>
      </c>
      <c r="V3" t="inlineStr">
        <is>
          <t>7694-84-2446; 7694-85-3066; 7694-87-2108; 7694-87-3694; 7694-95-2326; 7694-95-7303; 7694-96-2732; 7794-06-4463</t>
        </is>
      </c>
      <c r="W3" t="inlineStr">
        <is>
          <t>10100 HARRY J PARRISH BLVD; 10105 HARRY J PARRISH BLVD; 10740 AIRMAN AVE; 10849 AIRMAN AVE; 10880 AIRMAN AVE; 10900 AIRMAN AVE; 10910 AIRMAN AVE; 10940 AIRMAN AVE</t>
        </is>
      </c>
      <c r="X3" t="inlineStr">
        <is>
          <t>CloudHQ Manassas Corporate Center 1 (Completed); CloudHQ Manassas Corporate Center 2 (Completed); CloudHQ Manassas Corporate Center 3 (Planned); CloudHQ Manassas Corporate Center 4 (Planned); CloudHQ Manassas Corporate Center 5 (Planned); CloudHQ Manassas Corporate Center 6A (Under Construction); CloudHQ Manassas Corporate Center 6B (Planned); CloudHQ Manassas Corporate Center 6C (Planned); CloudHQ Manassas Corporate Center 7 (Under Construction)</t>
        </is>
      </c>
      <c r="Y3" t="inlineStr">
        <is>
          <t>BLD2016-05888 (Finaled); BLD2019-02023 (Finaled); BLD2020-04041 (Issued); BLD2026-04432 (Issued)</t>
        </is>
      </c>
      <c r="AB3" t="inlineStr">
        <is>
          <t>PLN2011-00437 [Rezoning - Proffer Amendment; Amended; case number]; REZ2024-00025 [Rezoning - Proffer Amendment; Approved; case number]; SPR2016-00304 [Site Plan - Final; Approved; GPIN (building parcel)]; SPR2017-00173 [Site Plan - Revision; Approved; GPIN (building parcel)]; SPR2017-00417 [Site Plan - Revision; Approved; GPIN (building parcel)]; SPR2018-00088 [Site Plan - Asbuilt Plan; Approved; GPIN (building parcel)]; SPR2024-00380 [Site Plan - Final; Approved; GPIN (building parcel)]</t>
        </is>
      </c>
      <c r="AD3" t="inlineStr">
        <is>
          <t>9ad88838-f931-4013-b253-716e33117c14</t>
        </is>
      </c>
      <c r="AE3" t="inlineStr">
        <is>
          <t>Build_Out_Analysis/10 (campuses); Build_Out_Analysis/9 (buildings); ePortal</t>
        </is>
      </c>
      <c r="AF3" t="inlineStr">
        <is>
          <t>https://gisweb.pwcva.gov/arcgis/rest/services/Planning/Build_Out_Analysis/MapServer/10/30?f=html | https://gisweb.pwcva.gov/arcgis/rest/services/Planning/Build_Out_Analysis/MapServer/9/query?where=GPIN IS NOT NULL&amp;outFields=*&amp;f=html (buildings joined spatially) | https://egcss.pwcgov.org/SelfService#/home</t>
        </is>
      </c>
      <c r="AG3" t="inlineStr">
        <is>
          <t>2026-09-25</t>
        </is>
      </c>
    </row>
    <row r="4">
      <c r="B4" t="n">
        <v>3</v>
      </c>
      <c r="C4" t="inlineStr">
        <is>
          <t>CloudHQ Manassas Data Center (MDC)</t>
        </is>
      </c>
      <c r="D4" t="n">
        <v>3</v>
      </c>
      <c r="E4" t="inlineStr">
        <is>
          <t>Ashwood Addition</t>
        </is>
      </c>
      <c r="F4" t="inlineStr">
        <is>
          <t>REZ2018-00001</t>
        </is>
      </c>
      <c r="G4" t="inlineStr">
        <is>
          <t>REZ2018-00001; REZ2023-00025</t>
        </is>
      </c>
      <c r="H4" t="inlineStr">
        <is>
          <t>Under Construction</t>
        </is>
      </c>
      <c r="I4" t="inlineStr">
        <is>
          <t>Planned</t>
        </is>
      </c>
      <c r="K4" t="inlineStr">
        <is>
          <t>Approved</t>
        </is>
      </c>
      <c r="L4" t="inlineStr">
        <is>
          <t>Rule 1: &gt;=1 building 'Under Construction' in layer 9</t>
        </is>
      </c>
      <c r="M4" t="n">
        <v>85.40000000000001</v>
      </c>
      <c r="N4" t="n">
        <v>1644498</v>
      </c>
      <c r="O4" t="n">
        <v>1644498</v>
      </c>
      <c r="P4" t="n">
        <v>3</v>
      </c>
      <c r="Q4" t="inlineStr">
        <is>
          <t>Under Construction: 3</t>
        </is>
      </c>
      <c r="R4" t="n">
        <v>1644249</v>
      </c>
      <c r="S4" t="inlineStr">
        <is>
          <t>Coles</t>
        </is>
      </c>
      <c r="T4" t="inlineStr">
        <is>
          <t>Yes</t>
        </is>
      </c>
      <c r="U4" t="inlineStr">
        <is>
          <t>M-2</t>
        </is>
      </c>
      <c r="V4" t="inlineStr">
        <is>
          <t>7695-41-6086; 7695-50-2882; 7695-50-9420</t>
        </is>
      </c>
      <c r="W4" t="inlineStr">
        <is>
          <t>10430 HARRY J PARRISH BLVD; 10450 HARRY J PARRISH BLVD; 10470 HARRY J PARRISH BLVD</t>
        </is>
      </c>
      <c r="X4" t="inlineStr">
        <is>
          <t>CloudHQ Manassas Data Center 1 (Under Construction); CloudHQ Manassas Data Center 2 (Under Construction); CloudHQ Manassas Data Center 3 (Under Construction)</t>
        </is>
      </c>
      <c r="Y4" t="inlineStr">
        <is>
          <t>BLD2025-04928 (Issued); BLD2026-01701 (Issued); BLD2026-02951 (Issued)</t>
        </is>
      </c>
      <c r="AB4" t="inlineStr">
        <is>
          <t>REZ2018-00001 [Rezoning - Proffer Amendment; Approved; case number]; REZ2023-00025 [Rezoning - Proffer Amendment; Withdrawn; case number REZ2018-00001 referenced in description]</t>
        </is>
      </c>
      <c r="AD4" t="inlineStr">
        <is>
          <t>bac2c975-6f9e-462c-a9f0-d855015bd869</t>
        </is>
      </c>
      <c r="AE4" t="inlineStr">
        <is>
          <t>Build_Out_Analysis/10 (campuses); Build_Out_Analysis/9 (buildings); ePortal</t>
        </is>
      </c>
      <c r="AF4" t="inlineStr">
        <is>
          <t>https://gisweb.pwcva.gov/arcgis/rest/services/Planning/Build_Out_Analysis/MapServer/10/29?f=html | https://gisweb.pwcva.gov/arcgis/rest/services/Planning/Build_Out_Analysis/MapServer/9/query?where=GPIN IS NOT NULL&amp;outFields=*&amp;f=html (buildings joined spatially) | https://egcss.pwcgov.org/SelfService#/home</t>
        </is>
      </c>
      <c r="AG4" t="inlineStr">
        <is>
          <t>2026-09-25</t>
        </is>
      </c>
    </row>
    <row r="5">
      <c r="B5" t="n">
        <v>4</v>
      </c>
      <c r="C5" t="inlineStr">
        <is>
          <t>Digital Realty</t>
        </is>
      </c>
      <c r="D5" t="n">
        <v>2</v>
      </c>
      <c r="E5" t="inlineStr">
        <is>
          <t>Brickyard</t>
        </is>
      </c>
      <c r="F5" t="inlineStr">
        <is>
          <t>REZ2018-00002</t>
        </is>
      </c>
      <c r="G5" t="inlineStr">
        <is>
          <t>REZ2018-00002</t>
        </is>
      </c>
      <c r="H5" t="inlineStr">
        <is>
          <t>Under Construction</t>
        </is>
      </c>
      <c r="I5" t="inlineStr">
        <is>
          <t>Planned</t>
        </is>
      </c>
      <c r="K5" t="inlineStr">
        <is>
          <t>Approved</t>
        </is>
      </c>
      <c r="L5" t="inlineStr">
        <is>
          <t>Rule 1: &gt;=1 building 'Under Construction' in layer 9</t>
        </is>
      </c>
      <c r="M5" t="n">
        <v>61.47</v>
      </c>
      <c r="N5" t="n">
        <v>1602558</v>
      </c>
      <c r="O5" t="n">
        <v>802135</v>
      </c>
      <c r="P5" t="n">
        <v>2</v>
      </c>
      <c r="Q5" t="inlineStr">
        <is>
          <t>Completed: 1; Under Construction: 1</t>
        </is>
      </c>
      <c r="R5" t="n">
        <v>1617620</v>
      </c>
      <c r="S5" t="inlineStr">
        <is>
          <t>Coles</t>
        </is>
      </c>
      <c r="T5" t="inlineStr">
        <is>
          <t>Yes</t>
        </is>
      </c>
      <c r="U5" t="inlineStr">
        <is>
          <t>M-1</t>
        </is>
      </c>
      <c r="V5" t="inlineStr">
        <is>
          <t>7695-53-6537; 7695-53-9602</t>
        </is>
      </c>
      <c r="W5" t="inlineStr">
        <is>
          <t>10050 BRICKYARD WAY; 10051 BRICKYARD WAY</t>
        </is>
      </c>
      <c r="X5" t="inlineStr">
        <is>
          <t>DLR IAD-50 (Under Construction); DLR IAD-51 (Completed)</t>
        </is>
      </c>
      <c r="Y5" t="inlineStr">
        <is>
          <t>BLD2024-02491 (Finaled); BLD2025-02545 (Issued)</t>
        </is>
      </c>
      <c r="AB5" t="inlineStr">
        <is>
          <t>REZ2018-00002 [Rezoning - Proffer Amendment; Approved; case number]</t>
        </is>
      </c>
      <c r="AD5" t="inlineStr">
        <is>
          <t>5b9b1adb-eadd-43e0-aa7f-4fe0a600d4f2</t>
        </is>
      </c>
      <c r="AE5" t="inlineStr">
        <is>
          <t>Build_Out_Analysis/10 (campuses); Build_Out_Analysis/9 (buildings); ePortal</t>
        </is>
      </c>
      <c r="AF5" t="inlineStr">
        <is>
          <t>https://gisweb.pwcva.gov/arcgis/rest/services/Planning/Build_Out_Analysis/MapServer/10/28?f=html | https://gisweb.pwcva.gov/arcgis/rest/services/Planning/Build_Out_Analysis/MapServer/9/query?where=GPIN IS NOT NULL&amp;outFields=*&amp;f=html (buildings joined spatially) | https://egcss.pwcgov.org/SelfService#/home</t>
        </is>
      </c>
      <c r="AG5" t="inlineStr">
        <is>
          <t>2026-09-25</t>
        </is>
      </c>
    </row>
    <row r="6">
      <c r="B6" t="n">
        <v>5</v>
      </c>
      <c r="C6" t="inlineStr">
        <is>
          <t>George Mason Research Park</t>
        </is>
      </c>
      <c r="D6" t="n">
        <v>3</v>
      </c>
      <c r="E6" t="inlineStr">
        <is>
          <t>NVA05A &amp; NVA05B Proffer Amendment</t>
        </is>
      </c>
      <c r="F6" t="inlineStr">
        <is>
          <t>REZ2024-00009</t>
        </is>
      </c>
      <c r="G6" t="inlineStr">
        <is>
          <t>REZ2024-00009; REZ2024-00042</t>
        </is>
      </c>
      <c r="H6" t="inlineStr">
        <is>
          <t>Under Construction</t>
        </is>
      </c>
      <c r="I6" t="inlineStr">
        <is>
          <t>Planned</t>
        </is>
      </c>
      <c r="K6" t="inlineStr">
        <is>
          <t>Approved</t>
        </is>
      </c>
      <c r="L6" t="inlineStr">
        <is>
          <t>Rule 1: &gt;=1 building 'Under Construction' in layer 9</t>
        </is>
      </c>
      <c r="M6" t="n">
        <v>46.18</v>
      </c>
      <c r="N6" t="n">
        <v>711418</v>
      </c>
      <c r="O6" t="n">
        <v>440878</v>
      </c>
      <c r="P6" t="n">
        <v>3</v>
      </c>
      <c r="Q6" t="inlineStr">
        <is>
          <t>Completed: 1; Under Construction: 2</t>
        </is>
      </c>
      <c r="R6" t="n">
        <v>711418</v>
      </c>
      <c r="S6" t="inlineStr">
        <is>
          <t>Brentsville</t>
        </is>
      </c>
      <c r="T6" t="inlineStr">
        <is>
          <t>Yes</t>
        </is>
      </c>
      <c r="U6" t="inlineStr">
        <is>
          <t>PBD</t>
        </is>
      </c>
      <c r="V6" t="inlineStr">
        <is>
          <t>7696-30-4783; 7696-31-9262; 7696-41-6854</t>
        </is>
      </c>
      <c r="W6" t="inlineStr">
        <is>
          <t>8930 WELLINGTON RD; 9001 FREEDOM CENTER BLVD; 9101 FREEDOM CENTER BLVD</t>
        </is>
      </c>
      <c r="X6" t="inlineStr">
        <is>
          <t>Stack Northern Virginia NVA05A (Completed); Stack Northern Virginia NVA05B (Under Construction); Stack Northern Virginia NVA05C (Under Construction)</t>
        </is>
      </c>
      <c r="Y6" t="inlineStr">
        <is>
          <t>BLD2023-00562 (Finaled); BLD2025-03019 (Issued); BLD2025-03129 (Issued)</t>
        </is>
      </c>
      <c r="AB6" t="inlineStr">
        <is>
          <t>REZ2024-00009 [Rezoning - Proffer Amendment; Approved; case number]; REZ2024-00042 [Rezoning - Non-Residential; Approved; case number]</t>
        </is>
      </c>
      <c r="AD6" t="inlineStr">
        <is>
          <t>19004ff1-7e88-4661-9d3f-ad33ecaa1da2</t>
        </is>
      </c>
      <c r="AE6" t="inlineStr">
        <is>
          <t>Build_Out_Analysis/10 (campuses); Build_Out_Analysis/9 (buildings); ePortal</t>
        </is>
      </c>
      <c r="AF6" t="inlineStr">
        <is>
          <t>https://gisweb.pwcva.gov/arcgis/rest/services/Planning/Build_Out_Analysis/MapServer/10/22?f=html | https://gisweb.pwcva.gov/arcgis/rest/services/Planning/Build_Out_Analysis/MapServer/9/query?where=GPIN IS NOT NULL&amp;outFields=*&amp;f=html (buildings joined spatially) | https://egcss.pwcgov.org/SelfService#/home</t>
        </is>
      </c>
      <c r="AG6" t="inlineStr">
        <is>
          <t>2026-09-25</t>
        </is>
      </c>
    </row>
    <row r="7">
      <c r="B7" t="n">
        <v>6</v>
      </c>
      <c r="C7" t="inlineStr">
        <is>
          <t>Manassas Tech Center</t>
        </is>
      </c>
      <c r="D7" t="n">
        <v>3</v>
      </c>
      <c r="E7" t="inlineStr">
        <is>
          <t>Manassas Tech Center PRA</t>
        </is>
      </c>
      <c r="F7" t="inlineStr">
        <is>
          <t>REZ2026-00022</t>
        </is>
      </c>
      <c r="G7" t="inlineStr">
        <is>
          <t>REZ2026-00022</t>
        </is>
      </c>
      <c r="H7" t="inlineStr">
        <is>
          <t>Under Construction</t>
        </is>
      </c>
      <c r="I7" t="inlineStr">
        <is>
          <t>Pending</t>
        </is>
      </c>
      <c r="K7" t="inlineStr">
        <is>
          <t>Approved</t>
        </is>
      </c>
      <c r="L7" t="inlineStr">
        <is>
          <t>Rule 1: &gt;=1 building 'Under Construction' in layer 9</t>
        </is>
      </c>
      <c r="M7" t="n">
        <v>40.41</v>
      </c>
      <c r="N7" t="n">
        <v>696554</v>
      </c>
      <c r="O7" t="n">
        <v>696554</v>
      </c>
      <c r="P7" t="n">
        <v>3</v>
      </c>
      <c r="Q7" t="inlineStr">
        <is>
          <t>Planned: 2; Under Construction: 1</t>
        </is>
      </c>
      <c r="R7" t="n">
        <v>686721</v>
      </c>
      <c r="S7" t="inlineStr">
        <is>
          <t>Brentsville</t>
        </is>
      </c>
      <c r="T7" t="inlineStr">
        <is>
          <t>Yes</t>
        </is>
      </c>
      <c r="U7" t="inlineStr">
        <is>
          <t>PBD PMD</t>
        </is>
      </c>
      <c r="V7" t="inlineStr">
        <is>
          <t>7596-61-8378; 7596-62-9148</t>
        </is>
      </c>
      <c r="W7" t="inlineStr">
        <is>
          <t>8880 MIKE GARCIA DR; 8881 MIKE GARCIA DR; 8890 MIKE GARCIA DR</t>
        </is>
      </c>
      <c r="X7" t="inlineStr">
        <is>
          <t>Manassas Tech Center Building A (Under Construction); Manassas Tech Center Building B (Planned); Manassas Tech Center Building C (Planned)</t>
        </is>
      </c>
      <c r="Y7" t="inlineStr">
        <is>
          <t>BLD2025-00144 (Issued); BLD2026-06372 (Planned)</t>
        </is>
      </c>
      <c r="AB7" t="inlineStr">
        <is>
          <t>REZ2026-00022 [Rezoning - Proffer Amendment; Approved; case number]</t>
        </is>
      </c>
      <c r="AD7" t="inlineStr">
        <is>
          <t>7bbe6460-60e2-41f9-99a4-a5e725b52010</t>
        </is>
      </c>
      <c r="AE7" t="inlineStr">
        <is>
          <t>Build_Out_Analysis/10 (campuses); Build_Out_Analysis/9 (buildings); ePortal</t>
        </is>
      </c>
      <c r="AF7" t="inlineStr">
        <is>
          <t>https://gisweb.pwcva.gov/arcgis/rest/services/Planning/Build_Out_Analysis/MapServer/10/16?f=html | https://gisweb.pwcva.gov/arcgis/rest/services/Planning/Build_Out_Analysis/MapServer/9/query?where=GPIN IS NOT NULL&amp;outFields=*&amp;f=html (buildings joined spatially) | https://egcss.pwcgov.org/SelfService#/home</t>
        </is>
      </c>
      <c r="AG7" t="inlineStr">
        <is>
          <t>2026-09-25</t>
        </is>
      </c>
      <c r="AH7" t="inlineStr">
        <is>
          <t>Campus case is county-Pending but a building is Under Construction (stage per rule 1); ePortal shows primary case Approved while campus layer says Pending (county data conflict)</t>
        </is>
      </c>
    </row>
    <row r="8">
      <c r="B8" t="n">
        <v>7</v>
      </c>
      <c r="C8" t="inlineStr">
        <is>
          <t>Microsoft Azure Gainesville Tech Park</t>
        </is>
      </c>
      <c r="D8" t="n">
        <v>4</v>
      </c>
      <c r="E8" t="inlineStr">
        <is>
          <t>Gainesville Tech Park</t>
        </is>
      </c>
      <c r="F8" t="inlineStr">
        <is>
          <t>REZ2020-00011</t>
        </is>
      </c>
      <c r="G8" t="inlineStr">
        <is>
          <t>REZ2020-00011</t>
        </is>
      </c>
      <c r="H8" t="inlineStr">
        <is>
          <t>Under Construction</t>
        </is>
      </c>
      <c r="I8" t="inlineStr">
        <is>
          <t>Planned</t>
        </is>
      </c>
      <c r="K8" t="inlineStr">
        <is>
          <t>Approved</t>
        </is>
      </c>
      <c r="L8" t="inlineStr">
        <is>
          <t>Rule 1: &gt;=1 building 'Under Construction' in layer 9</t>
        </is>
      </c>
      <c r="M8" t="n">
        <v>83.13</v>
      </c>
      <c r="N8" t="n">
        <v>1245499</v>
      </c>
      <c r="O8" t="n">
        <v>1245499</v>
      </c>
      <c r="P8" t="n">
        <v>4</v>
      </c>
      <c r="Q8" t="inlineStr">
        <is>
          <t>Planned: 3; Under Construction: 1</t>
        </is>
      </c>
      <c r="R8" t="n">
        <v>1430352</v>
      </c>
      <c r="S8" t="inlineStr">
        <is>
          <t>Brentsville</t>
        </is>
      </c>
      <c r="T8" t="inlineStr">
        <is>
          <t>Yes</t>
        </is>
      </c>
      <c r="U8" t="inlineStr">
        <is>
          <t>M-2</t>
        </is>
      </c>
      <c r="V8" t="inlineStr">
        <is>
          <t>7496-88-1217</t>
        </is>
      </c>
      <c r="W8" t="inlineStr">
        <is>
          <t>13060 HANSEN FARM RD; 13062 HANSEN FARM RD; 13064 HANSEN FARM RD; 13066 HANSEN FARM RD</t>
        </is>
      </c>
      <c r="X8" t="inlineStr">
        <is>
          <t>Microsoft Azure MNZ03 (Under Construction); Microsoft Azure MNZ04 (Planned); Microsoft Azure MNZ05 (Planned); Microsoft Azure MNZ06 (Planned)</t>
        </is>
      </c>
      <c r="Y8" t="inlineStr">
        <is>
          <t>&lt;Null&gt; (Planned); BLD2023-07492 (Issued); BLD2025-02384 (Planned)</t>
        </is>
      </c>
      <c r="AB8" t="inlineStr">
        <is>
          <t>REZ2020-00011 [Rezoning - Non-Residential; Approved; case number]</t>
        </is>
      </c>
      <c r="AD8" t="inlineStr">
        <is>
          <t>01fffe17-1fdc-46e3-bd5c-f5795320e7e6</t>
        </is>
      </c>
      <c r="AE8" t="inlineStr">
        <is>
          <t>Build_Out_Analysis/10 (campuses); Build_Out_Analysis/9 (buildings); ePortal</t>
        </is>
      </c>
      <c r="AF8" t="inlineStr">
        <is>
          <t>https://gisweb.pwcva.gov/arcgis/rest/services/Planning/Build_Out_Analysis/MapServer/10/5?f=html | https://gisweb.pwcva.gov/arcgis/rest/services/Planning/Build_Out_Analysis/MapServer/9/query?where=GPIN IS NOT NULL&amp;outFields=*&amp;f=html (buildings joined spatially) | https://egcss.pwcgov.org/SelfService#/home</t>
        </is>
      </c>
      <c r="AG8" t="inlineStr">
        <is>
          <t>2026-09-25</t>
        </is>
      </c>
    </row>
    <row r="9">
      <c r="B9" t="n">
        <v>8</v>
      </c>
      <c r="C9" t="inlineStr">
        <is>
          <t>NTT Grove at Gainesville</t>
        </is>
      </c>
      <c r="D9" t="n">
        <v>4</v>
      </c>
      <c r="E9" t="inlineStr">
        <is>
          <t>I-66 &amp; Route 29 Technology Park</t>
        </is>
      </c>
      <c r="F9" t="inlineStr">
        <is>
          <t>REZ2021-00001</t>
        </is>
      </c>
      <c r="G9" t="inlineStr">
        <is>
          <t>REZ2021-00001; SUP2021-00002</t>
        </is>
      </c>
      <c r="H9" t="inlineStr">
        <is>
          <t>Under Construction</t>
        </is>
      </c>
      <c r="I9" t="inlineStr">
        <is>
          <t>Planned</t>
        </is>
      </c>
      <c r="K9" t="inlineStr">
        <is>
          <t>Approved</t>
        </is>
      </c>
      <c r="L9" t="inlineStr">
        <is>
          <t>Rule 1: &gt;=1 building 'Under Construction' in layer 9</t>
        </is>
      </c>
      <c r="M9" t="n">
        <v>90.90000000000001</v>
      </c>
      <c r="N9" t="n">
        <v>2279176</v>
      </c>
      <c r="O9" t="n">
        <v>2279176</v>
      </c>
      <c r="P9" t="n">
        <v>4</v>
      </c>
      <c r="Q9" t="inlineStr">
        <is>
          <t>Planned: 1; Under Construction: 3</t>
        </is>
      </c>
      <c r="R9" t="n">
        <v>2279176</v>
      </c>
      <c r="S9" t="inlineStr">
        <is>
          <t>Gainesville</t>
        </is>
      </c>
      <c r="T9" t="inlineStr">
        <is>
          <t>No</t>
        </is>
      </c>
      <c r="U9" t="inlineStr">
        <is>
          <t>B-1</t>
        </is>
      </c>
      <c r="V9" t="inlineStr">
        <is>
          <t>7397-56-8403</t>
        </is>
      </c>
      <c r="W9" t="inlineStr">
        <is>
          <t>7151 CATHARPIN RD; 7250 GROVE HILL BLVD; 7251 GROVE HILL BLVD; 7253 GROVE HILL BLVD</t>
        </is>
      </c>
      <c r="X9" t="inlineStr">
        <is>
          <t>NTT Grove at Gainesville VA10 (Under Construction); NTT Grove at Gainesville VA11 (Under Construction); NTT Grove at Gainesville VA12 (Under Construction); NTT Grove at Gainesville VA13 (Planned)</t>
        </is>
      </c>
      <c r="Y9" t="inlineStr">
        <is>
          <t>BLD2023-05471 (Issued); BLD2025-04670 (Issued); BLD2026-05831 (Issued)</t>
        </is>
      </c>
      <c r="AA9" t="inlineStr">
        <is>
          <t>SUP2021-00002 [SUP; ACTIVE; approved 2021-12-06]</t>
        </is>
      </c>
      <c r="AB9" t="inlineStr">
        <is>
          <t>REZ2021-00001 [Rezoning - Proffer Amendment; Approved; case number]; SPR2026-00342 [Site Plan - Revision; Approved; GPIN (building parcel)]; SUP2021-00002 [Special Use Permit - New Application; Approved; case number REZ2021-00001 referenced in description]</t>
        </is>
      </c>
      <c r="AD9" t="inlineStr">
        <is>
          <t>4f041cf7-c8de-4afd-a4e3-f12ba520a0cd</t>
        </is>
      </c>
      <c r="AE9" t="inlineStr">
        <is>
          <t>Build_Out_Analysis/10 (campuses); Build_Out_Analysis/9 (buildings); Planning/Zoning/6 (use permits); ePortal</t>
        </is>
      </c>
      <c r="AF9" t="inlineStr">
        <is>
          <t>https://gisweb.pwcva.gov/arcgis/rest/services/Planning/Build_Out_Analysis/MapServer/10/34?f=html | https://gisweb.pwcva.gov/arcgis/rest/services/Planning/Build_Out_Analysis/MapServer/9/query?where=GPIN IS NOT NULL&amp;outFields=*&amp;f=html (buildings joined spatially) | https://egcss.pwcgov.org/SelfService#/home</t>
        </is>
      </c>
      <c r="AG9" t="inlineStr">
        <is>
          <t>2026-09-25</t>
        </is>
      </c>
    </row>
    <row r="10">
      <c r="B10" t="n">
        <v>9</v>
      </c>
      <c r="C10" t="inlineStr">
        <is>
          <t>Project Gainesville</t>
        </is>
      </c>
      <c r="D10" t="n">
        <v>4</v>
      </c>
      <c r="E10" t="inlineStr">
        <is>
          <t>BOCS-ARC</t>
        </is>
      </c>
      <c r="F10" t="inlineStr">
        <is>
          <t>REZ1958-0021</t>
        </is>
      </c>
      <c r="G10" t="inlineStr">
        <is>
          <t>REZ1958-0021; SUP2023-00006</t>
        </is>
      </c>
      <c r="H10" t="inlineStr">
        <is>
          <t>Under Construction</t>
        </is>
      </c>
      <c r="I10" t="inlineStr">
        <is>
          <t>Planned</t>
        </is>
      </c>
      <c r="L10" t="inlineStr">
        <is>
          <t>Rule 1: &gt;=1 building 'Under Construction' in layer 9</t>
        </is>
      </c>
      <c r="M10" t="n">
        <v>58.54</v>
      </c>
      <c r="N10" t="n">
        <v>943981</v>
      </c>
      <c r="O10" t="n">
        <v>943981</v>
      </c>
      <c r="P10" t="n">
        <v>4</v>
      </c>
      <c r="Q10" t="inlineStr">
        <is>
          <t>Under Construction: 4</t>
        </is>
      </c>
      <c r="R10" t="n">
        <v>943981</v>
      </c>
      <c r="S10" t="inlineStr">
        <is>
          <t>Brentsville</t>
        </is>
      </c>
      <c r="T10" t="inlineStr">
        <is>
          <t>Yes</t>
        </is>
      </c>
      <c r="U10" t="inlineStr">
        <is>
          <t>M-1</t>
        </is>
      </c>
      <c r="V10" t="inlineStr">
        <is>
          <t>7497-41-7199</t>
        </is>
      </c>
      <c r="W10" t="inlineStr">
        <is>
          <t>7675 DEACON FALLS DR; 7701 DEACON FALLS DR; 7725 DEACON FALLS DR; 7751 DEACON FALLS DR</t>
        </is>
      </c>
      <c r="X10" t="inlineStr">
        <is>
          <t>Amazon AWS IAD A (Under Construction); Amazon AWS IAD B (Under Construction); Amazon AWS IAD C (Under Construction); Amazon AWS IAD D (Under Construction)</t>
        </is>
      </c>
      <c r="Y10" t="inlineStr">
        <is>
          <t>BLD2022-05922 (Issued); BLD2024-05622 (Issued); BLD2026-00592 (Issued); BLD2026-00593 (Issued)</t>
        </is>
      </c>
      <c r="AB10" t="inlineStr">
        <is>
          <t>SUP2023-00006 [Special Use - Modification to Development Standards; Withdrawn; GPIN (building parcel)]</t>
        </is>
      </c>
      <c r="AD10" t="inlineStr">
        <is>
          <t>7b3b0a5f-c395-47c0-99c0-eb53f411acb3</t>
        </is>
      </c>
      <c r="AE10" t="inlineStr">
        <is>
          <t>Build_Out_Analysis/10 (campuses); Build_Out_Analysis/9 (buildings); ePortal</t>
        </is>
      </c>
      <c r="AF10" t="inlineStr">
        <is>
          <t>https://gisweb.pwcva.gov/arcgis/rest/services/Planning/Build_Out_Analysis/MapServer/10/83?f=html | https://gisweb.pwcva.gov/arcgis/rest/services/Planning/Build_Out_Analysis/MapServer/9/query?where=GPIN IS NOT NULL&amp;outFields=*&amp;f=html (buildings joined spatially) | https://egcss.pwcgov.org/SelfService#/home</t>
        </is>
      </c>
      <c r="AG10" t="inlineStr">
        <is>
          <t>2026-09-25</t>
        </is>
      </c>
    </row>
    <row r="11">
      <c r="B11" t="n">
        <v>10</v>
      </c>
      <c r="C11" t="inlineStr">
        <is>
          <t>QTS Manassas 1</t>
        </is>
      </c>
      <c r="D11" t="n">
        <v>6</v>
      </c>
      <c r="E11" t="inlineStr">
        <is>
          <t>IBM</t>
        </is>
      </c>
      <c r="F11" t="inlineStr">
        <is>
          <t>REZ1980-0030</t>
        </is>
      </c>
      <c r="G11" t="inlineStr">
        <is>
          <t>REZ1980-0030; REZ2020-00019; REZ2023-00002</t>
        </is>
      </c>
      <c r="H11" t="inlineStr">
        <is>
          <t>Under Construction</t>
        </is>
      </c>
      <c r="I11" t="inlineStr">
        <is>
          <t>Planned</t>
        </is>
      </c>
      <c r="L11" t="inlineStr">
        <is>
          <t>Rule 1: &gt;=1 building 'Under Construction' in layer 9</t>
        </is>
      </c>
      <c r="M11" t="n">
        <v>109.36</v>
      </c>
      <c r="N11" t="n">
        <v>1356387</v>
      </c>
      <c r="O11" t="n">
        <v>515582</v>
      </c>
      <c r="P11" t="n">
        <v>6</v>
      </c>
      <c r="Q11" t="inlineStr">
        <is>
          <t>Completed: 4; Under Construction: 2</t>
        </is>
      </c>
      <c r="R11" t="n">
        <v>1356387</v>
      </c>
      <c r="S11" t="inlineStr">
        <is>
          <t>Brentsville</t>
        </is>
      </c>
      <c r="T11" t="inlineStr">
        <is>
          <t>Yes</t>
        </is>
      </c>
      <c r="U11" t="inlineStr">
        <is>
          <t>M-2 PBD</t>
        </is>
      </c>
      <c r="V11" t="inlineStr">
        <is>
          <t>7695-38-4851; 7695-39-0644; 7695-47-3376; 7695-48-1668; 7695-48-5650; 7695-58-1491</t>
        </is>
      </c>
      <c r="W11" t="inlineStr">
        <is>
          <t>9301 FREEDOM CENTER BLVD; 9351 FREEDOM CENTER BLVD; 9400 GODWIN DR; 9420 GODWIN DR; 9450 GODWIN DR; 9540 GODWIN DR</t>
        </is>
      </c>
      <c r="X11" t="inlineStr">
        <is>
          <t>QTS Manassas DC1 (Completed); QTS Manassas DC2 (Completed); QTS Manassas DC3 (Completed); QTS Manassas DC4 (Under Construction); QTS Manassas DC5 (Completed); QTS Manassas DC6 (Under Construction)</t>
        </is>
      </c>
      <c r="Y11" t="inlineStr">
        <is>
          <t>BLD2018-06634 (Finaled); BLD2021-04300 (Finaled); BLD2022-06119 (Finaled); BLD2023-04643 (Finaled); BLD2024-06788 (Issued); BLD2025-03459 (Issued)</t>
        </is>
      </c>
      <c r="AB11" t="inlineStr">
        <is>
          <t>REZ2020-00019 [Rezoning - Non-Residential; Approved; case number]; REZ2023-00002 [Rezoning - Proffer Amendment; Approved; case number]</t>
        </is>
      </c>
      <c r="AD11" t="inlineStr">
        <is>
          <t>81cc348e-ba85-4c9b-9dc9-2a31c19aa522</t>
        </is>
      </c>
      <c r="AE11" t="inlineStr">
        <is>
          <t>Build_Out_Analysis/10 (campuses); Build_Out_Analysis/9 (buildings); ePortal</t>
        </is>
      </c>
      <c r="AF11" t="inlineStr">
        <is>
          <t>https://gisweb.pwcva.gov/arcgis/rest/services/Planning/Build_Out_Analysis/MapServer/10/23?f=html | https://gisweb.pwcva.gov/arcgis/rest/services/Planning/Build_Out_Analysis/MapServer/9/query?where=GPIN IS NOT NULL&amp;outFields=*&amp;f=html (buildings joined spatially) | https://egcss.pwcgov.org/SelfService#/home</t>
        </is>
      </c>
      <c r="AG11" t="inlineStr">
        <is>
          <t>2026-09-25</t>
        </is>
      </c>
    </row>
    <row r="12">
      <c r="B12" t="n">
        <v>11</v>
      </c>
      <c r="C12" t="inlineStr">
        <is>
          <t>South Point Phase II</t>
        </is>
      </c>
      <c r="D12" t="n">
        <v>2</v>
      </c>
      <c r="E12" t="inlineStr">
        <is>
          <t>South Point Phase II</t>
        </is>
      </c>
      <c r="F12" t="inlineStr">
        <is>
          <t>REZ2020-00021</t>
        </is>
      </c>
      <c r="G12" t="inlineStr">
        <is>
          <t>REZ2020-00021</t>
        </is>
      </c>
      <c r="H12" t="inlineStr">
        <is>
          <t>Under Construction</t>
        </is>
      </c>
      <c r="I12" t="inlineStr">
        <is>
          <t>Planned</t>
        </is>
      </c>
      <c r="K12" t="inlineStr">
        <is>
          <t>Approved</t>
        </is>
      </c>
      <c r="L12" t="inlineStr">
        <is>
          <t>Rule 1: &gt;=1 building 'Under Construction' in layer 9</t>
        </is>
      </c>
      <c r="M12" t="n">
        <v>22.22</v>
      </c>
      <c r="N12" t="n">
        <v>530000</v>
      </c>
      <c r="O12" t="n">
        <v>399966</v>
      </c>
      <c r="P12" t="n">
        <v>2</v>
      </c>
      <c r="Q12" t="inlineStr">
        <is>
          <t>Completed: 1; Under Construction: 1</t>
        </is>
      </c>
      <c r="R12" t="n">
        <v>482934</v>
      </c>
      <c r="S12" t="inlineStr">
        <is>
          <t>Brentsville</t>
        </is>
      </c>
      <c r="T12" t="inlineStr">
        <is>
          <t>Yes</t>
        </is>
      </c>
      <c r="U12" t="inlineStr">
        <is>
          <t>M-2</t>
        </is>
      </c>
      <c r="V12" t="inlineStr">
        <is>
          <t>7596-16-5979; 7596-27-0053</t>
        </is>
      </c>
      <c r="W12" t="inlineStr">
        <is>
          <t>8300 BUCKEYE TIMBER DR; 8400 BUCKEYE TIMBER DR</t>
        </is>
      </c>
      <c r="X12" t="inlineStr">
        <is>
          <t>South Point Phase II Building A (Completed); South Point Phase II Building B (Under Construction)</t>
        </is>
      </c>
      <c r="Y12" t="inlineStr">
        <is>
          <t>BLD2024-01532 (Finaled); BLD2025-00827 (Issued)</t>
        </is>
      </c>
      <c r="AB12" t="inlineStr">
        <is>
          <t>REZ2020-00021 [Rezoning - Proffer Amendment; Approved; case number]</t>
        </is>
      </c>
      <c r="AD12" t="inlineStr">
        <is>
          <t>50945ad4-3eb2-48ff-be0f-fbede2cfd419</t>
        </is>
      </c>
      <c r="AE12" t="inlineStr">
        <is>
          <t>Build_Out_Analysis/10 (campuses); Build_Out_Analysis/9 (buildings); ePortal</t>
        </is>
      </c>
      <c r="AF12" t="inlineStr">
        <is>
          <t>https://gisweb.pwcva.gov/arcgis/rest/services/Planning/Build_Out_Analysis/MapServer/10/13?f=html | https://gisweb.pwcva.gov/arcgis/rest/services/Planning/Build_Out_Analysis/MapServer/9/query?where=GPIN IS NOT NULL&amp;outFields=*&amp;f=html (buildings joined spatially) | https://egcss.pwcgov.org/SelfService#/home</t>
        </is>
      </c>
      <c r="AG12" t="inlineStr">
        <is>
          <t>2026-09-25</t>
        </is>
      </c>
    </row>
    <row r="13">
      <c r="B13" t="n">
        <v>12</v>
      </c>
      <c r="C13" t="inlineStr">
        <is>
          <t>Stack Infrastructure NVA02 Manassas</t>
        </is>
      </c>
      <c r="D13" t="n">
        <v>7</v>
      </c>
      <c r="E13" t="inlineStr">
        <is>
          <t>Avanti at Innovation PRA</t>
        </is>
      </c>
      <c r="F13" t="inlineStr">
        <is>
          <t>REZ2019-00028</t>
        </is>
      </c>
      <c r="G13" t="inlineStr">
        <is>
          <t>REZ2019-00028</t>
        </is>
      </c>
      <c r="H13" t="inlineStr">
        <is>
          <t>Under Construction</t>
        </is>
      </c>
      <c r="I13" t="inlineStr">
        <is>
          <t>Planned</t>
        </is>
      </c>
      <c r="K13" t="inlineStr">
        <is>
          <t>Approved</t>
        </is>
      </c>
      <c r="L13" t="inlineStr">
        <is>
          <t>Rule 1: &gt;=1 building 'Under Construction' in layer 9</t>
        </is>
      </c>
      <c r="M13" t="n">
        <v>86.11</v>
      </c>
      <c r="N13" t="n">
        <v>1559831</v>
      </c>
      <c r="O13" t="n">
        <v>553730</v>
      </c>
      <c r="P13" t="n">
        <v>7</v>
      </c>
      <c r="Q13" t="inlineStr">
        <is>
          <t>Completed: 5; Under Construction: 2</t>
        </is>
      </c>
      <c r="R13" t="n">
        <v>1191904</v>
      </c>
      <c r="S13" t="inlineStr">
        <is>
          <t>Brentsville</t>
        </is>
      </c>
      <c r="T13" t="inlineStr">
        <is>
          <t>Yes</t>
        </is>
      </c>
      <c r="U13" t="inlineStr">
        <is>
          <t>PBD</t>
        </is>
      </c>
      <c r="V13" t="inlineStr">
        <is>
          <t>7595-65-9789; 7595-75-3611; 7595-76-2590; 7595-76-6544; 7595-85-3742; 7595-85-6929</t>
        </is>
      </c>
      <c r="W13" t="inlineStr">
        <is>
          <t>9530 HORNBAKER RD; 9570 HORNBAKER RD; 9590 HORNBAKER RD; 9640 HORNBAKER RD; 9730 HORNBAKER RD; 9740 HORNBAKER RD; 9750 HORNBAKER RD</t>
        </is>
      </c>
      <c r="X13" t="inlineStr">
        <is>
          <t>Stack Northern Virginia NVA02A (Completed); Stack Northern Virginia NVA02B (Completed); Stack Northern Virginia NVA02C (Completed); Stack Northern Virginia NVA02D (Completed); Stack Northern Virginia NVA02E (Completed); Stack Northern Virginia NVA02F (Under Construction); Stack Northern Virginia NVA02G (Under Construction)</t>
        </is>
      </c>
      <c r="Y13" t="inlineStr">
        <is>
          <t>BLD2021-02881 (Finaled); BLD2022-00534 (Finaled); BLD2022-01720 (Finaled); BLD2022-07412 (Finaled); BLD2023-03853 (Finaled); BLD2024-05348 (Issued); BLD2025-01136 (Issued)</t>
        </is>
      </c>
      <c r="AB13" t="inlineStr">
        <is>
          <t>REZ2019-00028 [Rezoning - Proffer Amendment; Approved; case number]; SPR2020-00363 [Site Plan - Final; Approved; name exact]</t>
        </is>
      </c>
      <c r="AD13" t="inlineStr">
        <is>
          <t>08eefd48-2ab4-438d-9d00-e80397055cff</t>
        </is>
      </c>
      <c r="AE13" t="inlineStr">
        <is>
          <t>Build_Out_Analysis/10 (campuses); Build_Out_Analysis/9 (buildings); ePortal</t>
        </is>
      </c>
      <c r="AF13" t="inlineStr">
        <is>
          <t>https://gisweb.pwcva.gov/arcgis/rest/services/Planning/Build_Out_Analysis/MapServer/10/47?f=html | https://gisweb.pwcva.gov/arcgis/rest/services/Planning/Build_Out_Analysis/MapServer/9/query?where=GPIN IS NOT NULL&amp;outFields=*&amp;f=html (buildings joined spatially) | https://egcss.pwcgov.org/SelfService#/home</t>
        </is>
      </c>
      <c r="AG13" t="inlineStr">
        <is>
          <t>2026-09-25</t>
        </is>
      </c>
    </row>
    <row r="14">
      <c r="B14" t="n">
        <v>13</v>
      </c>
      <c r="C14" t="inlineStr">
        <is>
          <t>Stack Infrastructure NVA02 YFT</t>
        </is>
      </c>
      <c r="D14" t="n">
        <v>3</v>
      </c>
      <c r="E14" t="inlineStr">
        <is>
          <t>Youth For Tomorrow</t>
        </is>
      </c>
      <c r="F14" t="inlineStr">
        <is>
          <t>REZ2019-00034</t>
        </is>
      </c>
      <c r="G14" t="inlineStr">
        <is>
          <t>REZ2019-00034</t>
        </is>
      </c>
      <c r="H14" t="inlineStr">
        <is>
          <t>Under Construction</t>
        </is>
      </c>
      <c r="I14" t="inlineStr">
        <is>
          <t>Planned</t>
        </is>
      </c>
      <c r="K14" t="inlineStr">
        <is>
          <t>Approved</t>
        </is>
      </c>
      <c r="L14" t="inlineStr">
        <is>
          <t>Rule 1: &gt;=1 building 'Under Construction' in layer 9</t>
        </is>
      </c>
      <c r="M14" t="n">
        <v>49.84</v>
      </c>
      <c r="N14" t="n">
        <v>713607</v>
      </c>
      <c r="O14" t="n">
        <v>713607</v>
      </c>
      <c r="P14" t="n">
        <v>3</v>
      </c>
      <c r="Q14" t="inlineStr">
        <is>
          <t>Under Construction: 3</t>
        </is>
      </c>
      <c r="R14" t="n">
        <v>713492</v>
      </c>
      <c r="S14" t="inlineStr">
        <is>
          <t>Brentsville</t>
        </is>
      </c>
      <c r="T14" t="inlineStr">
        <is>
          <t>No</t>
        </is>
      </c>
      <c r="U14" t="inlineStr">
        <is>
          <t>PBD</t>
        </is>
      </c>
      <c r="V14" t="inlineStr">
        <is>
          <t>7595-54-7478</t>
        </is>
      </c>
      <c r="W14" t="inlineStr">
        <is>
          <t>10155 LINTON HALL RD; 10161 LINTON HALL RD; 10167 LINTON HALL RD</t>
        </is>
      </c>
      <c r="X14" t="inlineStr">
        <is>
          <t>Stack Northern Virginia NVA02H (Under Construction); Stack Northern Virginia NVA02I (Under Construction); Stack Northern Virginia NVA02J (Under Construction)</t>
        </is>
      </c>
      <c r="Y14" t="inlineStr">
        <is>
          <t>BLD2025-03391 (Issued); BLD2025-06092 (Issued); BLD2026-01905 (Issued)</t>
        </is>
      </c>
      <c r="AB14" t="inlineStr">
        <is>
          <t>REZ2019-00034 [Rezoning - Non-Residential; Approved; case number]; SPR2025-00355 [Site Plan - Revision; Approved; name exact]; SPR2027-00080 [Site Plan - Administrative Review; Pending; GPIN (building parcel)]</t>
        </is>
      </c>
      <c r="AC14" t="inlineStr">
        <is>
          <t>SPR2027-00080 (Pending)</t>
        </is>
      </c>
      <c r="AD14" t="inlineStr">
        <is>
          <t>222f06a0-c603-4233-9289-74ff5439b34d</t>
        </is>
      </c>
      <c r="AE14" t="inlineStr">
        <is>
          <t>Build_Out_Analysis/10 (campuses); Build_Out_Analysis/9 (buildings); ePortal</t>
        </is>
      </c>
      <c r="AF14" t="inlineStr">
        <is>
          <t>https://gisweb.pwcva.gov/arcgis/rest/services/Planning/Build_Out_Analysis/MapServer/10/46?f=html | https://gisweb.pwcva.gov/arcgis/rest/services/Planning/Build_Out_Analysis/MapServer/9/query?where=GPIN IS NOT NULL&amp;outFields=*&amp;f=html (buildings joined spatially) | https://egcss.pwcgov.org/SelfService#/home</t>
        </is>
      </c>
      <c r="AG14" t="inlineStr">
        <is>
          <t>2026-09-25</t>
        </is>
      </c>
    </row>
    <row r="15">
      <c r="B15" t="n">
        <v>14</v>
      </c>
      <c r="C15" t="inlineStr">
        <is>
          <t>Amazon Bethlehem Technology Park</t>
        </is>
      </c>
      <c r="D15" t="n">
        <v>4</v>
      </c>
      <c r="E15" t="inlineStr">
        <is>
          <t>Bethlehem Technology Park Rezoning</t>
        </is>
      </c>
      <c r="F15" t="inlineStr">
        <is>
          <t>REZ2016-00024</t>
        </is>
      </c>
      <c r="G15" t="inlineStr">
        <is>
          <t>REZ2016-00024</t>
        </is>
      </c>
      <c r="H15" t="inlineStr">
        <is>
          <t>Completed</t>
        </is>
      </c>
      <c r="I15" t="inlineStr">
        <is>
          <t>Completed</t>
        </is>
      </c>
      <c r="L15" t="inlineStr">
        <is>
          <t>Rule 2: campus ProjectStatus Completed</t>
        </is>
      </c>
      <c r="M15" t="n">
        <v>61.55</v>
      </c>
      <c r="N15" t="n">
        <v>740000</v>
      </c>
      <c r="O15" t="n">
        <v>0</v>
      </c>
      <c r="P15" t="n">
        <v>4</v>
      </c>
      <c r="Q15" t="inlineStr">
        <is>
          <t>Completed: 4</t>
        </is>
      </c>
      <c r="R15" t="n">
        <v>719742</v>
      </c>
      <c r="S15" t="inlineStr">
        <is>
          <t>Brentsville</t>
        </is>
      </c>
      <c r="T15" t="inlineStr">
        <is>
          <t>Yes</t>
        </is>
      </c>
      <c r="U15" t="inlineStr">
        <is>
          <t>M-2</t>
        </is>
      </c>
      <c r="V15" t="inlineStr">
        <is>
          <t>7596-58-8732</t>
        </is>
      </c>
      <c r="W15" t="inlineStr">
        <is>
          <t>8180 BETHLEHEM RD; 8190 BETHLEHEM RD; 8200 BETHLEHEM RD; 8210 BETHLEHEM RD</t>
        </is>
      </c>
      <c r="X15" t="inlineStr">
        <is>
          <t>Amazon Bethlehem Technology Park DC18 (Completed); Amazon Bethlehem Technology Park DC19 (Completed); Amazon Bethlehem Technology Park DC20 (Completed); Amazon Bethlehem Technology Park DC23 (Completed)</t>
        </is>
      </c>
      <c r="Y15" t="inlineStr">
        <is>
          <t>BLD2016-06361 (Finaled); BLD2017-01263 (Finaled); BLD2017-02845 (Finaled); BLD2018-03269 (Finaled)</t>
        </is>
      </c>
      <c r="AD15" t="inlineStr">
        <is>
          <t>b85539e6-a3d5-42c6-9c56-413bf113335d</t>
        </is>
      </c>
      <c r="AE15" t="inlineStr">
        <is>
          <t>Build_Out_Analysis/10 (campuses); Build_Out_Analysis/9 (buildings)</t>
        </is>
      </c>
      <c r="AF15" t="inlineStr">
        <is>
          <t>https://gisweb.pwcva.gov/arcgis/rest/services/Planning/Build_Out_Analysis/MapServer/10/14?f=html | https://gisweb.pwcva.gov/arcgis/rest/services/Planning/Build_Out_Analysis/MapServer/9/query?where=GPIN IS NOT NULL&amp;outFields=*&amp;f=html (buildings joined spatially)</t>
        </is>
      </c>
      <c r="AG15" t="inlineStr">
        <is>
          <t>2026-09-25</t>
        </is>
      </c>
    </row>
    <row r="16">
      <c r="B16" t="n">
        <v>15</v>
      </c>
      <c r="C16" t="inlineStr">
        <is>
          <t>Amazon Freedom Boulevard</t>
        </is>
      </c>
      <c r="D16" t="n">
        <v>2</v>
      </c>
      <c r="E16" t="inlineStr">
        <is>
          <t>Amazon AWS IAD - Freedom Campus</t>
        </is>
      </c>
      <c r="F16" t="inlineStr">
        <is>
          <t>REZ1989-0022</t>
        </is>
      </c>
      <c r="G16" t="inlineStr">
        <is>
          <t>REZ1989-0022</t>
        </is>
      </c>
      <c r="H16" t="inlineStr">
        <is>
          <t>Completed</t>
        </is>
      </c>
      <c r="I16" t="inlineStr">
        <is>
          <t>Completed</t>
        </is>
      </c>
      <c r="L16" t="inlineStr">
        <is>
          <t>Rule 2: campus ProjectStatus Completed</t>
        </is>
      </c>
      <c r="M16" t="n">
        <v>18.75</v>
      </c>
      <c r="N16" t="n">
        <v>409252</v>
      </c>
      <c r="O16" t="n">
        <v>0</v>
      </c>
      <c r="P16" t="n">
        <v>2</v>
      </c>
      <c r="Q16" t="inlineStr">
        <is>
          <t>Completed: 2</t>
        </is>
      </c>
      <c r="R16" t="n">
        <v>408422</v>
      </c>
      <c r="S16" t="inlineStr">
        <is>
          <t>Brentsville</t>
        </is>
      </c>
      <c r="T16" t="inlineStr">
        <is>
          <t>Yes</t>
        </is>
      </c>
      <c r="U16" t="inlineStr">
        <is>
          <t>M-2</t>
        </is>
      </c>
      <c r="V16" t="inlineStr">
        <is>
          <t>7696-21-7764</t>
        </is>
      </c>
      <c r="W16" t="inlineStr">
        <is>
          <t>9020 FREEDOM CENTER BLVD; 9040 FREEDOM CENTER BLVD</t>
        </is>
      </c>
      <c r="X16" t="inlineStr">
        <is>
          <t>Amazon AWS IAD-130 (Completed); Amazon AWS IAD-131 (Completed)</t>
        </is>
      </c>
      <c r="Y16" t="inlineStr">
        <is>
          <t>BLD2019-01155 (Finaled); BLD2019-04018 (Finaled)</t>
        </is>
      </c>
      <c r="AD16" t="inlineStr">
        <is>
          <t>3ce1ec8d-e4fb-4b8b-9387-14d85dccd570</t>
        </is>
      </c>
      <c r="AE16" t="inlineStr">
        <is>
          <t>Build_Out_Analysis/10 (campuses); Build_Out_Analysis/9 (buildings)</t>
        </is>
      </c>
      <c r="AF16" t="inlineStr">
        <is>
          <t>https://gisweb.pwcva.gov/arcgis/rest/services/Planning/Build_Out_Analysis/MapServer/10/21?f=html | https://gisweb.pwcva.gov/arcgis/rest/services/Planning/Build_Out_Analysis/MapServer/9/query?where=GPIN IS NOT NULL&amp;outFields=*&amp;f=html (buildings joined spatially)</t>
        </is>
      </c>
      <c r="AG16" t="inlineStr">
        <is>
          <t>2026-09-25</t>
        </is>
      </c>
    </row>
    <row r="17">
      <c r="B17" t="n">
        <v>16</v>
      </c>
      <c r="C17" t="inlineStr">
        <is>
          <t>Amazon Mason King Court</t>
        </is>
      </c>
      <c r="D17" t="n">
        <v>3</v>
      </c>
      <c r="E17" t="inlineStr">
        <is>
          <t>Wheeler Smith Wood Solite</t>
        </is>
      </c>
      <c r="F17" t="inlineStr">
        <is>
          <t>REZ1969-0021</t>
        </is>
      </c>
      <c r="G17" t="inlineStr">
        <is>
          <t>REZ1969-0021</t>
        </is>
      </c>
      <c r="H17" t="inlineStr">
        <is>
          <t>Completed</t>
        </is>
      </c>
      <c r="I17" t="inlineStr">
        <is>
          <t>Completed</t>
        </is>
      </c>
      <c r="L17" t="inlineStr">
        <is>
          <t>Rule 2: campus ProjectStatus Completed</t>
        </is>
      </c>
      <c r="M17" t="n">
        <v>17.27</v>
      </c>
      <c r="N17" t="n">
        <v>259543</v>
      </c>
      <c r="O17" t="n">
        <v>0</v>
      </c>
      <c r="P17" t="n">
        <v>3</v>
      </c>
      <c r="Q17" t="inlineStr">
        <is>
          <t>Completed: 3</t>
        </is>
      </c>
      <c r="R17" t="n">
        <v>376124</v>
      </c>
      <c r="S17" t="inlineStr">
        <is>
          <t>Gainesville</t>
        </is>
      </c>
      <c r="T17" t="inlineStr">
        <is>
          <t>Yes</t>
        </is>
      </c>
      <c r="U17" t="inlineStr">
        <is>
          <t>M-1</t>
        </is>
      </c>
      <c r="V17" t="inlineStr">
        <is>
          <t>7597-62-3841; 7597-72-1867</t>
        </is>
      </c>
      <c r="W17" t="inlineStr">
        <is>
          <t>7505 MASON KING CT; 7510 MASON KING CT; 7610 MASON KING CT</t>
        </is>
      </c>
      <c r="X17" t="inlineStr">
        <is>
          <t>Amazon AWS IAD-11 (Completed); Amazon AWS IAD-24 (Completed); Amazon AWS IAD-7 (Completed)</t>
        </is>
      </c>
      <c r="Y17" t="inlineStr">
        <is>
          <t>BLD2009-02929 (Finaled); BLD2012-02503 (Finaled); BLD2012-03056 (Finaled)</t>
        </is>
      </c>
      <c r="AB17" t="inlineStr">
        <is>
          <t>SPR2022-00356 [Site Plan - Minor; Approved; GPIN (building parcel)]; SPR2023-00091 [Site Plan - Minor; Approved; GPIN (building parcel)]; SPR2023-00092 [Site Plan - Minor; Approved; GPIN (building parcel)]; SPR2023-00249 [Site Plan - Minor; Approved; GPIN (building parcel)]</t>
        </is>
      </c>
      <c r="AD17" t="inlineStr">
        <is>
          <t>06882327-a3cd-4bd2-9646-9f72bd231847</t>
        </is>
      </c>
      <c r="AE17" t="inlineStr">
        <is>
          <t>Build_Out_Analysis/10 (campuses); Build_Out_Analysis/9 (buildings); ePortal</t>
        </is>
      </c>
      <c r="AF17" t="inlineStr">
        <is>
          <t>https://gisweb.pwcva.gov/arcgis/rest/services/Planning/Build_Out_Analysis/MapServer/10/39?f=html | https://gisweb.pwcva.gov/arcgis/rest/services/Planning/Build_Out_Analysis/MapServer/9/query?where=GPIN IS NOT NULL&amp;outFields=*&amp;f=html (buildings joined spatially) | https://egcss.pwcgov.org/SelfService#/home</t>
        </is>
      </c>
      <c r="AG17" t="inlineStr">
        <is>
          <t>2026-09-25</t>
        </is>
      </c>
    </row>
    <row r="18">
      <c r="B18" t="n">
        <v>17</v>
      </c>
      <c r="C18" t="inlineStr">
        <is>
          <t>Amazon Midwood Center</t>
        </is>
      </c>
      <c r="D18" t="n">
        <v>5</v>
      </c>
      <c r="E18" t="inlineStr">
        <is>
          <t>Midwood Center</t>
        </is>
      </c>
      <c r="F18" t="inlineStr">
        <is>
          <t>PLN2003-00108</t>
        </is>
      </c>
      <c r="G18" t="inlineStr">
        <is>
          <t>PLN2003-00108</t>
        </is>
      </c>
      <c r="H18" t="inlineStr">
        <is>
          <t>Completed</t>
        </is>
      </c>
      <c r="I18" t="inlineStr">
        <is>
          <t>Completed</t>
        </is>
      </c>
      <c r="L18" t="inlineStr">
        <is>
          <t>Rule 2: campus ProjectStatus Completed</t>
        </is>
      </c>
      <c r="M18" t="n">
        <v>66.81</v>
      </c>
      <c r="N18" t="n">
        <v>689469</v>
      </c>
      <c r="O18" t="n">
        <v>0</v>
      </c>
      <c r="P18" t="n">
        <v>5</v>
      </c>
      <c r="Q18" t="inlineStr">
        <is>
          <t>Completed: 5</t>
        </is>
      </c>
      <c r="R18" t="n">
        <v>689469</v>
      </c>
      <c r="S18" t="inlineStr">
        <is>
          <t>Gainesville</t>
        </is>
      </c>
      <c r="T18" t="inlineStr">
        <is>
          <t>No</t>
        </is>
      </c>
      <c r="U18" t="inlineStr">
        <is>
          <t>M-2 PBD</t>
        </is>
      </c>
      <c r="V18" t="inlineStr">
        <is>
          <t>7298-41-4524; 7298-51-5907</t>
        </is>
      </c>
      <c r="W18" t="inlineStr">
        <is>
          <t>15395 JOHN MARSHALL HWY; 15445 JOHN MARSHALL HWY; 15455 JOHN MARSHALL HWY; 15465 JOHN MARSHALL HWY; 15475 JOHN MARSHALL HWY</t>
        </is>
      </c>
      <c r="X18" t="inlineStr">
        <is>
          <t>Amazon AWS IAD 15445 John Marshall (Completed); Amazon AWS IAD-55 (Completed); Amazon AWS IAD-64 (Completed); Amazon AWS IAD-64 Ext (Completed); Amazon AWS IAD-84 (Completed)</t>
        </is>
      </c>
      <c r="Y18" t="inlineStr">
        <is>
          <t>BLD2014-01766 (Finaled); BLD2016-04280 (Finaled); BLD2018-06209 (Finaled); BLD2020-04888 (Finaled); BLD2022-07765 (Finaled)</t>
        </is>
      </c>
      <c r="AB18" t="inlineStr">
        <is>
          <t>SPR2015-20042 [Site Plan - Administrative Review; Approved; GPIN (building parcel)]; SPR2016-00217 [Site Plan - Minor; Approved; GPIN (building parcel)]; SPR2017-00050 [Site Plan - Revision; Approved; name prefix (unique)]; SPR2017-00060 [Site Plan - Revision; Approved; GPIN (building parcel)]; SPR2017-00196 [Site Plan - Administrative Review; Approved; GPIN (building parcel)]; SPR2017-00337 [Site Plan - Revision; Closed; GPIN (building parcel)]; SPR2019-00255 [Site Plan - Revision; Approved; name prefix (unique)]; SPR2020-00038 [Site Plan - Administrative Review; Approved; GPIN (building parcel)]; SPR2023-00090 [Site Plan - Minor; Approved; GPIN (building parcel)]; SPR2023-00423 [Site Plan - Minor; Approved; GPIN (building parcel)]; SPR2024-00340 [Site Plan - Minor; Approved; GPIN (building parcel)]</t>
        </is>
      </c>
      <c r="AD18" t="inlineStr">
        <is>
          <t>3861bb53-127d-425e-85de-cd895072e240</t>
        </is>
      </c>
      <c r="AE18" t="inlineStr">
        <is>
          <t>Build_Out_Analysis/10 (campuses); Build_Out_Analysis/9 (buildings); ePortal</t>
        </is>
      </c>
      <c r="AF18" t="inlineStr">
        <is>
          <t>https://gisweb.pwcva.gov/arcgis/rest/services/Planning/Build_Out_Analysis/MapServer/10/37?f=html | https://gisweb.pwcva.gov/arcgis/rest/services/Planning/Build_Out_Analysis/MapServer/9/query?where=GPIN IS NOT NULL&amp;outFields=*&amp;f=html (buildings joined spatially) | https://egcss.pwcgov.org/SelfService#/home</t>
        </is>
      </c>
      <c r="AG18" t="inlineStr">
        <is>
          <t>2026-09-25</t>
        </is>
      </c>
    </row>
    <row r="19">
      <c r="B19" t="n">
        <v>18</v>
      </c>
      <c r="C19" t="inlineStr">
        <is>
          <t>Amazon Tanner Way</t>
        </is>
      </c>
      <c r="D19" t="n">
        <v>4</v>
      </c>
      <c r="E19" t="inlineStr">
        <is>
          <t>Brickyard</t>
        </is>
      </c>
      <c r="F19" t="inlineStr">
        <is>
          <t>REZ2018-00002</t>
        </is>
      </c>
      <c r="G19" t="inlineStr">
        <is>
          <t>REZ2018-00002</t>
        </is>
      </c>
      <c r="H19" t="inlineStr">
        <is>
          <t>Completed</t>
        </is>
      </c>
      <c r="I19" t="inlineStr">
        <is>
          <t>Completed</t>
        </is>
      </c>
      <c r="K19" t="inlineStr">
        <is>
          <t>Approved</t>
        </is>
      </c>
      <c r="L19" t="inlineStr">
        <is>
          <t>Rule 2: campus ProjectStatus Completed</t>
        </is>
      </c>
      <c r="M19" t="n">
        <v>82.58</v>
      </c>
      <c r="N19" t="n">
        <v>1798534</v>
      </c>
      <c r="O19" t="n">
        <v>0</v>
      </c>
      <c r="P19" t="n">
        <v>4</v>
      </c>
      <c r="Q19" t="inlineStr">
        <is>
          <t>Completed: 4</t>
        </is>
      </c>
      <c r="R19" t="n">
        <v>795191</v>
      </c>
      <c r="S19" t="inlineStr">
        <is>
          <t>Coles</t>
        </is>
      </c>
      <c r="T19" t="inlineStr">
        <is>
          <t>Yes</t>
        </is>
      </c>
      <c r="U19" t="inlineStr">
        <is>
          <t>M-1</t>
        </is>
      </c>
      <c r="V19" t="inlineStr">
        <is>
          <t>7695-62-8723</t>
        </is>
      </c>
      <c r="W19" t="inlineStr">
        <is>
          <t>10261 TANNER WAY; 10281 TANNER WAY; 10301 TANNER WAY; 10321 TANNER WAY</t>
        </is>
      </c>
      <c r="X19" t="inlineStr">
        <is>
          <t>Amazon AWS IAD-100 (Completed); Amazon AWS IAD-101 (Completed); Amazon AWS IAD-102 (Completed); Amazon AWS IAD-103 (Completed)</t>
        </is>
      </c>
      <c r="Y19" t="inlineStr">
        <is>
          <t>BLD2020-00115 (Finaled); BLD2020-04380 (Finaled); BLD2020-05182 (Finaled); BLD2021-00330 (Finaled)</t>
        </is>
      </c>
      <c r="AB19" t="inlineStr">
        <is>
          <t>REZ2018-00002 [Rezoning - Proffer Amendment; Approved; case number]; SPR2024-00173 [Site Plan - Revision; Approved; GPIN (building parcel)]</t>
        </is>
      </c>
      <c r="AD19" t="inlineStr">
        <is>
          <t>5b9b1adb-eadd-43e0-aa7f-4fe0a600d4f2</t>
        </is>
      </c>
      <c r="AE19" t="inlineStr">
        <is>
          <t>Build_Out_Analysis/10 (campuses); Build_Out_Analysis/9 (buildings); ePortal</t>
        </is>
      </c>
      <c r="AF19" t="inlineStr">
        <is>
          <t>https://gisweb.pwcva.gov/arcgis/rest/services/Planning/Build_Out_Analysis/MapServer/10/27?f=html | https://gisweb.pwcva.gov/arcgis/rest/services/Planning/Build_Out_Analysis/MapServer/9/query?where=GPIN IS NOT NULL&amp;outFields=*&amp;f=html (buildings joined spatially) | https://egcss.pwcgov.org/SelfService#/home</t>
        </is>
      </c>
      <c r="AG19" t="inlineStr">
        <is>
          <t>2026-09-25</t>
        </is>
      </c>
    </row>
    <row r="20">
      <c r="B20" t="n">
        <v>19</v>
      </c>
      <c r="C20" t="inlineStr">
        <is>
          <t>Amazon Thomasson Barn</t>
        </is>
      </c>
      <c r="D20" t="n">
        <v>2</v>
      </c>
      <c r="E20" t="inlineStr">
        <is>
          <t>Innovation at PW</t>
        </is>
      </c>
      <c r="F20" t="inlineStr">
        <is>
          <t>PLN2007-00535</t>
        </is>
      </c>
      <c r="G20" t="inlineStr">
        <is>
          <t>PLN2007-00535</t>
        </is>
      </c>
      <c r="H20" t="inlineStr">
        <is>
          <t>Completed</t>
        </is>
      </c>
      <c r="I20" t="inlineStr">
        <is>
          <t>Completed</t>
        </is>
      </c>
      <c r="L20" t="inlineStr">
        <is>
          <t>Rule 2: campus ProjectStatus Completed</t>
        </is>
      </c>
      <c r="M20" t="n">
        <v>21.14</v>
      </c>
      <c r="N20" t="n">
        <v>352530</v>
      </c>
      <c r="O20" t="n">
        <v>0</v>
      </c>
      <c r="P20" t="n">
        <v>2</v>
      </c>
      <c r="Q20" t="inlineStr">
        <is>
          <t>Completed: 2</t>
        </is>
      </c>
      <c r="R20" t="n">
        <v>352030</v>
      </c>
      <c r="S20" t="inlineStr">
        <is>
          <t>Brentsville</t>
        </is>
      </c>
      <c r="T20" t="inlineStr">
        <is>
          <t>Yes</t>
        </is>
      </c>
      <c r="U20" t="inlineStr">
        <is>
          <t>PBD</t>
        </is>
      </c>
      <c r="V20" t="inlineStr">
        <is>
          <t>7595-95-6147</t>
        </is>
      </c>
      <c r="W20" t="inlineStr">
        <is>
          <t>11150 THOMASSON BARN RD; 11200 THOMASSON BARN RD</t>
        </is>
      </c>
      <c r="X20" t="inlineStr">
        <is>
          <t>Manassas Amazon AWS 139 (Completed); Manassas Amazon AWS 140 (Completed)</t>
        </is>
      </c>
      <c r="Y20" t="inlineStr">
        <is>
          <t>BLD2019-01459 (Finaled); BLD2019-02581 (Finaled)</t>
        </is>
      </c>
      <c r="AB20" t="inlineStr">
        <is>
          <t>SPR2023-00084 [Site Plan - Minor; Approved; GPIN (building parcel)]</t>
        </is>
      </c>
      <c r="AD20" t="inlineStr">
        <is>
          <t>65a47980-e01f-4e3d-bc5c-e3f7c6c096f4</t>
        </is>
      </c>
      <c r="AE20" t="inlineStr">
        <is>
          <t>Build_Out_Analysis/10 (campuses); Build_Out_Analysis/9 (buildings); ePortal</t>
        </is>
      </c>
      <c r="AF20" t="inlineStr">
        <is>
          <t>https://gisweb.pwcva.gov/arcgis/rest/services/Planning/Build_Out_Analysis/MapServer/10/31?f=html | https://gisweb.pwcva.gov/arcgis/rest/services/Planning/Build_Out_Analysis/MapServer/9/query?where=GPIN IS NOT NULL&amp;outFields=*&amp;f=html (buildings joined spatially) | https://egcss.pwcgov.org/SelfService#/home</t>
        </is>
      </c>
      <c r="AG20" t="inlineStr">
        <is>
          <t>2026-10-02</t>
        </is>
      </c>
    </row>
    <row r="21">
      <c r="B21" t="n">
        <v>20</v>
      </c>
      <c r="C21" t="inlineStr">
        <is>
          <t>Amazon Wellington South</t>
        </is>
      </c>
      <c r="D21" t="n">
        <v>2</v>
      </c>
      <c r="E21" t="inlineStr">
        <is>
          <t>Wellington South</t>
        </is>
      </c>
      <c r="F21" t="inlineStr">
        <is>
          <t>REZ1989-0069</t>
        </is>
      </c>
      <c r="G21" t="inlineStr">
        <is>
          <t>REZ1989-0069</t>
        </is>
      </c>
      <c r="H21" t="inlineStr">
        <is>
          <t>Completed</t>
        </is>
      </c>
      <c r="I21" t="inlineStr">
        <is>
          <t>Completed</t>
        </is>
      </c>
      <c r="L21" t="inlineStr">
        <is>
          <t>Rule 2: campus ProjectStatus Completed</t>
        </is>
      </c>
      <c r="M21" t="n">
        <v>26.24</v>
      </c>
      <c r="N21" t="n">
        <v>297160</v>
      </c>
      <c r="O21" t="n">
        <v>0</v>
      </c>
      <c r="P21" t="n">
        <v>2</v>
      </c>
      <c r="Q21" t="inlineStr">
        <is>
          <t>Completed: 2</t>
        </is>
      </c>
      <c r="R21" t="n">
        <v>297160</v>
      </c>
      <c r="S21" t="inlineStr">
        <is>
          <t>Brentsville</t>
        </is>
      </c>
      <c r="T21" t="inlineStr">
        <is>
          <t>Yes</t>
        </is>
      </c>
      <c r="U21" t="inlineStr">
        <is>
          <t>M-2</t>
        </is>
      </c>
      <c r="V21" t="inlineStr">
        <is>
          <t>7596-17-3979</t>
        </is>
      </c>
      <c r="W21" t="inlineStr">
        <is>
          <t>7060 WELLINGTON RD; 7070 WELLINGTON RD</t>
        </is>
      </c>
      <c r="X21" t="inlineStr">
        <is>
          <t>Amazon AWS IAD-73 Manassas (Completed); Amazon AWS IAD-74 Manassas (Completed)</t>
        </is>
      </c>
      <c r="Y21" t="inlineStr">
        <is>
          <t>BLD2015-22325 (Finaled); BLD2015-23921 (Finaled)</t>
        </is>
      </c>
      <c r="AB21" t="inlineStr">
        <is>
          <t>SPR2023-00086 [Site Plan - Minor; Approved; GPIN (building parcel)]; SPR2027-00035 [Site Plan - Final; Pending; GPIN (building parcel)]</t>
        </is>
      </c>
      <c r="AC21" t="inlineStr">
        <is>
          <t>SPR2027-00035 (Pending)</t>
        </is>
      </c>
      <c r="AD21" t="inlineStr">
        <is>
          <t>3e7c27b9-d412-4ed3-9db7-33be4a5706d8</t>
        </is>
      </c>
      <c r="AE21" t="inlineStr">
        <is>
          <t>Build_Out_Analysis/10 (campuses); Build_Out_Analysis/9 (buildings); ePortal</t>
        </is>
      </c>
      <c r="AF21" t="inlineStr">
        <is>
          <t>https://gisweb.pwcva.gov/arcgis/rest/services/Planning/Build_Out_Analysis/MapServer/10/12?f=html | https://gisweb.pwcva.gov/arcgis/rest/services/Planning/Build_Out_Analysis/MapServer/9/query?where=GPIN IS NOT NULL&amp;outFields=*&amp;f=html (buildings joined spatially) | https://egcss.pwcgov.org/SelfService#/home</t>
        </is>
      </c>
      <c r="AG21" t="inlineStr">
        <is>
          <t>2026-09-25</t>
        </is>
      </c>
    </row>
    <row r="22">
      <c r="B22" t="n">
        <v>21</v>
      </c>
      <c r="C22" t="inlineStr">
        <is>
          <t>CloudHQ Manassas Hornbaker</t>
        </is>
      </c>
      <c r="D22" t="n">
        <v>1</v>
      </c>
      <c r="E22" t="inlineStr">
        <is>
          <t>Innovation at PW</t>
        </is>
      </c>
      <c r="F22" t="inlineStr">
        <is>
          <t>PLN2007-00535</t>
        </is>
      </c>
      <c r="G22" t="inlineStr">
        <is>
          <t>PLN2007-00535</t>
        </is>
      </c>
      <c r="H22" t="inlineStr">
        <is>
          <t>Completed</t>
        </is>
      </c>
      <c r="I22" t="inlineStr">
        <is>
          <t>Completed</t>
        </is>
      </c>
      <c r="L22" t="inlineStr">
        <is>
          <t>Rule 2: campus ProjectStatus Completed</t>
        </is>
      </c>
      <c r="M22" t="n">
        <v>19.44</v>
      </c>
      <c r="N22" t="n">
        <v>223127</v>
      </c>
      <c r="O22" t="n">
        <v>0</v>
      </c>
      <c r="P22" t="n">
        <v>1</v>
      </c>
      <c r="Q22" t="inlineStr">
        <is>
          <t>Completed: 1</t>
        </is>
      </c>
      <c r="R22" t="n">
        <v>247608</v>
      </c>
      <c r="S22" t="inlineStr">
        <is>
          <t>Brentsville</t>
        </is>
      </c>
      <c r="T22" t="inlineStr">
        <is>
          <t>Yes</t>
        </is>
      </c>
      <c r="U22" t="inlineStr">
        <is>
          <t>PBD</t>
        </is>
      </c>
      <c r="V22" t="inlineStr">
        <is>
          <t>7595-96-0662</t>
        </is>
      </c>
      <c r="W22" t="inlineStr">
        <is>
          <t>9651 HORNBAKER RD</t>
        </is>
      </c>
      <c r="X22" t="inlineStr">
        <is>
          <t>Manassas Amazon AWS 004 (Completed)</t>
        </is>
      </c>
      <c r="Y22" t="inlineStr">
        <is>
          <t>BLD2007-04468 (Finaled)</t>
        </is>
      </c>
      <c r="AB22" t="inlineStr">
        <is>
          <t>SPR2016-00013 [Site Plan - Asbuilt Plan; Approved; GPIN (building parcel)]; SPR2016-00204 [Site Plan - Minor; Approved; GPIN (building parcel)]; SPR2020-00179 [Site Plan - Minor; Approved; GPIN (building parcel)]; SPR2020-00384 [Site Plan - Minor; Approved; GPIN (building parcel)]; SPR2024-00063 [Site Plan - Minor; Approved; GPIN (building parcel)]; SPR2026-00375 [Site Plan - Revision; Pending; GPIN (building parcel)]</t>
        </is>
      </c>
      <c r="AC22" t="inlineStr">
        <is>
          <t>SPR2026-00375 (Pending)</t>
        </is>
      </c>
      <c r="AD22" t="inlineStr">
        <is>
          <t>65a47980-e01f-4e3d-bc5c-e3f7c6c096f4</t>
        </is>
      </c>
      <c r="AE22" t="inlineStr">
        <is>
          <t>Build_Out_Analysis/10 (campuses); Build_Out_Analysis/9 (buildings); ePortal</t>
        </is>
      </c>
      <c r="AF22" t="inlineStr">
        <is>
          <t>https://gisweb.pwcva.gov/arcgis/rest/services/Planning/Build_Out_Analysis/MapServer/10/26?f=html | https://gisweb.pwcva.gov/arcgis/rest/services/Planning/Build_Out_Analysis/MapServer/9/query?where=GPIN IS NOT NULL&amp;outFields=*&amp;f=html (buildings joined spatially) | https://egcss.pwcgov.org/SelfService#/home</t>
        </is>
      </c>
      <c r="AG22" t="inlineStr">
        <is>
          <t>2026-10-02</t>
        </is>
      </c>
    </row>
    <row r="23">
      <c r="B23" t="n">
        <v>22</v>
      </c>
      <c r="C23" t="inlineStr">
        <is>
          <t>TPC Data Centers</t>
        </is>
      </c>
      <c r="D23" t="n">
        <v>1</v>
      </c>
      <c r="E23" t="inlineStr">
        <is>
          <t>8765 and 8819 Wellington Road PRA</t>
        </is>
      </c>
      <c r="F23" t="inlineStr">
        <is>
          <t>REZ2024-00008</t>
        </is>
      </c>
      <c r="G23" t="inlineStr">
        <is>
          <t>REZ2024-00008</t>
        </is>
      </c>
      <c r="H23" t="inlineStr">
        <is>
          <t>Completed</t>
        </is>
      </c>
      <c r="I23" t="inlineStr">
        <is>
          <t>Completed</t>
        </is>
      </c>
      <c r="K23" t="inlineStr">
        <is>
          <t>Approved</t>
        </is>
      </c>
      <c r="L23" t="inlineStr">
        <is>
          <t>Rule 2: campus ProjectStatus Completed</t>
        </is>
      </c>
      <c r="M23" t="n">
        <v>8.109999999999999</v>
      </c>
      <c r="N23" t="n">
        <v>361500</v>
      </c>
      <c r="O23" t="n">
        <v>0</v>
      </c>
      <c r="P23" t="n">
        <v>1</v>
      </c>
      <c r="Q23" t="inlineStr">
        <is>
          <t>Completed: 1</t>
        </is>
      </c>
      <c r="R23" t="n">
        <v>361500</v>
      </c>
      <c r="S23" t="inlineStr">
        <is>
          <t>Brentsville</t>
        </is>
      </c>
      <c r="T23" t="inlineStr">
        <is>
          <t>Yes</t>
        </is>
      </c>
      <c r="U23" t="inlineStr">
        <is>
          <t>M-2</t>
        </is>
      </c>
      <c r="V23" t="inlineStr">
        <is>
          <t>7696-42-1559</t>
        </is>
      </c>
      <c r="W23" t="inlineStr">
        <is>
          <t>8819 WELLINGTON RD</t>
        </is>
      </c>
      <c r="X23" t="inlineStr">
        <is>
          <t>TPC Data Centers (Completed)</t>
        </is>
      </c>
      <c r="Y23" t="inlineStr">
        <is>
          <t>BLD2024-04783 (Finaled)</t>
        </is>
      </c>
      <c r="AB23" t="inlineStr">
        <is>
          <t>PLT2025-00063 [Plat Easement; Approved; GPIN (building parcel)]; REZ2024-00008 [Rezoning - Proffer Amendment; Approved; case number]</t>
        </is>
      </c>
      <c r="AD23" t="inlineStr">
        <is>
          <t>55087cda-4790-4f98-be5d-2a054fe2c464</t>
        </is>
      </c>
      <c r="AE23" t="inlineStr">
        <is>
          <t>Build_Out_Analysis/10 (campuses); Build_Out_Analysis/9 (buildings); ePortal</t>
        </is>
      </c>
      <c r="AF23" t="inlineStr">
        <is>
          <t>https://gisweb.pwcva.gov/arcgis/rest/services/Planning/Build_Out_Analysis/MapServer/10/19?f=html | https://gisweb.pwcva.gov/arcgis/rest/services/Planning/Build_Out_Analysis/MapServer/9/query?where=GPIN IS NOT NULL&amp;outFields=*&amp;f=html (buildings joined spatially) | https://egcss.pwcgov.org/SelfService#/home</t>
        </is>
      </c>
      <c r="AG23" t="inlineStr">
        <is>
          <t>2026-09-25</t>
        </is>
      </c>
    </row>
    <row r="24">
      <c r="B24" t="n">
        <v>23</v>
      </c>
      <c r="C24" t="inlineStr">
        <is>
          <t>Verizon Manassas 7777 Infantry Ridge</t>
        </is>
      </c>
      <c r="D24" t="n">
        <v>1</v>
      </c>
      <c r="E24" t="inlineStr">
        <is>
          <t>Battlefield Business Park</t>
        </is>
      </c>
      <c r="F24" t="inlineStr">
        <is>
          <t>REZ1988-0030</t>
        </is>
      </c>
      <c r="G24" t="inlineStr">
        <is>
          <t>REZ1988-0030</t>
        </is>
      </c>
      <c r="H24" t="inlineStr">
        <is>
          <t>Completed</t>
        </is>
      </c>
      <c r="I24" t="inlineStr">
        <is>
          <t>Completed</t>
        </is>
      </c>
      <c r="L24" t="inlineStr">
        <is>
          <t>Rule 2: campus ProjectStatus Completed</t>
        </is>
      </c>
      <c r="M24" t="n">
        <v>20.33</v>
      </c>
      <c r="N24" t="n">
        <v>227465</v>
      </c>
      <c r="O24" t="n">
        <v>0</v>
      </c>
      <c r="P24" t="n">
        <v>1</v>
      </c>
      <c r="Q24" t="inlineStr">
        <is>
          <t>Completed: 1</t>
        </is>
      </c>
      <c r="R24" t="n">
        <v>227465</v>
      </c>
      <c r="S24" t="inlineStr">
        <is>
          <t>Gainesville</t>
        </is>
      </c>
      <c r="T24" t="inlineStr">
        <is>
          <t>Yes</t>
        </is>
      </c>
      <c r="U24" t="inlineStr">
        <is>
          <t>PBD</t>
        </is>
      </c>
      <c r="V24" t="inlineStr">
        <is>
          <t>7697-47-3772</t>
        </is>
      </c>
      <c r="W24" t="inlineStr">
        <is>
          <t>7777 INFANTRY RIDGE RD</t>
        </is>
      </c>
      <c r="X24" t="inlineStr">
        <is>
          <t>Verizon Manassas 7777 Infantry Ridge (Completed)</t>
        </is>
      </c>
      <c r="Y24" t="inlineStr">
        <is>
          <t>BLD2026-02975 (Finaled)</t>
        </is>
      </c>
      <c r="AB24" t="inlineStr">
        <is>
          <t>SPR2023-00302 [Site Plan - Minor; Approved; GPIN (building parcel)]</t>
        </is>
      </c>
      <c r="AD24" t="inlineStr">
        <is>
          <t>67ae5cc3-3e5f-439d-aa9f-b079257e7927</t>
        </is>
      </c>
      <c r="AE24" t="inlineStr">
        <is>
          <t>Build_Out_Analysis/10 (campuses); Build_Out_Analysis/9 (buildings); ePortal</t>
        </is>
      </c>
      <c r="AF24" t="inlineStr">
        <is>
          <t>https://gisweb.pwcva.gov/arcgis/rest/services/Planning/Build_Out_Analysis/MapServer/10/45?f=html | https://gisweb.pwcva.gov/arcgis/rest/services/Planning/Build_Out_Analysis/MapServer/9/query?where=GPIN IS NOT NULL&amp;outFields=*&amp;f=html (buildings joined spatially) | https://egcss.pwcgov.org/SelfService#/home</t>
        </is>
      </c>
      <c r="AG24" t="inlineStr">
        <is>
          <t>2026-09-25</t>
        </is>
      </c>
    </row>
    <row r="25">
      <c r="B25" t="n">
        <v>24</v>
      </c>
      <c r="C25" t="inlineStr">
        <is>
          <t>5451 Wellington Road East</t>
        </is>
      </c>
      <c r="D25" t="n">
        <v>1</v>
      </c>
      <c r="E25" t="inlineStr">
        <is>
          <t>ATLANTIC RESEARCH</t>
        </is>
      </c>
      <c r="F25" t="inlineStr">
        <is>
          <t>REZ1958-0021</t>
        </is>
      </c>
      <c r="G25" t="inlineStr">
        <is>
          <t>REZ1958-0021</t>
        </is>
      </c>
      <c r="H25" t="inlineStr">
        <is>
          <t>Approved / Planned</t>
        </is>
      </c>
      <c r="I25" t="inlineStr">
        <is>
          <t>Planned</t>
        </is>
      </c>
      <c r="L25" t="inlineStr">
        <is>
          <t>Rule 3: campus ProjectStatus Planned</t>
        </is>
      </c>
      <c r="M25" t="n">
        <v>7.45</v>
      </c>
      <c r="N25" t="n">
        <v>116550</v>
      </c>
      <c r="O25" t="n">
        <v>116550</v>
      </c>
      <c r="P25" t="n">
        <v>1</v>
      </c>
      <c r="Q25" t="inlineStr">
        <is>
          <t>Planned: 1</t>
        </is>
      </c>
      <c r="R25" t="n">
        <v>116550</v>
      </c>
      <c r="S25" t="inlineStr">
        <is>
          <t>Brentsville</t>
        </is>
      </c>
      <c r="T25" t="inlineStr">
        <is>
          <t>Yes</t>
        </is>
      </c>
      <c r="U25" t="inlineStr">
        <is>
          <t>M-1</t>
        </is>
      </c>
      <c r="V25" t="inlineStr">
        <is>
          <t>7497-13-3597</t>
        </is>
      </c>
      <c r="W25" t="inlineStr">
        <is>
          <t>5551 WELLINGTON RD GAINESVILLE, VA 20155</t>
        </is>
      </c>
      <c r="X25" t="inlineStr">
        <is>
          <t>Wellington Road East (Planned)</t>
        </is>
      </c>
      <c r="AB25" t="inlineStr">
        <is>
          <t>SPR2026-00322 [Site Plan - Final; Pending; GPIN (building parcel)]</t>
        </is>
      </c>
      <c r="AC25" t="inlineStr">
        <is>
          <t>SPR2026-00322 (Pending)</t>
        </is>
      </c>
      <c r="AD25" t="inlineStr">
        <is>
          <t>7b3b0a5f-c395-47c0-99c0-eb53f411acb3</t>
        </is>
      </c>
      <c r="AE25" t="inlineStr">
        <is>
          <t>Build_Out_Analysis/10 (campuses); Build_Out_Analysis/9 (buildings); ePortal</t>
        </is>
      </c>
      <c r="AF25" t="inlineStr">
        <is>
          <t>https://gisweb.pwcva.gov/arcgis/rest/services/Planning/Build_Out_Analysis/MapServer/10/561?f=html | https://gisweb.pwcva.gov/arcgis/rest/services/Planning/Build_Out_Analysis/MapServer/9/query?where=GPIN IS NOT NULL&amp;outFields=*&amp;f=html (buildings joined spatially) | https://egcss.pwcgov.org/SelfService#/home</t>
        </is>
      </c>
      <c r="AG25" t="inlineStr">
        <is>
          <t>2026-09-25</t>
        </is>
      </c>
    </row>
    <row r="26">
      <c r="B26" t="n">
        <v>25</v>
      </c>
      <c r="C26" t="inlineStr">
        <is>
          <t>5451 Wellington Road West</t>
        </is>
      </c>
      <c r="D26" t="n">
        <v>1</v>
      </c>
      <c r="E26" t="inlineStr">
        <is>
          <t>ATLANTIC RESEARCH</t>
        </is>
      </c>
      <c r="F26" t="inlineStr">
        <is>
          <t>REZ1958-0021</t>
        </is>
      </c>
      <c r="G26" t="inlineStr">
        <is>
          <t>REZ1958-0021</t>
        </is>
      </c>
      <c r="H26" t="inlineStr">
        <is>
          <t>Approved / Planned</t>
        </is>
      </c>
      <c r="I26" t="inlineStr">
        <is>
          <t>Planned</t>
        </is>
      </c>
      <c r="L26" t="inlineStr">
        <is>
          <t>Rule 3: campus ProjectStatus Planned</t>
        </is>
      </c>
      <c r="M26" t="n">
        <v>18</v>
      </c>
      <c r="N26" t="n">
        <v>255500</v>
      </c>
      <c r="O26" t="n">
        <v>255500</v>
      </c>
      <c r="P26" t="n">
        <v>1</v>
      </c>
      <c r="Q26" t="inlineStr">
        <is>
          <t>Planned: 1</t>
        </is>
      </c>
      <c r="R26" t="n">
        <v>255500</v>
      </c>
      <c r="S26" t="inlineStr">
        <is>
          <t>Brentsville</t>
        </is>
      </c>
      <c r="T26" t="inlineStr">
        <is>
          <t>Yes</t>
        </is>
      </c>
      <c r="U26" t="inlineStr">
        <is>
          <t>M-1</t>
        </is>
      </c>
      <c r="V26" t="inlineStr">
        <is>
          <t>7497-04-7126</t>
        </is>
      </c>
      <c r="W26" t="inlineStr">
        <is>
          <t>5451 WELLINGTON RD GAINESVILLE, VA 20155</t>
        </is>
      </c>
      <c r="X26" t="inlineStr">
        <is>
          <t>Wellington Road West (Planned)</t>
        </is>
      </c>
      <c r="AD26" t="inlineStr">
        <is>
          <t>7b3b0a5f-c395-47c0-99c0-eb53f411acb3</t>
        </is>
      </c>
      <c r="AE26" t="inlineStr">
        <is>
          <t>Build_Out_Analysis/10 (campuses); Build_Out_Analysis/9 (buildings)</t>
        </is>
      </c>
      <c r="AF26" t="inlineStr">
        <is>
          <t>https://gisweb.pwcva.gov/arcgis/rest/services/Planning/Build_Out_Analysis/MapServer/10/85?f=html | https://gisweb.pwcva.gov/arcgis/rest/services/Planning/Build_Out_Analysis/MapServer/9/query?where=GPIN IS NOT NULL&amp;outFields=*&amp;f=html (buildings joined spatially)</t>
        </is>
      </c>
      <c r="AG26" t="inlineStr">
        <is>
          <t>2026-09-25</t>
        </is>
      </c>
    </row>
    <row r="27">
      <c r="B27" t="n">
        <v>26</v>
      </c>
      <c r="C27" t="inlineStr">
        <is>
          <t>Aligned Manassas</t>
        </is>
      </c>
      <c r="D27" t="n">
        <v>1</v>
      </c>
      <c r="E27" t="inlineStr">
        <is>
          <t>Blackburn Land Bay 5</t>
        </is>
      </c>
      <c r="F27" t="inlineStr">
        <is>
          <t>REZ2019-00022</t>
        </is>
      </c>
      <c r="G27" t="inlineStr">
        <is>
          <t>REZ2019-00022</t>
        </is>
      </c>
      <c r="H27" t="inlineStr">
        <is>
          <t>Approved / Planned</t>
        </is>
      </c>
      <c r="I27" t="inlineStr">
        <is>
          <t>Planned</t>
        </is>
      </c>
      <c r="K27" t="inlineStr">
        <is>
          <t>Approved</t>
        </is>
      </c>
      <c r="L27" t="inlineStr">
        <is>
          <t>Rule 3: campus ProjectStatus Planned</t>
        </is>
      </c>
      <c r="M27" t="n">
        <v>28.36</v>
      </c>
      <c r="N27" t="n">
        <v>1275141</v>
      </c>
      <c r="O27" t="n">
        <v>432742</v>
      </c>
      <c r="P27" t="n">
        <v>1</v>
      </c>
      <c r="Q27" t="inlineStr">
        <is>
          <t>Planned: 1</t>
        </is>
      </c>
      <c r="R27" t="n">
        <v>432742</v>
      </c>
      <c r="S27" t="inlineStr">
        <is>
          <t>Gainesville</t>
        </is>
      </c>
      <c r="T27" t="inlineStr">
        <is>
          <t>Yes</t>
        </is>
      </c>
      <c r="U27" t="inlineStr">
        <is>
          <t>PMD</t>
        </is>
      </c>
      <c r="V27" t="inlineStr">
        <is>
          <t>7597-95-8953</t>
        </is>
      </c>
      <c r="W27" t="inlineStr">
        <is>
          <t>10920 BALLS FORD RD</t>
        </is>
      </c>
      <c r="X27" t="inlineStr">
        <is>
          <t>Aligned Data Centers IAD05 (Planned)</t>
        </is>
      </c>
      <c r="AB27" t="inlineStr">
        <is>
          <t>REZ2019-00022 [Rezoning - Proffer Amendment; Approved; case number]</t>
        </is>
      </c>
      <c r="AD27" t="inlineStr">
        <is>
          <t>bbbe6bc1-1a71-4b91-a844-a742a14e031d</t>
        </is>
      </c>
      <c r="AE27" t="inlineStr">
        <is>
          <t>Build_Out_Analysis/10 (campuses); Build_Out_Analysis/9 (buildings); ePortal</t>
        </is>
      </c>
      <c r="AF27" t="inlineStr">
        <is>
          <t>https://gisweb.pwcva.gov/arcgis/rest/services/Planning/Build_Out_Analysis/MapServer/10/38?f=html | https://gisweb.pwcva.gov/arcgis/rest/services/Planning/Build_Out_Analysis/MapServer/9/query?where=GPIN IS NOT NULL&amp;outFields=*&amp;f=html (buildings joined spatially) | https://egcss.pwcgov.org/SelfService#/home</t>
        </is>
      </c>
      <c r="AG27" t="inlineStr">
        <is>
          <t>2026-09-25</t>
        </is>
      </c>
    </row>
    <row r="28">
      <c r="B28" t="n">
        <v>27</v>
      </c>
      <c r="C28" t="inlineStr">
        <is>
          <t>Amazon Colchester Industrial Park</t>
        </is>
      </c>
      <c r="D28" t="n">
        <v>2</v>
      </c>
      <c r="E28" t="inlineStr">
        <is>
          <t>Mid-County Industrial Park</t>
        </is>
      </c>
      <c r="F28" t="inlineStr">
        <is>
          <t>REZ2024-00006</t>
        </is>
      </c>
      <c r="G28" t="inlineStr">
        <is>
          <t>REZ2024-00006</t>
        </is>
      </c>
      <c r="H28" t="inlineStr">
        <is>
          <t>Approved / Planned</t>
        </is>
      </c>
      <c r="I28" t="inlineStr">
        <is>
          <t>Planned</t>
        </is>
      </c>
      <c r="K28" t="inlineStr">
        <is>
          <t>Approved</t>
        </is>
      </c>
      <c r="L28" t="inlineStr">
        <is>
          <t>Rule 3: campus ProjectStatus Planned</t>
        </is>
      </c>
      <c r="M28" t="n">
        <v>64.11</v>
      </c>
      <c r="N28" t="n">
        <v>664715</v>
      </c>
      <c r="O28" t="n">
        <v>664715</v>
      </c>
      <c r="P28" t="n">
        <v>2</v>
      </c>
      <c r="Q28" t="inlineStr">
        <is>
          <t>Planned: 2</t>
        </is>
      </c>
      <c r="R28" t="n">
        <v>448346</v>
      </c>
      <c r="S28" t="inlineStr">
        <is>
          <t>Coles</t>
        </is>
      </c>
      <c r="T28" t="inlineStr">
        <is>
          <t>Yes</t>
        </is>
      </c>
      <c r="U28" t="inlineStr">
        <is>
          <t>M-2 M/T</t>
        </is>
      </c>
      <c r="V28" t="inlineStr">
        <is>
          <t>7991-45-0874</t>
        </is>
      </c>
      <c r="W28" t="inlineStr">
        <is>
          <t>14901 DUMFRIES RD</t>
        </is>
      </c>
      <c r="X28" t="inlineStr">
        <is>
          <t>Amazon Colchester Industrial Park 1 (Planned); Amazon Colchester Industrial Park 2 (Planned)</t>
        </is>
      </c>
      <c r="AB28" t="inlineStr">
        <is>
          <t>REZ2024-00006 [Rezoning - Non-Residential; Approved; case number]; SPR2026-00297 [Site Plan - Final; Pending; name exact]</t>
        </is>
      </c>
      <c r="AC28" t="inlineStr">
        <is>
          <t>SPR2026-00297 (Pending)</t>
        </is>
      </c>
      <c r="AD28" t="inlineStr">
        <is>
          <t>3dd0c08d-d7fa-483c-8e0f-1913eb303cd0</t>
        </is>
      </c>
      <c r="AE28" t="inlineStr">
        <is>
          <t>Build_Out_Analysis/10 (campuses); Build_Out_Analysis/9 (buildings); ePortal</t>
        </is>
      </c>
      <c r="AF28" t="inlineStr">
        <is>
          <t>https://gisweb.pwcva.gov/arcgis/rest/services/Planning/Build_Out_Analysis/MapServer/10/32?f=html | https://gisweb.pwcva.gov/arcgis/rest/services/Planning/Build_Out_Analysis/MapServer/9/query?where=GPIN IS NOT NULL&amp;outFields=*&amp;f=html (buildings joined spatially) | https://egcss.pwcgov.org/SelfService#/home</t>
        </is>
      </c>
      <c r="AG28" t="inlineStr">
        <is>
          <t>2026-09-25</t>
        </is>
      </c>
    </row>
    <row r="29">
      <c r="B29" t="n">
        <v>28</v>
      </c>
      <c r="C29" t="inlineStr">
        <is>
          <t>Amazon Innovation Drive</t>
        </is>
      </c>
      <c r="D29" t="n">
        <v>5</v>
      </c>
      <c r="E29" t="inlineStr">
        <is>
          <t>Eli Lilly at Innovation</t>
        </is>
      </c>
      <c r="F29" t="inlineStr">
        <is>
          <t>PLN2007-00749</t>
        </is>
      </c>
      <c r="G29" t="inlineStr">
        <is>
          <t>PLN2007-00749; PLN2007-0074</t>
        </is>
      </c>
      <c r="H29" t="inlineStr">
        <is>
          <t>Approved / Planned</t>
        </is>
      </c>
      <c r="I29" t="inlineStr">
        <is>
          <t>Planned</t>
        </is>
      </c>
      <c r="L29" t="inlineStr">
        <is>
          <t>Rule 3: campus ProjectStatus Planned</t>
        </is>
      </c>
      <c r="M29" t="n">
        <v>78.39</v>
      </c>
      <c r="N29" t="n">
        <v>1087901</v>
      </c>
      <c r="O29" t="n">
        <v>201000</v>
      </c>
      <c r="P29" t="n">
        <v>5</v>
      </c>
      <c r="Q29" t="inlineStr">
        <is>
          <t>Completed: 4; Planned: 1</t>
        </is>
      </c>
      <c r="R29" t="n">
        <v>1087901</v>
      </c>
      <c r="S29" t="inlineStr">
        <is>
          <t>Brentsville</t>
        </is>
      </c>
      <c r="T29" t="inlineStr">
        <is>
          <t>Yes</t>
        </is>
      </c>
      <c r="U29" t="inlineStr">
        <is>
          <t>PBD</t>
        </is>
      </c>
      <c r="V29" t="inlineStr">
        <is>
          <t>7695-17-9607; 7695-26-4469; 7695-26-7645; 7695-36-1324</t>
        </is>
      </c>
      <c r="W29" t="inlineStr">
        <is>
          <t>9670 INNOVATION DR; 9680 INNOVATION DR; 9700 INNOVATION DR; 9720 INNOVATION DR; 9740 INNOVATION DR</t>
        </is>
      </c>
      <c r="X29" t="inlineStr">
        <is>
          <t>Amazon AWS IAD-104 (Completed); Amazon AWS IAD-105 (Completed); Amazon AWS IAD-106 (Completed); Amazon AWS IAD-107 (Completed); Amazon AWS IAD-F (Planned)</t>
        </is>
      </c>
      <c r="Y29" t="inlineStr">
        <is>
          <t>BLD2022-01092 (Finaled); BLD2022-03130 (Finaled); BLD2022-04680 (Finaled); BLD2023-00752 (Finaled)</t>
        </is>
      </c>
      <c r="AD29" t="inlineStr">
        <is>
          <t>8faefd73-d028-45e0-8b57-2c5d46df942d</t>
        </is>
      </c>
      <c r="AE29" t="inlineStr">
        <is>
          <t>Build_Out_Analysis/10 (campuses); Build_Out_Analysis/9 (buildings)</t>
        </is>
      </c>
      <c r="AF29" t="inlineStr">
        <is>
          <t>https://gisweb.pwcva.gov/arcgis/rest/services/Planning/Build_Out_Analysis/MapServer/10/24?f=html | https://gisweb.pwcva.gov/arcgis/rest/services/Planning/Build_Out_Analysis/MapServer/9/query?where=GPIN IS NOT NULL&amp;outFields=*&amp;f=html (buildings joined spatially)</t>
        </is>
      </c>
      <c r="AG29" t="inlineStr">
        <is>
          <t>2026-09-25</t>
        </is>
      </c>
      <c r="AH29" t="inlineStr">
        <is>
          <t>4 building(s) already Completed on this campus</t>
        </is>
      </c>
    </row>
    <row r="30">
      <c r="B30" t="n">
        <v>29</v>
      </c>
      <c r="C30" t="inlineStr">
        <is>
          <t>Amazon Parsons Business Park</t>
        </is>
      </c>
      <c r="D30" t="n">
        <v>6</v>
      </c>
      <c r="E30" t="inlineStr">
        <is>
          <t>Parson Business Park</t>
        </is>
      </c>
      <c r="F30" t="inlineStr">
        <is>
          <t>REZ2023-00028</t>
        </is>
      </c>
      <c r="G30" t="inlineStr">
        <is>
          <t>REZ2023-00028</t>
        </is>
      </c>
      <c r="H30" t="inlineStr">
        <is>
          <t>Approved / Planned</t>
        </is>
      </c>
      <c r="I30" t="inlineStr">
        <is>
          <t>Planned</t>
        </is>
      </c>
      <c r="K30" t="inlineStr">
        <is>
          <t>Approved</t>
        </is>
      </c>
      <c r="L30" t="inlineStr">
        <is>
          <t>Rule 3: campus ProjectStatus Planned</t>
        </is>
      </c>
      <c r="M30" t="n">
        <v>96.90000000000001</v>
      </c>
      <c r="N30" t="n">
        <v>1876409</v>
      </c>
      <c r="O30" t="n">
        <v>1096340</v>
      </c>
      <c r="P30" t="n">
        <v>6</v>
      </c>
      <c r="Q30" t="inlineStr">
        <is>
          <t>Planned: 6</t>
        </is>
      </c>
      <c r="R30" t="n">
        <v>1096340</v>
      </c>
      <c r="S30" t="inlineStr">
        <is>
          <t>Coles</t>
        </is>
      </c>
      <c r="T30" t="inlineStr">
        <is>
          <t>Yes</t>
        </is>
      </c>
      <c r="U30" t="inlineStr">
        <is>
          <t>PBD</t>
        </is>
      </c>
      <c r="V30" t="inlineStr">
        <is>
          <t>7891-69-0322</t>
        </is>
      </c>
      <c r="W30" t="inlineStr">
        <is>
          <t>14237 DUMFRIES RD</t>
        </is>
      </c>
      <c r="X30" t="inlineStr">
        <is>
          <t>Amazon Parsons Business Park 1 (Planned); Amazon Parsons Business Park 2 (Planned); Amazon Parsons Business Park 3 (Planned); Amazon Parsons Business Park 4 (Planned); Amazon Parsons Business Park 5 (Planned); Amazon Parsons Business Park 6 (Planned)</t>
        </is>
      </c>
      <c r="AB30" t="inlineStr">
        <is>
          <t>REZ2023-00028 [Rezoning - Proffer Amendment; Approved; case number]; SPR2026-00338 [Site Plan - Final; Pending; GPIN (building parcel)]</t>
        </is>
      </c>
      <c r="AC30" t="inlineStr">
        <is>
          <t>SPR2026-00338 (Pending)</t>
        </is>
      </c>
      <c r="AD30" t="inlineStr">
        <is>
          <t>f202a52f-d21d-48eb-ab3e-8577eaaaff93</t>
        </is>
      </c>
      <c r="AE30" t="inlineStr">
        <is>
          <t>Build_Out_Analysis/10 (campuses); Build_Out_Analysis/9 (buildings); ePortal</t>
        </is>
      </c>
      <c r="AF30" t="inlineStr">
        <is>
          <t>https://gisweb.pwcva.gov/arcgis/rest/services/Planning/Build_Out_Analysis/MapServer/10/33?f=html | https://gisweb.pwcva.gov/arcgis/rest/services/Planning/Build_Out_Analysis/MapServer/9/query?where=GPIN IS NOT NULL&amp;outFields=*&amp;f=html (buildings joined spatially) | https://egcss.pwcgov.org/SelfService#/home</t>
        </is>
      </c>
      <c r="AG30" t="inlineStr">
        <is>
          <t>2026-09-25</t>
        </is>
      </c>
    </row>
    <row r="31">
      <c r="B31" t="n">
        <v>30</v>
      </c>
      <c r="C31" t="inlineStr">
        <is>
          <t>Astrid</t>
        </is>
      </c>
      <c r="D31" t="n">
        <v>2</v>
      </c>
      <c r="E31" t="inlineStr">
        <is>
          <t>BOCS - ARC</t>
        </is>
      </c>
      <c r="F31" t="inlineStr">
        <is>
          <t>REZ1958-0021</t>
        </is>
      </c>
      <c r="G31" t="inlineStr">
        <is>
          <t>REZ1958-0021</t>
        </is>
      </c>
      <c r="H31" t="inlineStr">
        <is>
          <t>Approved / Planned</t>
        </is>
      </c>
      <c r="I31" t="inlineStr">
        <is>
          <t>Planned</t>
        </is>
      </c>
      <c r="L31" t="inlineStr">
        <is>
          <t>Rule 3: campus ProjectStatus Planned</t>
        </is>
      </c>
      <c r="M31" t="n">
        <v>181.29</v>
      </c>
      <c r="N31" t="n">
        <v>2800000</v>
      </c>
      <c r="O31" t="n">
        <v>2800000</v>
      </c>
      <c r="P31" t="n">
        <v>2</v>
      </c>
      <c r="Q31" t="inlineStr">
        <is>
          <t>Planned: 2</t>
        </is>
      </c>
      <c r="R31" t="n">
        <v>2800000</v>
      </c>
      <c r="S31" t="inlineStr">
        <is>
          <t>Brentsville</t>
        </is>
      </c>
      <c r="T31" t="inlineStr">
        <is>
          <t>Yes</t>
        </is>
      </c>
      <c r="U31" t="inlineStr">
        <is>
          <t>M-1</t>
        </is>
      </c>
      <c r="V31" t="inlineStr">
        <is>
          <t>7497-61-8568</t>
        </is>
      </c>
      <c r="W31" t="inlineStr">
        <is>
          <t>6201 WELLINGTON RD</t>
        </is>
      </c>
      <c r="X31" t="inlineStr">
        <is>
          <t>Astrid North (Planned); Astrid South (Planned)</t>
        </is>
      </c>
      <c r="AB31" t="inlineStr">
        <is>
          <t>SPR2026-00360 [Site Plan - Final; Pending; GPIN (building parcel)]</t>
        </is>
      </c>
      <c r="AC31" t="inlineStr">
        <is>
          <t>SPR2026-00360 (Pending)</t>
        </is>
      </c>
      <c r="AD31" t="inlineStr">
        <is>
          <t>7b3b0a5f-c395-47c0-99c0-eb53f411acb3</t>
        </is>
      </c>
      <c r="AE31" t="inlineStr">
        <is>
          <t>Build_Out_Analysis/10 (campuses); Build_Out_Analysis/9 (buildings); ePortal</t>
        </is>
      </c>
      <c r="AF31" t="inlineStr">
        <is>
          <t>https://gisweb.pwcva.gov/arcgis/rest/services/Planning/Build_Out_Analysis/MapServer/10/127?f=html | https://gisweb.pwcva.gov/arcgis/rest/services/Planning/Build_Out_Analysis/MapServer/9/query?where=GPIN IS NOT NULL&amp;outFields=*&amp;f=html (buildings joined spatially) | https://egcss.pwcgov.org/SelfService#/home</t>
        </is>
      </c>
      <c r="AG31" t="inlineStr">
        <is>
          <t>2026-09-25</t>
        </is>
      </c>
    </row>
    <row r="32">
      <c r="B32" t="n">
        <v>31</v>
      </c>
      <c r="C32" t="inlineStr">
        <is>
          <t>Century Park</t>
        </is>
      </c>
      <c r="D32" t="n">
        <v>1</v>
      </c>
      <c r="E32" t="inlineStr">
        <is>
          <t>WHEELER SMITH WOOD SOLITE</t>
        </is>
      </c>
      <c r="F32" t="inlineStr">
        <is>
          <t>REZ1969-0021</t>
        </is>
      </c>
      <c r="G32" t="inlineStr">
        <is>
          <t>REZ1969-0021</t>
        </is>
      </c>
      <c r="H32" t="inlineStr">
        <is>
          <t>Approved / Planned</t>
        </is>
      </c>
      <c r="I32" t="inlineStr">
        <is>
          <t>Planned</t>
        </is>
      </c>
      <c r="L32" t="inlineStr">
        <is>
          <t>Rule 3: campus ProjectStatus Planned</t>
        </is>
      </c>
      <c r="M32" t="n">
        <v>24.67</v>
      </c>
      <c r="N32" t="n">
        <v>620000</v>
      </c>
      <c r="O32" t="n">
        <v>620000</v>
      </c>
      <c r="P32" t="n">
        <v>1</v>
      </c>
      <c r="Q32" t="inlineStr">
        <is>
          <t>Planned: 1</t>
        </is>
      </c>
      <c r="R32" t="n">
        <v>620000</v>
      </c>
      <c r="S32" t="inlineStr">
        <is>
          <t>Gainesville</t>
        </is>
      </c>
      <c r="T32" t="inlineStr">
        <is>
          <t>Yes</t>
        </is>
      </c>
      <c r="U32" t="inlineStr">
        <is>
          <t>M-1</t>
        </is>
      </c>
      <c r="V32" t="inlineStr">
        <is>
          <t>7597-53-0484</t>
        </is>
      </c>
      <c r="W32" t="inlineStr">
        <is>
          <t>7501 CENTURY PARK DR</t>
        </is>
      </c>
      <c r="X32" t="inlineStr">
        <is>
          <t>Century Park - McLane Site (Planned)</t>
        </is>
      </c>
      <c r="AB32" t="inlineStr">
        <is>
          <t>SPR2027-00084 [Site Plan - Final; Pending; GPIN (building parcel)]</t>
        </is>
      </c>
      <c r="AC32" t="inlineStr">
        <is>
          <t>SPR2027-00084 (Pending)</t>
        </is>
      </c>
      <c r="AD32" t="inlineStr">
        <is>
          <t>06882327-a3cd-4bd2-9646-9f72bd231847</t>
        </is>
      </c>
      <c r="AE32" t="inlineStr">
        <is>
          <t>Build_Out_Analysis/10 (campuses); Build_Out_Analysis/9 (buildings); ePortal</t>
        </is>
      </c>
      <c r="AF32" t="inlineStr">
        <is>
          <t>https://gisweb.pwcva.gov/arcgis/rest/services/Planning/Build_Out_Analysis/MapServer/10/563?f=html | https://gisweb.pwcva.gov/arcgis/rest/services/Planning/Build_Out_Analysis/MapServer/9/query?where=GPIN IS NOT NULL&amp;outFields=*&amp;f=html (buildings joined spatially) | https://egcss.pwcgov.org/SelfService#/home</t>
        </is>
      </c>
      <c r="AG32" t="inlineStr">
        <is>
          <t>2026-09-25</t>
        </is>
      </c>
    </row>
    <row r="33">
      <c r="B33" t="n">
        <v>32</v>
      </c>
      <c r="C33" t="inlineStr">
        <is>
          <t>Century Park Phase 2 &amp; 3</t>
        </is>
      </c>
      <c r="D33" t="n">
        <v>2</v>
      </c>
      <c r="E33" t="inlineStr">
        <is>
          <t>WHEELER SMITH WOOD SOLITE</t>
        </is>
      </c>
      <c r="F33" t="inlineStr">
        <is>
          <t>REZ1969-0021</t>
        </is>
      </c>
      <c r="G33" t="inlineStr">
        <is>
          <t>REZ1969-0021</t>
        </is>
      </c>
      <c r="H33" t="inlineStr">
        <is>
          <t>Approved / Planned</t>
        </is>
      </c>
      <c r="I33" t="inlineStr">
        <is>
          <t>Planned</t>
        </is>
      </c>
      <c r="L33" t="inlineStr">
        <is>
          <t>Rule 3: campus ProjectStatus Planned</t>
        </is>
      </c>
      <c r="M33" t="n">
        <v>27.3</v>
      </c>
      <c r="N33" t="n">
        <v>416000</v>
      </c>
      <c r="O33" t="n">
        <v>416000</v>
      </c>
      <c r="P33" t="n">
        <v>2</v>
      </c>
      <c r="Q33" t="inlineStr">
        <is>
          <t>Planned: 2</t>
        </is>
      </c>
      <c r="R33" t="n">
        <v>416000</v>
      </c>
      <c r="S33" t="inlineStr">
        <is>
          <t>Gainesville</t>
        </is>
      </c>
      <c r="T33" t="inlineStr">
        <is>
          <t>Yes</t>
        </is>
      </c>
      <c r="U33" t="inlineStr">
        <is>
          <t>M-1</t>
        </is>
      </c>
      <c r="V33" t="inlineStr">
        <is>
          <t>7597-54-1893; 7597-54-9420</t>
        </is>
      </c>
      <c r="W33" t="inlineStr">
        <is>
          <t>7101 CENTURY PARK DR; 7300 CENTURY PARK DR</t>
        </is>
      </c>
      <c r="X33" t="inlineStr">
        <is>
          <t>Century Park 1 (Planned); Century Park 2 (Planned)</t>
        </is>
      </c>
      <c r="AB33" t="inlineStr">
        <is>
          <t>SPR2026-00336 [Site Plan - Final; Pending; GPIN (building parcel)]</t>
        </is>
      </c>
      <c r="AC33" t="inlineStr">
        <is>
          <t>SPR2026-00336 (Pending)</t>
        </is>
      </c>
      <c r="AD33" t="inlineStr">
        <is>
          <t>06882327-a3cd-4bd2-9646-9f72bd231847</t>
        </is>
      </c>
      <c r="AE33" t="inlineStr">
        <is>
          <t>Build_Out_Analysis/10 (campuses); Build_Out_Analysis/9 (buildings); ePortal</t>
        </is>
      </c>
      <c r="AF33" t="inlineStr">
        <is>
          <t>https://gisweb.pwcva.gov/arcgis/rest/services/Planning/Build_Out_Analysis/MapServer/10/130?f=html | https://gisweb.pwcva.gov/arcgis/rest/services/Planning/Build_Out_Analysis/MapServer/9/query?where=GPIN IS NOT NULL&amp;outFields=*&amp;f=html (buildings joined spatially) | https://egcss.pwcgov.org/SelfService#/home</t>
        </is>
      </c>
      <c r="AG33" t="inlineStr">
        <is>
          <t>2026-09-25</t>
        </is>
      </c>
    </row>
    <row r="34">
      <c r="B34" t="n">
        <v>33</v>
      </c>
      <c r="C34" t="inlineStr">
        <is>
          <t>CorScale Gainesville Crossing</t>
        </is>
      </c>
      <c r="D34" t="n">
        <v>5</v>
      </c>
      <c r="E34" t="inlineStr">
        <is>
          <t>Gainesville Crossing</t>
        </is>
      </c>
      <c r="F34" t="inlineStr">
        <is>
          <t>REZ2018-00008</t>
        </is>
      </c>
      <c r="G34" t="inlineStr">
        <is>
          <t>REZ2018-00008; SUP2019-00029</t>
        </is>
      </c>
      <c r="H34" t="inlineStr">
        <is>
          <t>Approved / Planned</t>
        </is>
      </c>
      <c r="I34" t="inlineStr">
        <is>
          <t>Planned</t>
        </is>
      </c>
      <c r="K34" t="inlineStr">
        <is>
          <t>Approved</t>
        </is>
      </c>
      <c r="L34" t="inlineStr">
        <is>
          <t>Rule 3: campus ProjectStatus Planned</t>
        </is>
      </c>
      <c r="M34" t="n">
        <v>129.75</v>
      </c>
      <c r="N34" t="n">
        <v>1981643</v>
      </c>
      <c r="O34" t="n">
        <v>1499420</v>
      </c>
      <c r="P34" t="n">
        <v>5</v>
      </c>
      <c r="Q34" t="inlineStr">
        <is>
          <t>Completed: 3; Planned: 2</t>
        </is>
      </c>
      <c r="R34" t="n">
        <v>2251851</v>
      </c>
      <c r="S34" t="inlineStr">
        <is>
          <t>Gainesville</t>
        </is>
      </c>
      <c r="T34" t="inlineStr">
        <is>
          <t>No</t>
        </is>
      </c>
      <c r="U34" t="inlineStr">
        <is>
          <t>PBD</t>
        </is>
      </c>
      <c r="V34" t="inlineStr">
        <is>
          <t>7497-45-3874; 7497-45-9757; 7497-46-2858; 7497-55-7796; 7497-57-7904</t>
        </is>
      </c>
      <c r="W34" t="inlineStr">
        <is>
          <t>13710 UNIVERSITY BLVD; 13720 UNIVERSITY BLVD; 13746 UNIVERSITY BLVD; 13750 UNIVERSITY BLVD; 13760 UNIVERSITY BLVD</t>
        </is>
      </c>
      <c r="X34" t="inlineStr">
        <is>
          <t>Corscale Gainesville Crossing 1 (Completed); Corscale Gainesville Crossing 2 (Completed); Corscale Gainesville Crossing 3 (Completed); Corscale Gainesville Crossing 4 (Planned); Corscale Gainesville Crossing 5 (Planned)</t>
        </is>
      </c>
      <c r="Y34" t="inlineStr">
        <is>
          <t>BLD2021-08185 (Finaled); BLD2023-02498 (Finaled); BLD2024-07030 (Finaled); BLD2026-04211 (Pending)</t>
        </is>
      </c>
      <c r="AB34" t="inlineStr">
        <is>
          <t>REZ2018-00008 [Rezoning - Mixed Use; Approved; case number]; SPR2024-00358 [Site Plan - Final; Approved; GPIN (building parcel)]; SUP2019-00029 [Special Use Permit - New Application; Withdrawn; case number REZ2018-00008 referenced in description]</t>
        </is>
      </c>
      <c r="AD34" t="inlineStr">
        <is>
          <t>e84871aa-43c8-4189-9b23-16244c45106e</t>
        </is>
      </c>
      <c r="AE34" t="inlineStr">
        <is>
          <t>Build_Out_Analysis/10 (campuses); Build_Out_Analysis/9 (buildings); ePortal</t>
        </is>
      </c>
      <c r="AF34" t="inlineStr">
        <is>
          <t>https://gisweb.pwcva.gov/arcgis/rest/services/Planning/Build_Out_Analysis/MapServer/10/4?f=html | https://gisweb.pwcva.gov/arcgis/rest/services/Planning/Build_Out_Analysis/MapServer/9/query?where=GPIN IS NOT NULL&amp;outFields=*&amp;f=html (buildings joined spatially) | https://egcss.pwcgov.org/SelfService#/home</t>
        </is>
      </c>
      <c r="AG34" t="inlineStr">
        <is>
          <t>2026-10-01</t>
        </is>
      </c>
      <c r="AH34" t="inlineStr">
        <is>
          <t>3 building(s) already Completed on this campus</t>
        </is>
      </c>
    </row>
    <row r="35">
      <c r="B35" t="n">
        <v>34</v>
      </c>
      <c r="C35" t="inlineStr">
        <is>
          <t>Devlin Technology Park</t>
        </is>
      </c>
      <c r="D35" t="n">
        <v>8</v>
      </c>
      <c r="E35" t="inlineStr">
        <is>
          <t>Devlin Technology Park</t>
        </is>
      </c>
      <c r="F35" t="inlineStr">
        <is>
          <t>REZ2022-00022</t>
        </is>
      </c>
      <c r="G35" t="inlineStr">
        <is>
          <t>REZ2022-00022; CPA2022-00015</t>
        </is>
      </c>
      <c r="H35" t="inlineStr">
        <is>
          <t>Approved / Planned</t>
        </is>
      </c>
      <c r="I35" t="inlineStr">
        <is>
          <t>Planned</t>
        </is>
      </c>
      <c r="K35" t="inlineStr">
        <is>
          <t>Approved</t>
        </is>
      </c>
      <c r="L35" t="inlineStr">
        <is>
          <t>Rule 3: campus ProjectStatus Planned</t>
        </is>
      </c>
      <c r="M35" t="n">
        <v>184.84</v>
      </c>
      <c r="N35" t="n">
        <v>3530000</v>
      </c>
      <c r="O35" t="n">
        <v>3530000</v>
      </c>
      <c r="P35" t="n">
        <v>8</v>
      </c>
      <c r="Q35" t="inlineStr">
        <is>
          <t>Planned: 8</t>
        </is>
      </c>
      <c r="R35" t="n">
        <v>1783600</v>
      </c>
      <c r="S35" t="inlineStr">
        <is>
          <t>Brentsville</t>
        </is>
      </c>
      <c r="T35" t="inlineStr">
        <is>
          <t>Yes</t>
        </is>
      </c>
      <c r="U35" t="inlineStr">
        <is>
          <t>M-2</t>
        </is>
      </c>
      <c r="V35" t="inlineStr">
        <is>
          <t>7496-63-4453</t>
        </is>
      </c>
      <c r="W35" t="inlineStr">
        <is>
          <t>9000 DEVLIN RD</t>
        </is>
      </c>
      <c r="X35" t="inlineStr">
        <is>
          <t>Devlin Technology Park A (Planned); Devlin Technology Park B (Planned); Devlin Technology Park C (Planned); Devlin Technology Park D (Planned); Devlin Technology Park E (Planned); Devlin Technology Park F (Planned); Devlin Technology Park G (Planned); Devlin Technology Park H (Planned)</t>
        </is>
      </c>
      <c r="AB35" t="inlineStr">
        <is>
          <t>CPA2022-00015 [Comp Plan Amendment (Concurrent with Rezoning); Dismissed; name exact]; REZ2022-00022 [Rezoning - Non-Residential; Approved; case number]; SPR2026-00332 [Site Plan - Final; Pending; GPIN (building parcel)]</t>
        </is>
      </c>
      <c r="AC35" t="inlineStr">
        <is>
          <t>SPR2026-00332 (Pending)</t>
        </is>
      </c>
      <c r="AD35" t="inlineStr">
        <is>
          <t>323d298e-a0ad-4dc7-accd-f6b27b404c50</t>
        </is>
      </c>
      <c r="AE35" t="inlineStr">
        <is>
          <t>Build_Out_Analysis/10 (campuses); Build_Out_Analysis/9 (buildings); ePortal</t>
        </is>
      </c>
      <c r="AF35" t="inlineStr">
        <is>
          <t>https://gisweb.pwcva.gov/arcgis/rest/services/Planning/Build_Out_Analysis/MapServer/10/7?f=html | https://gisweb.pwcva.gov/arcgis/rest/services/Planning/Build_Out_Analysis/MapServer/9/query?where=GPIN IS NOT NULL&amp;outFields=*&amp;f=html (buildings joined spatially) | https://egcss.pwcgov.org/SelfService#/home</t>
        </is>
      </c>
      <c r="AG35" t="inlineStr">
        <is>
          <t>2026-10-01</t>
        </is>
      </c>
    </row>
    <row r="36">
      <c r="B36" t="n">
        <v>35</v>
      </c>
      <c r="C36" t="inlineStr">
        <is>
          <t>Digital Realty</t>
        </is>
      </c>
      <c r="D36" t="n">
        <v>2</v>
      </c>
      <c r="E36" t="inlineStr">
        <is>
          <t>BOCS</t>
        </is>
      </c>
      <c r="F36" t="inlineStr">
        <is>
          <t>REZ1958-0021</t>
        </is>
      </c>
      <c r="G36" t="inlineStr">
        <is>
          <t>REZ1958-0021</t>
        </is>
      </c>
      <c r="H36" t="inlineStr">
        <is>
          <t>Approved / Planned</t>
        </is>
      </c>
      <c r="I36" t="inlineStr">
        <is>
          <t>Planned</t>
        </is>
      </c>
      <c r="L36" t="inlineStr">
        <is>
          <t>Rule 3: campus ProjectStatus Planned</t>
        </is>
      </c>
      <c r="M36" t="n">
        <v>31.77</v>
      </c>
      <c r="N36" t="n">
        <v>382892</v>
      </c>
      <c r="O36" t="n">
        <v>155427</v>
      </c>
      <c r="P36" t="n">
        <v>2</v>
      </c>
      <c r="Q36" t="inlineStr">
        <is>
          <t>Completed: 1; Planned: 1</t>
        </is>
      </c>
      <c r="R36" t="n">
        <v>382892</v>
      </c>
      <c r="S36" t="inlineStr">
        <is>
          <t>Brentsville</t>
        </is>
      </c>
      <c r="T36" t="inlineStr">
        <is>
          <t>Yes</t>
        </is>
      </c>
      <c r="U36" t="inlineStr">
        <is>
          <t>M-1</t>
        </is>
      </c>
      <c r="V36" t="inlineStr">
        <is>
          <t>7496-07-8757</t>
        </is>
      </c>
      <c r="W36" t="inlineStr">
        <is>
          <t>8217 LINTON HALL RD</t>
        </is>
      </c>
      <c r="X36" t="inlineStr">
        <is>
          <t>Digital Realty VA4 (Completed); Digital Realty VA5 (Planned)</t>
        </is>
      </c>
      <c r="Y36" t="inlineStr">
        <is>
          <t>BLD2001-04142 (Finaled)</t>
        </is>
      </c>
      <c r="AD36" t="inlineStr">
        <is>
          <t>7b3b0a5f-c395-47c0-99c0-eb53f411acb3</t>
        </is>
      </c>
      <c r="AE36" t="inlineStr">
        <is>
          <t>Build_Out_Analysis/10 (campuses); Build_Out_Analysis/9 (buildings)</t>
        </is>
      </c>
      <c r="AF36" t="inlineStr">
        <is>
          <t>https://gisweb.pwcva.gov/arcgis/rest/services/Planning/Build_Out_Analysis/MapServer/10/54?f=html | https://gisweb.pwcva.gov/arcgis/rest/services/Planning/Build_Out_Analysis/MapServer/9/query?where=GPIN IS NOT NULL&amp;outFields=*&amp;f=html (buildings joined spatially)</t>
        </is>
      </c>
      <c r="AG36" t="inlineStr">
        <is>
          <t>2026-09-25</t>
        </is>
      </c>
      <c r="AH36" t="inlineStr">
        <is>
          <t>1 building(s) already Completed on this campus</t>
        </is>
      </c>
    </row>
    <row r="37">
      <c r="B37" t="n">
        <v>36</v>
      </c>
      <c r="C37" t="inlineStr">
        <is>
          <t>DOANE DRIVE - DULLES GLASS</t>
        </is>
      </c>
      <c r="D37" t="n">
        <v>1</v>
      </c>
      <c r="E37" t="inlineStr">
        <is>
          <t>WHEELER SMITH WOOD SOLITE</t>
        </is>
      </c>
      <c r="F37" t="inlineStr">
        <is>
          <t>REZ1969-0021</t>
        </is>
      </c>
      <c r="G37" t="inlineStr">
        <is>
          <t>REZ1969-0021</t>
        </is>
      </c>
      <c r="H37" t="inlineStr">
        <is>
          <t>Approved / Planned</t>
        </is>
      </c>
      <c r="I37" t="inlineStr">
        <is>
          <t>Planned</t>
        </is>
      </c>
      <c r="L37" t="inlineStr">
        <is>
          <t>Rule 3: campus ProjectStatus Planned</t>
        </is>
      </c>
      <c r="M37" t="n">
        <v>6.89</v>
      </c>
      <c r="N37" t="n">
        <v>242530</v>
      </c>
      <c r="O37" t="n">
        <v>242530</v>
      </c>
      <c r="P37" t="n">
        <v>1</v>
      </c>
      <c r="Q37" t="inlineStr">
        <is>
          <t>Planned: 1</t>
        </is>
      </c>
      <c r="R37" t="n">
        <v>242530</v>
      </c>
      <c r="S37" t="inlineStr">
        <is>
          <t>Gainesville</t>
        </is>
      </c>
      <c r="T37" t="inlineStr">
        <is>
          <t>Yes</t>
        </is>
      </c>
      <c r="U37" t="inlineStr">
        <is>
          <t>M-1</t>
        </is>
      </c>
      <c r="V37" t="inlineStr">
        <is>
          <t>7597-42-8878</t>
        </is>
      </c>
      <c r="W37" t="inlineStr">
        <is>
          <t>7610 DOANE DR</t>
        </is>
      </c>
      <c r="X37" t="inlineStr">
        <is>
          <t>DOANE DRIVE - DULLES GLASS (Planned)</t>
        </is>
      </c>
      <c r="AB37" t="inlineStr">
        <is>
          <t>SPR2027-00047 [Site Plan - Final; Pending; GPIN (building parcel)]</t>
        </is>
      </c>
      <c r="AC37" t="inlineStr">
        <is>
          <t>SPR2027-00047 (Pending)</t>
        </is>
      </c>
      <c r="AD37" t="inlineStr">
        <is>
          <t>06882327-a3cd-4bd2-9646-9f72bd231847</t>
        </is>
      </c>
      <c r="AE37" t="inlineStr">
        <is>
          <t>Build_Out_Analysis/10 (campuses); Build_Out_Analysis/9 (buildings); ePortal</t>
        </is>
      </c>
      <c r="AF37" t="inlineStr">
        <is>
          <t>https://gisweb.pwcva.gov/arcgis/rest/services/Planning/Build_Out_Analysis/MapServer/10/553?f=html | https://gisweb.pwcva.gov/arcgis/rest/services/Planning/Build_Out_Analysis/MapServer/9/query?where=GPIN IS NOT NULL&amp;outFields=*&amp;f=html (buildings joined spatially) | https://egcss.pwcgov.org/SelfService#/home</t>
        </is>
      </c>
      <c r="AG37" t="inlineStr">
        <is>
          <t>2026-09-25</t>
        </is>
      </c>
    </row>
    <row r="38">
      <c r="B38" t="n">
        <v>37</v>
      </c>
      <c r="C38" t="inlineStr">
        <is>
          <t>Equinix Manassas</t>
        </is>
      </c>
      <c r="D38" t="n">
        <v>2</v>
      </c>
      <c r="E38" t="inlineStr">
        <is>
          <t>Battlefield Business Park</t>
        </is>
      </c>
      <c r="F38" t="inlineStr">
        <is>
          <t>REZ1999-0038</t>
        </is>
      </c>
      <c r="G38" t="inlineStr">
        <is>
          <t>REZ1999-0038; REZ1998-0027</t>
        </is>
      </c>
      <c r="H38" t="inlineStr">
        <is>
          <t>Approved / Planned</t>
        </is>
      </c>
      <c r="I38" t="inlineStr">
        <is>
          <t>Planned</t>
        </is>
      </c>
      <c r="L38" t="inlineStr">
        <is>
          <t>Rule 3: campus ProjectStatus Planned</t>
        </is>
      </c>
      <c r="M38" t="n">
        <v>9.779999999999999</v>
      </c>
      <c r="N38" t="n">
        <v>284472</v>
      </c>
      <c r="O38" t="n">
        <v>174672</v>
      </c>
      <c r="P38" t="n">
        <v>2</v>
      </c>
      <c r="Q38" t="inlineStr">
        <is>
          <t>Completed: 1; Planned: 1</t>
        </is>
      </c>
      <c r="R38" t="n">
        <v>284472</v>
      </c>
      <c r="S38" t="inlineStr">
        <is>
          <t>Gainesville</t>
        </is>
      </c>
      <c r="T38" t="inlineStr">
        <is>
          <t>Yes</t>
        </is>
      </c>
      <c r="U38" t="inlineStr">
        <is>
          <t>PBD</t>
        </is>
      </c>
      <c r="V38" t="inlineStr">
        <is>
          <t>7697-47-2201; 7697-47-7005</t>
        </is>
      </c>
      <c r="W38" t="inlineStr">
        <is>
          <t>7200 INFANTRY RIDGE RD; 7400 INFANTRY RIDGE RD</t>
        </is>
      </c>
      <c r="X38" t="inlineStr">
        <is>
          <t>Equinix Manassas DC14 (Completed); Equinix Manassas DC19 (Planned)</t>
        </is>
      </c>
      <c r="Y38" t="inlineStr">
        <is>
          <t>BLD2006-05319 (Finaled); BLD2027-00758 (Planned)</t>
        </is>
      </c>
      <c r="AB38" t="inlineStr">
        <is>
          <t>SPR2027-00006 [Site Plan - Final; Pending; GPIN (building parcel)]</t>
        </is>
      </c>
      <c r="AC38" t="inlineStr">
        <is>
          <t>SPR2027-00006 (Pending)</t>
        </is>
      </c>
      <c r="AD38" t="inlineStr">
        <is>
          <t>8c7bc511-c750-4e31-b1ca-f6237f2ac2e8</t>
        </is>
      </c>
      <c r="AE38" t="inlineStr">
        <is>
          <t>Build_Out_Analysis/10 (campuses); Build_Out_Analysis/9 (buildings); ePortal</t>
        </is>
      </c>
      <c r="AF38" t="inlineStr">
        <is>
          <t>https://gisweb.pwcva.gov/arcgis/rest/services/Planning/Build_Out_Analysis/MapServer/10/44?f=html | https://gisweb.pwcva.gov/arcgis/rest/services/Planning/Build_Out_Analysis/MapServer/9/query?where=GPIN IS NOT NULL&amp;outFields=*&amp;f=html (buildings joined spatially) | https://egcss.pwcgov.org/SelfService#/home</t>
        </is>
      </c>
      <c r="AG38" t="inlineStr">
        <is>
          <t>2026-09-25</t>
        </is>
      </c>
      <c r="AH38" t="inlineStr">
        <is>
          <t>1 building(s) already Completed on this campus</t>
        </is>
      </c>
    </row>
    <row r="39">
      <c r="A39" t="n">
        <v>744</v>
      </c>
      <c r="B39" t="n">
        <v>38</v>
      </c>
      <c r="C39" t="inlineStr">
        <is>
          <t>Exter Property Group</t>
        </is>
      </c>
      <c r="D39" t="n">
        <v>0</v>
      </c>
      <c r="E39" t="inlineStr">
        <is>
          <t>Linden</t>
        </is>
      </c>
      <c r="F39" t="inlineStr">
        <is>
          <t>REZ1987-0015</t>
        </is>
      </c>
      <c r="G39" t="inlineStr">
        <is>
          <t>REZ1987-0015</t>
        </is>
      </c>
      <c r="H39" t="inlineStr">
        <is>
          <t>Approved / Planned</t>
        </is>
      </c>
      <c r="I39" t="inlineStr">
        <is>
          <t>Planned</t>
        </is>
      </c>
      <c r="L39" t="inlineStr">
        <is>
          <t>Rule 3: campus ProjectStatus Planned</t>
        </is>
      </c>
      <c r="M39" t="n">
        <v>12.97</v>
      </c>
      <c r="N39" t="n">
        <v>155610</v>
      </c>
      <c r="O39" t="n">
        <v>155610</v>
      </c>
      <c r="S39" t="inlineStr">
        <is>
          <t>Gainesville</t>
        </is>
      </c>
      <c r="T39" t="inlineStr">
        <is>
          <t>Yes</t>
        </is>
      </c>
      <c r="U39" t="inlineStr">
        <is>
          <t>M-2</t>
        </is>
      </c>
      <c r="AD39" t="inlineStr">
        <is>
          <t>5645e435-f3f1-4665-bfb2-9cf6f459cc3d</t>
        </is>
      </c>
      <c r="AE39" t="inlineStr">
        <is>
          <t>Build_Out_Analysis/10 (campuses)</t>
        </is>
      </c>
      <c r="AF39" t="inlineStr">
        <is>
          <t>https://gisweb.pwcva.gov/arcgis/rest/services/Planning/Build_Out_Analysis/MapServer/10/122?f=html</t>
        </is>
      </c>
      <c r="AG39" t="inlineStr">
        <is>
          <t>2026-09-25</t>
        </is>
      </c>
    </row>
    <row r="40">
      <c r="B40" t="n">
        <v>39</v>
      </c>
      <c r="C40" t="inlineStr">
        <is>
          <t>Gainesville RLC Data Center</t>
        </is>
      </c>
      <c r="D40" t="n">
        <v>1</v>
      </c>
      <c r="E40" t="inlineStr">
        <is>
          <t>ATLANTIC RESEARCH</t>
        </is>
      </c>
      <c r="F40" t="inlineStr">
        <is>
          <t>REZ1958-0021</t>
        </is>
      </c>
      <c r="G40" t="inlineStr">
        <is>
          <t>REZ1958-0021</t>
        </is>
      </c>
      <c r="H40" t="inlineStr">
        <is>
          <t>Approved / Planned</t>
        </is>
      </c>
      <c r="I40" t="inlineStr">
        <is>
          <t>Planned</t>
        </is>
      </c>
      <c r="L40" t="inlineStr">
        <is>
          <t>Rule 3: campus ProjectStatus Planned</t>
        </is>
      </c>
      <c r="M40" t="n">
        <v>12.71</v>
      </c>
      <c r="N40" t="n">
        <v>989867</v>
      </c>
      <c r="O40" t="n">
        <v>989867</v>
      </c>
      <c r="P40" t="n">
        <v>1</v>
      </c>
      <c r="Q40" t="inlineStr">
        <is>
          <t>Planned: 1</t>
        </is>
      </c>
      <c r="R40" t="n">
        <v>989867</v>
      </c>
      <c r="S40" t="inlineStr">
        <is>
          <t>Brentsville</t>
        </is>
      </c>
      <c r="T40" t="inlineStr">
        <is>
          <t>Yes</t>
        </is>
      </c>
      <c r="U40" t="inlineStr">
        <is>
          <t>M-1</t>
        </is>
      </c>
      <c r="V40" t="inlineStr">
        <is>
          <t>7497-14-5061</t>
        </is>
      </c>
      <c r="W40" t="inlineStr">
        <is>
          <t>5547 WELLINGTON RD</t>
        </is>
      </c>
      <c r="X40" t="inlineStr">
        <is>
          <t>Gainesville RLC (Planned)</t>
        </is>
      </c>
      <c r="AB40" t="inlineStr">
        <is>
          <t>SPR2025-00022 [Site Plan - Final; Approved; GPIN (building parcel)]</t>
        </is>
      </c>
      <c r="AD40" t="inlineStr">
        <is>
          <t>7b3b0a5f-c395-47c0-99c0-eb53f411acb3</t>
        </is>
      </c>
      <c r="AE40" t="inlineStr">
        <is>
          <t>Build_Out_Analysis/10 (campuses); Build_Out_Analysis/9 (buildings); ePortal</t>
        </is>
      </c>
      <c r="AF40" t="inlineStr">
        <is>
          <t>https://gisweb.pwcva.gov/arcgis/rest/services/Planning/Build_Out_Analysis/MapServer/10/64?f=html | https://gisweb.pwcva.gov/arcgis/rest/services/Planning/Build_Out_Analysis/MapServer/9/query?where=GPIN IS NOT NULL&amp;outFields=*&amp;f=html (buildings joined spatially) | https://egcss.pwcgov.org/SelfService#/home</t>
        </is>
      </c>
      <c r="AG40" t="inlineStr">
        <is>
          <t>2026-09-25</t>
        </is>
      </c>
    </row>
    <row r="41">
      <c r="B41" t="n">
        <v>40</v>
      </c>
      <c r="C41" t="inlineStr">
        <is>
          <t>Gainesville Tech Park Piney Branch</t>
        </is>
      </c>
      <c r="D41" t="n">
        <v>2</v>
      </c>
      <c r="E41" t="inlineStr">
        <is>
          <t>Gainesville Tech Park</t>
        </is>
      </c>
      <c r="F41" t="inlineStr">
        <is>
          <t>REZ2020-00011</t>
        </is>
      </c>
      <c r="G41" t="inlineStr">
        <is>
          <t>REZ2020-00011</t>
        </is>
      </c>
      <c r="H41" t="inlineStr">
        <is>
          <t>Approved / Planned</t>
        </is>
      </c>
      <c r="I41" t="inlineStr">
        <is>
          <t>Planned</t>
        </is>
      </c>
      <c r="K41" t="inlineStr">
        <is>
          <t>Approved</t>
        </is>
      </c>
      <c r="L41" t="inlineStr">
        <is>
          <t>Rule 3: campus ProjectStatus Planned</t>
        </is>
      </c>
      <c r="M41" t="n">
        <v>52.69</v>
      </c>
      <c r="N41" t="n">
        <v>343402</v>
      </c>
      <c r="O41" t="n">
        <v>343402</v>
      </c>
      <c r="P41" t="n">
        <v>2</v>
      </c>
      <c r="Q41" t="inlineStr">
        <is>
          <t>Planned: 2</t>
        </is>
      </c>
      <c r="R41" t="n">
        <v>991418</v>
      </c>
      <c r="S41" t="inlineStr">
        <is>
          <t>Brentsville</t>
        </is>
      </c>
      <c r="T41" t="inlineStr">
        <is>
          <t>Yes</t>
        </is>
      </c>
      <c r="U41" t="inlineStr">
        <is>
          <t>M-2</t>
        </is>
      </c>
      <c r="V41" t="inlineStr">
        <is>
          <t>7496-68-8838</t>
        </is>
      </c>
      <c r="W41" t="inlineStr">
        <is>
          <t>8101 PINEY BRANCH LN; 8121 PINEY BRANCH LN</t>
        </is>
      </c>
      <c r="X41" t="inlineStr">
        <is>
          <t>Piney Branch 1 (Planned); Piney Branch 2 (Planned)</t>
        </is>
      </c>
      <c r="AB41" t="inlineStr">
        <is>
          <t>REZ2020-00011 [Rezoning - Non-Residential; Approved; case number]</t>
        </is>
      </c>
      <c r="AD41" t="inlineStr">
        <is>
          <t>01fffe17-1fdc-46e3-bd5c-f5795320e7e6</t>
        </is>
      </c>
      <c r="AE41" t="inlineStr">
        <is>
          <t>Build_Out_Analysis/10 (campuses); Build_Out_Analysis/9 (buildings); ePortal</t>
        </is>
      </c>
      <c r="AF41" t="inlineStr">
        <is>
          <t>https://gisweb.pwcva.gov/arcgis/rest/services/Planning/Build_Out_Analysis/MapServer/10/43?f=html | https://gisweb.pwcva.gov/arcgis/rest/services/Planning/Build_Out_Analysis/MapServer/9/query?where=GPIN IS NOT NULL&amp;outFields=*&amp;f=html (buildings joined spatially) | https://egcss.pwcgov.org/SelfService#/home</t>
        </is>
      </c>
      <c r="AG41" t="inlineStr">
        <is>
          <t>2026-09-25</t>
        </is>
      </c>
    </row>
    <row r="42">
      <c r="B42" t="n">
        <v>41</v>
      </c>
      <c r="C42" t="inlineStr">
        <is>
          <t>Gainesville West</t>
        </is>
      </c>
      <c r="D42" t="n">
        <v>2</v>
      </c>
      <c r="E42" t="inlineStr">
        <is>
          <t>BOCS-ARC</t>
        </is>
      </c>
      <c r="F42" t="inlineStr">
        <is>
          <t>REZ1958-0021</t>
        </is>
      </c>
      <c r="G42" t="inlineStr">
        <is>
          <t>REZ1958-0021; SUP2023-00005</t>
        </is>
      </c>
      <c r="H42" t="inlineStr">
        <is>
          <t>Approved / Planned</t>
        </is>
      </c>
      <c r="I42" t="inlineStr">
        <is>
          <t>Planned</t>
        </is>
      </c>
      <c r="L42" t="inlineStr">
        <is>
          <t>Rule 3: campus ProjectStatus Planned</t>
        </is>
      </c>
      <c r="M42" t="n">
        <v>58.3</v>
      </c>
      <c r="N42" t="n">
        <v>694020</v>
      </c>
      <c r="O42" t="n">
        <v>694020</v>
      </c>
      <c r="P42" t="n">
        <v>2</v>
      </c>
      <c r="Q42" t="inlineStr">
        <is>
          <t>Planned: 2</t>
        </is>
      </c>
      <c r="R42" t="n">
        <v>438895</v>
      </c>
      <c r="S42" t="inlineStr">
        <is>
          <t>Brentsville</t>
        </is>
      </c>
      <c r="T42" t="inlineStr">
        <is>
          <t>Yes</t>
        </is>
      </c>
      <c r="U42" t="inlineStr">
        <is>
          <t>M-1</t>
        </is>
      </c>
      <c r="V42" t="inlineStr">
        <is>
          <t>7497-32-5305</t>
        </is>
      </c>
      <c r="W42" t="inlineStr">
        <is>
          <t>13225 SKYLARK VIEW WAY; 13235 SKYLARK VIEW WAY</t>
        </is>
      </c>
      <c r="X42" t="inlineStr">
        <is>
          <t>Amazon AWS IAD A (Planned); Amazon AWS IAD B (Planned)</t>
        </is>
      </c>
      <c r="Y42" t="inlineStr">
        <is>
          <t>BLD2026-05277 (Pending); BLD2027-01391 (Planned)</t>
        </is>
      </c>
      <c r="AB42" t="inlineStr">
        <is>
          <t>SUP2023-00005 [Special Use - Modification to Development Standards; Withdrawn; name exact]</t>
        </is>
      </c>
      <c r="AD42" t="inlineStr">
        <is>
          <t>7b3b0a5f-c395-47c0-99c0-eb53f411acb3</t>
        </is>
      </c>
      <c r="AE42" t="inlineStr">
        <is>
          <t>Build_Out_Analysis/10 (campuses); Build_Out_Analysis/9 (buildings); ePortal</t>
        </is>
      </c>
      <c r="AF42" t="inlineStr">
        <is>
          <t>https://gisweb.pwcva.gov/arcgis/rest/services/Planning/Build_Out_Analysis/MapServer/10/81?f=html | https://gisweb.pwcva.gov/arcgis/rest/services/Planning/Build_Out_Analysis/MapServer/9/query?where=GPIN IS NOT NULL&amp;outFields=*&amp;f=html (buildings joined spatially) | https://egcss.pwcgov.org/SelfService#/home</t>
        </is>
      </c>
      <c r="AG42" t="inlineStr">
        <is>
          <t>2026-09-25</t>
        </is>
      </c>
    </row>
    <row r="43">
      <c r="B43" t="n">
        <v>42</v>
      </c>
      <c r="C43" t="inlineStr">
        <is>
          <t>Hansen Farm North</t>
        </is>
      </c>
      <c r="D43" t="n">
        <v>1</v>
      </c>
      <c r="E43" t="inlineStr">
        <is>
          <t>LACY</t>
        </is>
      </c>
      <c r="F43" t="inlineStr">
        <is>
          <t>REZ1958-0034</t>
        </is>
      </c>
      <c r="G43" t="inlineStr">
        <is>
          <t>REZ1958-0034</t>
        </is>
      </c>
      <c r="H43" t="inlineStr">
        <is>
          <t>Approved / Planned</t>
        </is>
      </c>
      <c r="I43" t="inlineStr">
        <is>
          <t>Planned</t>
        </is>
      </c>
      <c r="L43" t="inlineStr">
        <is>
          <t>Rule 3: campus ProjectStatus Planned</t>
        </is>
      </c>
      <c r="M43" t="n">
        <v>12.16</v>
      </c>
      <c r="N43" t="n">
        <v>311000</v>
      </c>
      <c r="O43" t="n">
        <v>311000</v>
      </c>
      <c r="P43" t="n">
        <v>1</v>
      </c>
      <c r="Q43" t="inlineStr">
        <is>
          <t>Planned: 1</t>
        </is>
      </c>
      <c r="R43" t="n">
        <v>224900</v>
      </c>
      <c r="S43" t="inlineStr">
        <is>
          <t>Brentsville</t>
        </is>
      </c>
      <c r="T43" t="inlineStr">
        <is>
          <t>Yes</t>
        </is>
      </c>
      <c r="U43" t="inlineStr">
        <is>
          <t>M-1</t>
        </is>
      </c>
      <c r="V43" t="inlineStr">
        <is>
          <t>7597-11-2534</t>
        </is>
      </c>
      <c r="W43" t="inlineStr">
        <is>
          <t>7751 WELLINGFORD DR</t>
        </is>
      </c>
      <c r="X43" t="inlineStr">
        <is>
          <t>Hansen Farm North (Planned)</t>
        </is>
      </c>
      <c r="AB43" t="inlineStr">
        <is>
          <t>SPR2026-00153 [Site Plan - Final; Pending; GPIN (building parcel)]</t>
        </is>
      </c>
      <c r="AC43" t="inlineStr">
        <is>
          <t>SPR2026-00153 (Pending)</t>
        </is>
      </c>
      <c r="AD43" t="inlineStr">
        <is>
          <t>ce26192c-ef81-4bfe-87c3-346eed0658ae</t>
        </is>
      </c>
      <c r="AE43" t="inlineStr">
        <is>
          <t>Build_Out_Analysis/10 (campuses); Build_Out_Analysis/9 (buildings); ePortal</t>
        </is>
      </c>
      <c r="AF43" t="inlineStr">
        <is>
          <t>https://gisweb.pwcva.gov/arcgis/rest/services/Planning/Build_Out_Analysis/MapServer/10/65?f=html | https://gisweb.pwcva.gov/arcgis/rest/services/Planning/Build_Out_Analysis/MapServer/9/query?where=GPIN IS NOT NULL&amp;outFields=*&amp;f=html (buildings joined spatially) | https://egcss.pwcgov.org/SelfService#/home</t>
        </is>
      </c>
      <c r="AG43" t="inlineStr">
        <is>
          <t>2026-09-25</t>
        </is>
      </c>
    </row>
    <row r="44">
      <c r="B44" t="n">
        <v>43</v>
      </c>
      <c r="C44" t="inlineStr">
        <is>
          <t>Hansen Farm South</t>
        </is>
      </c>
      <c r="D44" t="n">
        <v>1</v>
      </c>
      <c r="E44" t="inlineStr">
        <is>
          <t>CANNON</t>
        </is>
      </c>
      <c r="F44" t="inlineStr">
        <is>
          <t>REZ1990-0076</t>
        </is>
      </c>
      <c r="G44" t="inlineStr">
        <is>
          <t>REZ1990-0076</t>
        </is>
      </c>
      <c r="H44" t="inlineStr">
        <is>
          <t>Approved / Planned</t>
        </is>
      </c>
      <c r="I44" t="inlineStr">
        <is>
          <t>Planned</t>
        </is>
      </c>
      <c r="L44" t="inlineStr">
        <is>
          <t>Rule 3: campus ProjectStatus Planned</t>
        </is>
      </c>
      <c r="M44" t="n">
        <v>33.36</v>
      </c>
      <c r="N44" t="n">
        <v>228140</v>
      </c>
      <c r="O44" t="n">
        <v>228140</v>
      </c>
      <c r="P44" t="n">
        <v>1</v>
      </c>
      <c r="Q44" t="inlineStr">
        <is>
          <t>Planned: 1</t>
        </is>
      </c>
      <c r="R44" t="n">
        <v>228140</v>
      </c>
      <c r="S44" t="inlineStr">
        <is>
          <t>Brentsville</t>
        </is>
      </c>
      <c r="T44" t="inlineStr">
        <is>
          <t>Yes</t>
        </is>
      </c>
      <c r="U44" t="inlineStr">
        <is>
          <t>M-1</t>
        </is>
      </c>
      <c r="V44" t="inlineStr">
        <is>
          <t>7497-80-5986</t>
        </is>
      </c>
      <c r="W44" t="inlineStr">
        <is>
          <t>7800 PINEY BRANCH LN BRISTOW, VA 20136</t>
        </is>
      </c>
      <c r="X44" t="inlineStr">
        <is>
          <t>Hansen Farm South (Planned)</t>
        </is>
      </c>
      <c r="AB44" t="inlineStr">
        <is>
          <t>SPR2026-00161 [Site Plan - Final; Pending; GPIN (building parcel)]</t>
        </is>
      </c>
      <c r="AC44" t="inlineStr">
        <is>
          <t>SPR2026-00161 (Pending)</t>
        </is>
      </c>
      <c r="AD44" t="inlineStr">
        <is>
          <t>7ae84689-4196-4d5c-b2f2-2be2a4cac4ff</t>
        </is>
      </c>
      <c r="AE44" t="inlineStr">
        <is>
          <t>Build_Out_Analysis/10 (campuses); Build_Out_Analysis/9 (buildings); ePortal</t>
        </is>
      </c>
      <c r="AF44" t="inlineStr">
        <is>
          <t>https://gisweb.pwcva.gov/arcgis/rest/services/Planning/Build_Out_Analysis/MapServer/10/68?f=html | https://gisweb.pwcva.gov/arcgis/rest/services/Planning/Build_Out_Analysis/MapServer/9/query?where=GPIN IS NOT NULL&amp;outFields=*&amp;f=html (buildings joined spatially) | https://egcss.pwcgov.org/SelfService#/home</t>
        </is>
      </c>
      <c r="AG44" t="inlineStr">
        <is>
          <t>2026-09-25</t>
        </is>
      </c>
    </row>
    <row r="45">
      <c r="B45" t="n">
        <v>44</v>
      </c>
      <c r="C45" t="inlineStr">
        <is>
          <t>Hornbaker Road</t>
        </is>
      </c>
      <c r="D45" t="n">
        <v>1</v>
      </c>
      <c r="E45" t="inlineStr">
        <is>
          <t>Hornbaker Road</t>
        </is>
      </c>
      <c r="F45" t="inlineStr">
        <is>
          <t>REZ2025-00014</t>
        </is>
      </c>
      <c r="G45" t="inlineStr">
        <is>
          <t>REZ2025-00014; SUP2025-00016; REZ2019-00032</t>
        </is>
      </c>
      <c r="H45" t="inlineStr">
        <is>
          <t>Approved / Planned</t>
        </is>
      </c>
      <c r="I45" t="inlineStr">
        <is>
          <t>Planned</t>
        </is>
      </c>
      <c r="K45" t="inlineStr">
        <is>
          <t>Approved</t>
        </is>
      </c>
      <c r="L45" t="inlineStr">
        <is>
          <t>Rule 3: campus ProjectStatus Planned</t>
        </is>
      </c>
      <c r="M45" t="n">
        <v>20.85</v>
      </c>
      <c r="N45" t="n">
        <v>435760</v>
      </c>
      <c r="O45" t="n">
        <v>435760</v>
      </c>
      <c r="P45" t="n">
        <v>1</v>
      </c>
      <c r="Q45" t="inlineStr">
        <is>
          <t>Planned: 1</t>
        </is>
      </c>
      <c r="R45" t="n">
        <v>435760</v>
      </c>
      <c r="S45" t="inlineStr">
        <is>
          <t>Brentsville</t>
        </is>
      </c>
      <c r="T45" t="inlineStr">
        <is>
          <t>No</t>
        </is>
      </c>
      <c r="U45" t="inlineStr">
        <is>
          <t>M-2</t>
        </is>
      </c>
      <c r="V45" t="inlineStr">
        <is>
          <t>7596-81-5396</t>
        </is>
      </c>
      <c r="W45" t="inlineStr">
        <is>
          <t>9001 HORNBAKER RD</t>
        </is>
      </c>
      <c r="X45" t="inlineStr">
        <is>
          <t>Hornbaker Road 2 (Planned)</t>
        </is>
      </c>
      <c r="AA45" t="inlineStr">
        <is>
          <t>SUP2025-00016 [SUP; ACTIVE; approved 2026-03-02]</t>
        </is>
      </c>
      <c r="AB45" t="inlineStr">
        <is>
          <t>REZ2019-00032 [Rezoning - Proffer Amendment; Approved; name exact]; REZ2025-00014 [Rezoning - Non-Residential; Approved; case number]; SUP2025-00016 [Special Use Permit - New Application; Approved; case number REZ2025-00014 referenced in description]</t>
        </is>
      </c>
      <c r="AD45" t="inlineStr">
        <is>
          <t>a0b0e2d0-2ccb-47b1-ab3f-3275db071d01</t>
        </is>
      </c>
      <c r="AE45" t="inlineStr">
        <is>
          <t>Build_Out_Analysis/10 (campuses); Build_Out_Analysis/9 (buildings); Planning/Zoning/6 (use permits); ePortal</t>
        </is>
      </c>
      <c r="AF45" t="inlineStr">
        <is>
          <t>https://gisweb.pwcva.gov/arcgis/rest/services/Planning/Build_Out_Analysis/MapServer/10/48?f=html | https://gisweb.pwcva.gov/arcgis/rest/services/Planning/Build_Out_Analysis/MapServer/9/query?where=GPIN IS NOT NULL&amp;outFields=*&amp;f=html (buildings joined spatially) | https://egcss.pwcgov.org/SelfService#/home</t>
        </is>
      </c>
      <c r="AG45" t="inlineStr">
        <is>
          <t>2026-09-25</t>
        </is>
      </c>
    </row>
    <row r="46">
      <c r="B46" t="n">
        <v>45</v>
      </c>
      <c r="C46" t="inlineStr">
        <is>
          <t>Innovation on the Parkway</t>
        </is>
      </c>
      <c r="D46" t="n">
        <v>1</v>
      </c>
      <c r="E46" t="inlineStr">
        <is>
          <t>Innovation on the Parkway PRA</t>
        </is>
      </c>
      <c r="F46" t="inlineStr">
        <is>
          <t>REZ2023-00001</t>
        </is>
      </c>
      <c r="G46" t="inlineStr">
        <is>
          <t>REZ2023-00001</t>
        </is>
      </c>
      <c r="H46" t="inlineStr">
        <is>
          <t>Approved / Planned</t>
        </is>
      </c>
      <c r="I46" t="inlineStr">
        <is>
          <t>Planned</t>
        </is>
      </c>
      <c r="K46" t="inlineStr">
        <is>
          <t>Approved</t>
        </is>
      </c>
      <c r="L46" t="inlineStr">
        <is>
          <t>Rule 3: campus ProjectStatus Planned</t>
        </is>
      </c>
      <c r="M46" t="n">
        <v>17.73</v>
      </c>
      <c r="N46" t="n">
        <v>576952</v>
      </c>
      <c r="O46" t="n">
        <v>576952</v>
      </c>
      <c r="P46" t="n">
        <v>1</v>
      </c>
      <c r="Q46" t="inlineStr">
        <is>
          <t>Planned: 1</t>
        </is>
      </c>
      <c r="R46" t="n">
        <v>576952</v>
      </c>
      <c r="S46" t="inlineStr">
        <is>
          <t>Brentsville</t>
        </is>
      </c>
      <c r="T46" t="inlineStr">
        <is>
          <t>Yes</t>
        </is>
      </c>
      <c r="U46" t="inlineStr">
        <is>
          <t>PBD</t>
        </is>
      </c>
      <c r="V46" t="inlineStr">
        <is>
          <t>7695-09-7902</t>
        </is>
      </c>
      <c r="W46" t="inlineStr">
        <is>
          <t>11101 UNIVERSITY BLVD</t>
        </is>
      </c>
      <c r="X46" t="inlineStr">
        <is>
          <t>Innovation on the Parkway (Planned)</t>
        </is>
      </c>
      <c r="AB46" t="inlineStr">
        <is>
          <t>REZ2023-00001 [Rezoning - Proffer Amendment; Approved; case number]; SPR2025-00339 [Site Plan - Final; Pending; GPIN (building parcel)]</t>
        </is>
      </c>
      <c r="AC46" t="inlineStr">
        <is>
          <t>SPR2025-00339 (Pending)</t>
        </is>
      </c>
      <c r="AD46" t="inlineStr">
        <is>
          <t>005eaa9c-a822-4dad-b14e-35d804a4f532</t>
        </is>
      </c>
      <c r="AE46" t="inlineStr">
        <is>
          <t>Build_Out_Analysis/10 (campuses); Build_Out_Analysis/9 (buildings); ePortal</t>
        </is>
      </c>
      <c r="AF46" t="inlineStr">
        <is>
          <t>https://gisweb.pwcva.gov/arcgis/rest/services/Planning/Build_Out_Analysis/MapServer/10/25?f=html | https://gisweb.pwcva.gov/arcgis/rest/services/Planning/Build_Out_Analysis/MapServer/9/query?where=GPIN IS NOT NULL&amp;outFields=*&amp;f=html (buildings joined spatially) | https://egcss.pwcgov.org/SelfService#/home</t>
        </is>
      </c>
      <c r="AG46" t="inlineStr">
        <is>
          <t>2026-09-25</t>
        </is>
      </c>
    </row>
    <row r="47">
      <c r="B47" t="n">
        <v>46</v>
      </c>
      <c r="C47" t="inlineStr">
        <is>
          <t>Iron Mountain</t>
        </is>
      </c>
      <c r="D47" t="n">
        <v>9</v>
      </c>
      <c r="E47" t="inlineStr">
        <is>
          <t>KH Data Capital Development</t>
        </is>
      </c>
      <c r="F47" t="inlineStr">
        <is>
          <t>REZ2021-00022</t>
        </is>
      </c>
      <c r="G47" t="inlineStr">
        <is>
          <t>REZ2021-00022; REZ2024-00041</t>
        </is>
      </c>
      <c r="H47" t="inlineStr">
        <is>
          <t>Approved / Planned</t>
        </is>
      </c>
      <c r="I47" t="inlineStr">
        <is>
          <t>Planned</t>
        </is>
      </c>
      <c r="K47" t="inlineStr">
        <is>
          <t>Approved</t>
        </is>
      </c>
      <c r="L47" t="inlineStr">
        <is>
          <t>Rule 3: campus ProjectStatus Planned</t>
        </is>
      </c>
      <c r="M47" t="n">
        <v>145.2</v>
      </c>
      <c r="N47" t="n">
        <v>1953604</v>
      </c>
      <c r="O47" t="n">
        <v>342028</v>
      </c>
      <c r="P47" t="n">
        <v>9</v>
      </c>
      <c r="Q47" t="inlineStr">
        <is>
          <t>Completed: 8; Planned: 1</t>
        </is>
      </c>
      <c r="R47" t="n">
        <v>2179578</v>
      </c>
      <c r="S47" t="inlineStr">
        <is>
          <t>Brentsville</t>
        </is>
      </c>
      <c r="T47" t="inlineStr">
        <is>
          <t>Yes</t>
        </is>
      </c>
      <c r="U47" t="inlineStr">
        <is>
          <t>M-2 PBD</t>
        </is>
      </c>
      <c r="V47" t="inlineStr">
        <is>
          <t>7596-47-5780; 7596-55-9338; 7596-56-1578; 7596-57-4735; 7596-64-6285; 7596-64-9220; 7596-66-0725; 7596-66-8266</t>
        </is>
      </c>
      <c r="W47" t="inlineStr">
        <is>
          <t>11451 ELEVATE DR; 11530 ELEVATE DR 100; 11580 HAYDEN RD; 11600 HAYDEN RD; 11640 HAYDEN RD; 11660 HAYDEN RD; 11680 HAYDEN RD; 7745 WELLINGTON RD; 8330 BETHLEHEM RD</t>
        </is>
      </c>
      <c r="X47" t="inlineStr">
        <is>
          <t>Iron Mountain Data Center VA-1 (Completed); Iron Mountain Data Center VA-10 (Completed); Iron Mountain Data Center VA-2 (Completed); Iron Mountain Data Center VA-3 (Completed); Iron Mountain Data Center VA-4 (Completed); Iron Mountain Data Center VA-5 (Completed); Iron Mountain Data Center VA-6 (Completed); Iron Mountain Data Center VA-7 (Completed); Iron Mountain Data Center VA-8/9 (Planned)</t>
        </is>
      </c>
      <c r="Y47" t="inlineStr">
        <is>
          <t>&lt;Null&gt; (Planned); BLD2017-00581 (Finaled); BLD2018-04430 (Finaled); BLD2023-00509 (Finaled); BLD2023-03506 (Finaled); BLD2023-03508 (Finaled); BLD2023-05363 (Finaled); BLD2024-02696 (Finaled); BLD2024-02971 (Finaled)</t>
        </is>
      </c>
      <c r="AB47" t="inlineStr">
        <is>
          <t>REZ2021-00022 [Rezoning - Non-Residential; Approved; case number]; REZ2024-00041 [Rezoning - Mixed Use; Approved; case number]</t>
        </is>
      </c>
      <c r="AD47" t="inlineStr">
        <is>
          <t>354103e8-94d2-4b21-951f-d2daa367973a</t>
        </is>
      </c>
      <c r="AE47" t="inlineStr">
        <is>
          <t>Build_Out_Analysis/10 (campuses); Build_Out_Analysis/9 (buildings); ePortal</t>
        </is>
      </c>
      <c r="AF47" t="inlineStr">
        <is>
          <t>https://gisweb.pwcva.gov/arcgis/rest/services/Planning/Build_Out_Analysis/MapServer/10/15?f=html | https://gisweb.pwcva.gov/arcgis/rest/services/Planning/Build_Out_Analysis/MapServer/9/query?where=GPIN IS NOT NULL&amp;outFields=*&amp;f=html (buildings joined spatially) | https://egcss.pwcgov.org/SelfService#/home</t>
        </is>
      </c>
      <c r="AG47" t="inlineStr">
        <is>
          <t>2026-09-25</t>
        </is>
      </c>
      <c r="AH47" t="inlineStr">
        <is>
          <t>8 building(s) already Completed on this campus</t>
        </is>
      </c>
    </row>
    <row r="48">
      <c r="B48" t="n">
        <v>47</v>
      </c>
      <c r="C48" t="inlineStr">
        <is>
          <t>Iron Mountain Manassas Point</t>
        </is>
      </c>
      <c r="D48" t="n">
        <v>3</v>
      </c>
      <c r="E48" t="inlineStr">
        <is>
          <t>Manassas Point PRA</t>
        </is>
      </c>
      <c r="F48" t="inlineStr">
        <is>
          <t>REZ2024-00001</t>
        </is>
      </c>
      <c r="G48" t="inlineStr">
        <is>
          <t>REZ2024-00001</t>
        </is>
      </c>
      <c r="H48" t="inlineStr">
        <is>
          <t>Approved / Planned</t>
        </is>
      </c>
      <c r="I48" t="inlineStr">
        <is>
          <t>Planned</t>
        </is>
      </c>
      <c r="K48" t="inlineStr">
        <is>
          <t>Approved</t>
        </is>
      </c>
      <c r="L48" t="inlineStr">
        <is>
          <t>Rule 3: campus ProjectStatus Planned</t>
        </is>
      </c>
      <c r="M48" t="n">
        <v>39.92</v>
      </c>
      <c r="N48" t="n">
        <v>5818876</v>
      </c>
      <c r="O48" t="n">
        <v>1062501</v>
      </c>
      <c r="P48" t="n">
        <v>3</v>
      </c>
      <c r="Q48" t="inlineStr">
        <is>
          <t>Planned: 3</t>
        </is>
      </c>
      <c r="R48" t="n">
        <v>1740105</v>
      </c>
      <c r="S48" t="inlineStr">
        <is>
          <t>Gainesville</t>
        </is>
      </c>
      <c r="T48" t="inlineStr">
        <is>
          <t>Yes</t>
        </is>
      </c>
      <c r="U48" t="inlineStr">
        <is>
          <t>M-1</t>
        </is>
      </c>
      <c r="V48" t="inlineStr">
        <is>
          <t>7596-79-3589; 7596-89-0058</t>
        </is>
      </c>
      <c r="W48" t="inlineStr">
        <is>
          <t>11441 CONNECTIVITY DR; 11451 CONNECTIVITY DR; 11461 CONNECTIVITY DR</t>
        </is>
      </c>
      <c r="X48" t="inlineStr">
        <is>
          <t>Iron Mountain Manassas Point DC1 (Planned); Iron Mountain Manassas Point DC2 (Planned); Iron Mountain Manassas Point DC3 (Planned)</t>
        </is>
      </c>
      <c r="AB48" t="inlineStr">
        <is>
          <t>REZ2024-00001 [Rezoning - Proffer Amendment; Approved; case number]</t>
        </is>
      </c>
      <c r="AD48" t="inlineStr">
        <is>
          <t>112446d3-3458-4c10-9081-42d87805d421</t>
        </is>
      </c>
      <c r="AE48" t="inlineStr">
        <is>
          <t>Build_Out_Analysis/10 (campuses); Build_Out_Analysis/9 (buildings); ePortal</t>
        </is>
      </c>
      <c r="AF48" t="inlineStr">
        <is>
          <t>https://gisweb.pwcva.gov/arcgis/rest/services/Planning/Build_Out_Analysis/MapServer/10/41?f=html | https://gisweb.pwcva.gov/arcgis/rest/services/Planning/Build_Out_Analysis/MapServer/9/query?where=GPIN IS NOT NULL&amp;outFields=*&amp;f=html (buildings joined spatially) | https://egcss.pwcgov.org/SelfService#/home</t>
        </is>
      </c>
      <c r="AG48" t="inlineStr">
        <is>
          <t>2026-09-25</t>
        </is>
      </c>
    </row>
    <row r="49">
      <c r="B49" t="n">
        <v>48</v>
      </c>
      <c r="C49" t="inlineStr">
        <is>
          <t>Manassas Data Center</t>
        </is>
      </c>
      <c r="D49" t="n">
        <v>1</v>
      </c>
      <c r="E49" t="inlineStr">
        <is>
          <t>STONECREST</t>
        </is>
      </c>
      <c r="F49" t="inlineStr">
        <is>
          <t>REZ1989-0038</t>
        </is>
      </c>
      <c r="G49" t="inlineStr">
        <is>
          <t>REZ1989-0038; CPA2026-00016; SUP2023-00034</t>
        </is>
      </c>
      <c r="H49" t="inlineStr">
        <is>
          <t>Approved / Planned</t>
        </is>
      </c>
      <c r="I49" t="inlineStr">
        <is>
          <t>Planned</t>
        </is>
      </c>
      <c r="J49" t="inlineStr">
        <is>
          <t>Pending</t>
        </is>
      </c>
      <c r="L49" t="inlineStr">
        <is>
          <t>Rule 3: campus ProjectStatus Planned</t>
        </is>
      </c>
      <c r="M49" t="n">
        <v>30.48</v>
      </c>
      <c r="N49" t="n">
        <v>460740</v>
      </c>
      <c r="O49" t="n">
        <v>460740</v>
      </c>
      <c r="P49" t="n">
        <v>1</v>
      </c>
      <c r="Q49" t="inlineStr">
        <is>
          <t>Planned: 1</t>
        </is>
      </c>
      <c r="R49" t="n">
        <v>460740</v>
      </c>
      <c r="S49" t="inlineStr">
        <is>
          <t>Brentsville</t>
        </is>
      </c>
      <c r="T49" t="inlineStr">
        <is>
          <t>Yes</t>
        </is>
      </c>
      <c r="U49" t="inlineStr">
        <is>
          <t>M-2</t>
        </is>
      </c>
      <c r="V49" t="inlineStr">
        <is>
          <t>7497-03-2210</t>
        </is>
      </c>
      <c r="W49" t="inlineStr">
        <is>
          <t>3555 WELLINGTON CENTER CIR</t>
        </is>
      </c>
      <c r="X49" t="inlineStr">
        <is>
          <t>Manassas Data Center (Planned)</t>
        </is>
      </c>
      <c r="Z49" t="inlineStr">
        <is>
          <t>CPA2026-00016 [CPA; Pending; name prefix (unique) (companion case, not keyword)]; SUP2023-00034 [SUP; Pending; name prefix (unique) (companion case, not keyword)]</t>
        </is>
      </c>
      <c r="AB49" t="inlineStr">
        <is>
          <t>PLT2016-00058 [Plat Subdivision; Approved; name prefix (unique)]; SPR2021-00004 [Site Plan - Administrative Review; Approved; name prefix (unique)]; SPR2024-00026 [Site Plan - Final; Approved; name prefix (unique)]; SPR2026-00022 [Site Plan - Grading/Preconstruction Plan; Approved; name prefix (unique)]; SPR2026-00221 [Site Plan - Final; Pending; GPIN (building parcel)]; SPR2027-00022 [Site Plan - Revision; Pending; name prefix (unique)]</t>
        </is>
      </c>
      <c r="AC49" t="inlineStr">
        <is>
          <t>SPR2026-00221 (Pending); SPR2027-00022 (Pending)</t>
        </is>
      </c>
      <c r="AD49" t="inlineStr">
        <is>
          <t>d4cb066c-32c2-427f-8d02-42b4565dc4c0</t>
        </is>
      </c>
      <c r="AE49" t="inlineStr">
        <is>
          <t>Build_Out_Analysis/10 (campuses); Build_Out_Analysis/9 (buildings); CountyMapper/LandDevelopment/2 (pending cases); ePortal</t>
        </is>
      </c>
      <c r="AF49" t="inlineStr">
        <is>
          <t>https://gisweb.pwcva.gov/arcgis/rest/services/Planning/Build_Out_Analysis/MapServer/10/72?f=html | https://gisweb.pwcva.gov/arcgis/rest/services/Planning/Build_Out_Analysis/MapServer/9/query?where=GPIN IS NOT NULL&amp;outFields=*&amp;f=html (buildings joined spatially) | https://gisweb.pwcva.gov/arcgis/rest/services/CountyMapper/LandDevelopment/MapServer/2 | https://egcss.pwcgov.org/SelfService#/home</t>
        </is>
      </c>
      <c r="AG49" t="inlineStr">
        <is>
          <t>2026-09-25</t>
        </is>
      </c>
    </row>
    <row r="50">
      <c r="A50" t="n">
        <v>745</v>
      </c>
      <c r="B50" t="n">
        <v>49</v>
      </c>
      <c r="C50" t="inlineStr">
        <is>
          <t>Manassas Tech Center</t>
        </is>
      </c>
      <c r="D50" t="n">
        <v>0</v>
      </c>
      <c r="E50" t="inlineStr">
        <is>
          <t>Manassas Tech Center</t>
        </is>
      </c>
      <c r="F50" t="inlineStr">
        <is>
          <t>REZ2025-00032</t>
        </is>
      </c>
      <c r="G50" t="inlineStr">
        <is>
          <t>REZ2025-00032</t>
        </is>
      </c>
      <c r="H50" t="inlineStr">
        <is>
          <t>Approved / Planned</t>
        </is>
      </c>
      <c r="I50" t="inlineStr">
        <is>
          <t>Pending</t>
        </is>
      </c>
      <c r="K50" t="inlineStr">
        <is>
          <t>Approved</t>
        </is>
      </c>
      <c r="L50" t="inlineStr">
        <is>
          <t>Campus layer says Pending but ePortal case REZ2025-00032 is Approved (county data conflict)</t>
        </is>
      </c>
      <c r="M50" t="n">
        <v>5.99</v>
      </c>
      <c r="O50" t="n">
        <v>0</v>
      </c>
      <c r="S50" t="inlineStr">
        <is>
          <t>Brentsville</t>
        </is>
      </c>
      <c r="T50" t="inlineStr">
        <is>
          <t>Yes</t>
        </is>
      </c>
      <c r="U50" t="inlineStr">
        <is>
          <t>PBD PMD</t>
        </is>
      </c>
      <c r="AB50" t="inlineStr">
        <is>
          <t>REZ2025-00032 [Rezoning - Mixed Use; Approved; case number]</t>
        </is>
      </c>
      <c r="AD50" t="inlineStr">
        <is>
          <t>9e428798-9025-467d-99e6-391841e4b94e</t>
        </is>
      </c>
      <c r="AE50" t="inlineStr">
        <is>
          <t>Build_Out_Analysis/10 (campuses); ePortal</t>
        </is>
      </c>
      <c r="AF50" t="inlineStr">
        <is>
          <t>https://gisweb.pwcva.gov/arcgis/rest/services/Planning/Build_Out_Analysis/MapServer/10/116?f=html | https://egcss.pwcgov.org/SelfService#/home</t>
        </is>
      </c>
      <c r="AG50" t="inlineStr">
        <is>
          <t>2026-09-25</t>
        </is>
      </c>
    </row>
    <row r="51">
      <c r="B51" t="n">
        <v>50</v>
      </c>
      <c r="C51" t="inlineStr">
        <is>
          <t>Manassas Tech Park II South</t>
        </is>
      </c>
      <c r="D51" t="n">
        <v>1</v>
      </c>
      <c r="E51" t="inlineStr">
        <is>
          <t>DWOSKIN</t>
        </is>
      </c>
      <c r="F51" t="inlineStr">
        <is>
          <t>REZ1985-0048</t>
        </is>
      </c>
      <c r="G51" t="inlineStr">
        <is>
          <t>REZ1985-0048</t>
        </is>
      </c>
      <c r="H51" t="inlineStr">
        <is>
          <t>Approved / Planned</t>
        </is>
      </c>
      <c r="I51" t="inlineStr">
        <is>
          <t>Planned</t>
        </is>
      </c>
      <c r="L51" t="inlineStr">
        <is>
          <t>Rule 3: campus ProjectStatus Planned</t>
        </is>
      </c>
      <c r="M51" t="n">
        <v>30</v>
      </c>
      <c r="N51" t="n">
        <v>198500</v>
      </c>
      <c r="O51" t="n">
        <v>198500</v>
      </c>
      <c r="P51" t="n">
        <v>1</v>
      </c>
      <c r="Q51" t="inlineStr">
        <is>
          <t>Planned: 1</t>
        </is>
      </c>
      <c r="R51" t="n">
        <v>198500</v>
      </c>
      <c r="S51" t="inlineStr">
        <is>
          <t>Brentsville</t>
        </is>
      </c>
      <c r="T51" t="inlineStr">
        <is>
          <t>Yes</t>
        </is>
      </c>
      <c r="U51" t="inlineStr">
        <is>
          <t>M/T M-2</t>
        </is>
      </c>
      <c r="V51" t="inlineStr">
        <is>
          <t>7595-59-2712</t>
        </is>
      </c>
      <c r="W51" t="inlineStr">
        <is>
          <t>9320 INDUSTRIAL CT</t>
        </is>
      </c>
      <c r="X51" t="inlineStr">
        <is>
          <t>Manassas Tech Park II South (Planned)</t>
        </is>
      </c>
      <c r="AB51" t="inlineStr">
        <is>
          <t>SPR2026-00406 [Site Plan - Final; Awaiting Fees; GPIN (building parcel)]</t>
        </is>
      </c>
      <c r="AC51" t="inlineStr">
        <is>
          <t>SPR2026-00406 (Awaiting Fees)</t>
        </is>
      </c>
      <c r="AD51" t="inlineStr">
        <is>
          <t>590d32cd-30f2-4381-a845-2669247e45e0</t>
        </is>
      </c>
      <c r="AE51" t="inlineStr">
        <is>
          <t>Build_Out_Analysis/10 (campuses); Build_Out_Analysis/9 (buildings); ePortal</t>
        </is>
      </c>
      <c r="AF51" t="inlineStr">
        <is>
          <t>https://gisweb.pwcva.gov/arcgis/rest/services/Planning/Build_Out_Analysis/MapServer/10/135?f=html | https://gisweb.pwcva.gov/arcgis/rest/services/Planning/Build_Out_Analysis/MapServer/9/query?where=GPIN IS NOT NULL&amp;outFields=*&amp;f=html (buildings joined spatially) | https://egcss.pwcgov.org/SelfService#/home</t>
        </is>
      </c>
      <c r="AG51" t="inlineStr">
        <is>
          <t>2026-09-25</t>
        </is>
      </c>
    </row>
    <row r="52">
      <c r="B52" t="n">
        <v>51</v>
      </c>
      <c r="C52" t="inlineStr">
        <is>
          <t>Manassas Tech Park North</t>
        </is>
      </c>
      <c r="D52" t="n">
        <v>2</v>
      </c>
      <c r="E52" t="inlineStr">
        <is>
          <t>DWOSKIN</t>
        </is>
      </c>
      <c r="F52" t="inlineStr">
        <is>
          <t>REZ1985-0048</t>
        </is>
      </c>
      <c r="G52" t="inlineStr">
        <is>
          <t>REZ1985-0048</t>
        </is>
      </c>
      <c r="H52" t="inlineStr">
        <is>
          <t>Approved / Planned</t>
        </is>
      </c>
      <c r="I52" t="inlineStr">
        <is>
          <t>Planned</t>
        </is>
      </c>
      <c r="L52" t="inlineStr">
        <is>
          <t>Rule 3: campus ProjectStatus Planned</t>
        </is>
      </c>
      <c r="M52" t="n">
        <v>21.17</v>
      </c>
      <c r="N52" t="n">
        <v>340000</v>
      </c>
      <c r="O52" t="n">
        <v>340000</v>
      </c>
      <c r="P52" t="n">
        <v>2</v>
      </c>
      <c r="Q52" t="inlineStr">
        <is>
          <t>Planned: 2</t>
        </is>
      </c>
      <c r="R52" t="n">
        <v>340000</v>
      </c>
      <c r="S52" t="inlineStr">
        <is>
          <t>Brentsville</t>
        </is>
      </c>
      <c r="T52" t="inlineStr">
        <is>
          <t>Yes</t>
        </is>
      </c>
      <c r="U52" t="inlineStr">
        <is>
          <t>M/T</t>
        </is>
      </c>
      <c r="V52" t="inlineStr">
        <is>
          <t>7595-49-8655; 7596-50-2719</t>
        </is>
      </c>
      <c r="W52" t="inlineStr">
        <is>
          <t>9250 INDUSTRIAL CT; 9251 INDUSTRIAL CT</t>
        </is>
      </c>
      <c r="X52" t="inlineStr">
        <is>
          <t>Manassas Tech Park North 1 (Planned); Manassas Tech Park North 2 (Planned)</t>
        </is>
      </c>
      <c r="AB52" t="inlineStr">
        <is>
          <t>SPR2026-00196 [Site Plan - Final; Pending; GPIN (building parcel)]</t>
        </is>
      </c>
      <c r="AC52" t="inlineStr">
        <is>
          <t>SPR2026-00196 (Pending)</t>
        </is>
      </c>
      <c r="AD52" t="inlineStr">
        <is>
          <t>590d32cd-30f2-4381-a845-2669247e45e0</t>
        </is>
      </c>
      <c r="AE52" t="inlineStr">
        <is>
          <t>Build_Out_Analysis/10 (campuses); Build_Out_Analysis/9 (buildings); ePortal</t>
        </is>
      </c>
      <c r="AF52" t="inlineStr">
        <is>
          <t>https://gisweb.pwcva.gov/arcgis/rest/services/Planning/Build_Out_Analysis/MapServer/10/70?f=html | https://gisweb.pwcva.gov/arcgis/rest/services/Planning/Build_Out_Analysis/MapServer/9/query?where=GPIN IS NOT NULL&amp;outFields=*&amp;f=html (buildings joined spatially) | https://egcss.pwcgov.org/SelfService#/home</t>
        </is>
      </c>
      <c r="AG52" t="inlineStr">
        <is>
          <t>2026-09-25</t>
        </is>
      </c>
    </row>
    <row r="53">
      <c r="B53" t="n">
        <v>52</v>
      </c>
      <c r="C53" t="inlineStr">
        <is>
          <t>Merritt I-66 Business Park</t>
        </is>
      </c>
      <c r="D53" t="n">
        <v>4</v>
      </c>
      <c r="E53" t="inlineStr">
        <is>
          <t>LIBBY, LEONA &amp; HOWARD</t>
        </is>
      </c>
      <c r="F53" t="inlineStr">
        <is>
          <t>REZ1981-0015</t>
        </is>
      </c>
      <c r="G53" t="inlineStr">
        <is>
          <t>REZ1981-0015</t>
        </is>
      </c>
      <c r="H53" t="inlineStr">
        <is>
          <t>Approved / Planned</t>
        </is>
      </c>
      <c r="I53" t="inlineStr">
        <is>
          <t>Planned</t>
        </is>
      </c>
      <c r="L53" t="inlineStr">
        <is>
          <t>Rule 3: campus ProjectStatus Planned</t>
        </is>
      </c>
      <c r="M53" t="n">
        <v>49.32</v>
      </c>
      <c r="N53" t="n">
        <v>2144339</v>
      </c>
      <c r="O53" t="n">
        <v>2144339</v>
      </c>
      <c r="P53" t="n">
        <v>4</v>
      </c>
      <c r="Q53" t="inlineStr">
        <is>
          <t>Planned: 4</t>
        </is>
      </c>
      <c r="R53" t="n">
        <v>2144339</v>
      </c>
      <c r="S53" t="inlineStr">
        <is>
          <t>Gainesville</t>
        </is>
      </c>
      <c r="T53" t="inlineStr">
        <is>
          <t>Yes</t>
        </is>
      </c>
      <c r="U53" t="inlineStr">
        <is>
          <t>M-1</t>
        </is>
      </c>
      <c r="V53" t="inlineStr">
        <is>
          <t>7597-24-1765; 7597-24-7195; 7597-24-8417; 7597-25-1404</t>
        </is>
      </c>
      <c r="W53" t="inlineStr">
        <is>
          <t>7370 MERRITT PARK DR; 7375 MERRITT PARK DR; 7390 MERRITT PARK DR; 7425 MERRITT PARK DR</t>
        </is>
      </c>
      <c r="X53" t="inlineStr">
        <is>
          <t>Merritt I-66 Business Park A (Planned); Merritt I-66 Business Park B (Planned); Merritt I-66 Business Park C (Planned); Merritt I-66 Business Park D (Planned)</t>
        </is>
      </c>
      <c r="AB53" t="inlineStr">
        <is>
          <t>SPR2027-00028 [Site Plan - Final; Pending; GPIN (building parcel)]</t>
        </is>
      </c>
      <c r="AC53" t="inlineStr">
        <is>
          <t>SPR2027-00028 (Pending)</t>
        </is>
      </c>
      <c r="AD53" t="inlineStr">
        <is>
          <t>ba7d803c-ad67-4a97-9720-3ef3910c912b</t>
        </is>
      </c>
      <c r="AE53" t="inlineStr">
        <is>
          <t>Build_Out_Analysis/10 (campuses); Build_Out_Analysis/9 (buildings); ePortal</t>
        </is>
      </c>
      <c r="AF53" t="inlineStr">
        <is>
          <t>https://gisweb.pwcva.gov/arcgis/rest/services/Planning/Build_Out_Analysis/MapServer/10/137?f=html | https://gisweb.pwcva.gov/arcgis/rest/services/Planning/Build_Out_Analysis/MapServer/9/query?where=GPIN IS NOT NULL&amp;outFields=*&amp;f=html (buildings joined spatially) | https://egcss.pwcgov.org/SelfService#/home</t>
        </is>
      </c>
      <c r="AG53" t="inlineStr">
        <is>
          <t>2026-09-25</t>
        </is>
      </c>
    </row>
    <row r="54">
      <c r="B54" t="n">
        <v>53</v>
      </c>
      <c r="C54" t="inlineStr">
        <is>
          <t>Microsoft Azure Balls Ford Road</t>
        </is>
      </c>
      <c r="D54" t="n">
        <v>2</v>
      </c>
      <c r="E54" t="inlineStr">
        <is>
          <t>Westview 66</t>
        </is>
      </c>
      <c r="F54" t="inlineStr">
        <is>
          <t>REZ2019-00025</t>
        </is>
      </c>
      <c r="G54" t="inlineStr">
        <is>
          <t>REZ2019-00025</t>
        </is>
      </c>
      <c r="H54" t="inlineStr">
        <is>
          <t>Approved / Planned</t>
        </is>
      </c>
      <c r="I54" t="inlineStr">
        <is>
          <t>Planned</t>
        </is>
      </c>
      <c r="K54" t="inlineStr">
        <is>
          <t>Approved</t>
        </is>
      </c>
      <c r="L54" t="inlineStr">
        <is>
          <t>Rule 3: campus ProjectStatus Planned</t>
        </is>
      </c>
      <c r="M54" t="n">
        <v>40.55</v>
      </c>
      <c r="N54" t="n">
        <v>1145989</v>
      </c>
      <c r="O54" t="n">
        <v>1145989</v>
      </c>
      <c r="P54" t="n">
        <v>2</v>
      </c>
      <c r="Q54" t="inlineStr">
        <is>
          <t>Planned: 2</t>
        </is>
      </c>
      <c r="R54" t="n">
        <v>1132560</v>
      </c>
      <c r="S54" t="inlineStr">
        <is>
          <t>Gainesville</t>
        </is>
      </c>
      <c r="T54" t="inlineStr">
        <is>
          <t>Yes</t>
        </is>
      </c>
      <c r="U54" t="inlineStr">
        <is>
          <t>PBD</t>
        </is>
      </c>
      <c r="V54" t="inlineStr">
        <is>
          <t>7597-85-1215</t>
        </is>
      </c>
      <c r="W54" t="inlineStr">
        <is>
          <t>11320 BALLS FORD RD; 11324 BALLS FORD RD</t>
        </is>
      </c>
      <c r="X54" t="inlineStr">
        <is>
          <t>Microsoft Azure MNZ01 (Planned); Microsoft Azure MNZ02 (Planned)</t>
        </is>
      </c>
      <c r="Y54" t="inlineStr">
        <is>
          <t>BLD2024-06291 (Pending)</t>
        </is>
      </c>
      <c r="AB54" t="inlineStr">
        <is>
          <t>REZ2019-00025 [Rezoning - Proffer Amendment; Approved; case number]</t>
        </is>
      </c>
      <c r="AD54" t="inlineStr">
        <is>
          <t>17be9cd0-9800-4877-8c96-5520b706db82</t>
        </is>
      </c>
      <c r="AE54" t="inlineStr">
        <is>
          <t>Build_Out_Analysis/10 (campuses); Build_Out_Analysis/9 (buildings); ePortal</t>
        </is>
      </c>
      <c r="AF54" t="inlineStr">
        <is>
          <t>https://gisweb.pwcva.gov/arcgis/rest/services/Planning/Build_Out_Analysis/MapServer/10/10?f=html | https://gisweb.pwcva.gov/arcgis/rest/services/Planning/Build_Out_Analysis/MapServer/9/query?where=GPIN IS NOT NULL&amp;outFields=*&amp;f=html (buildings joined spatially) | https://egcss.pwcgov.org/SelfService#/home</t>
        </is>
      </c>
      <c r="AG54" t="inlineStr">
        <is>
          <t>2026-09-25</t>
        </is>
      </c>
    </row>
    <row r="55">
      <c r="B55" t="n">
        <v>54</v>
      </c>
      <c r="C55" t="inlineStr">
        <is>
          <t>Patriot Business Center</t>
        </is>
      </c>
      <c r="D55" t="n">
        <v>4</v>
      </c>
      <c r="E55" t="inlineStr">
        <is>
          <t>Wheeler Smith Wood Solite</t>
        </is>
      </c>
      <c r="F55" t="inlineStr">
        <is>
          <t>REZ1969-0021</t>
        </is>
      </c>
      <c r="G55" t="inlineStr">
        <is>
          <t>REZ1969-0021</t>
        </is>
      </c>
      <c r="H55" t="inlineStr">
        <is>
          <t>Approved / Planned</t>
        </is>
      </c>
      <c r="I55" t="inlineStr">
        <is>
          <t>Planned</t>
        </is>
      </c>
      <c r="L55" t="inlineStr">
        <is>
          <t>Rule 3: campus ProjectStatus Planned</t>
        </is>
      </c>
      <c r="M55" t="n">
        <v>41.13</v>
      </c>
      <c r="N55" t="n">
        <v>903523</v>
      </c>
      <c r="O55" t="n">
        <v>534359</v>
      </c>
      <c r="P55" t="n">
        <v>4</v>
      </c>
      <c r="Q55" t="inlineStr">
        <is>
          <t>Planned: 4</t>
        </is>
      </c>
      <c r="R55" t="n">
        <v>903523</v>
      </c>
      <c r="S55" t="inlineStr">
        <is>
          <t>Gainesville</t>
        </is>
      </c>
      <c r="T55" t="inlineStr">
        <is>
          <t>Yes</t>
        </is>
      </c>
      <c r="U55" t="inlineStr">
        <is>
          <t>M-1</t>
        </is>
      </c>
      <c r="V55" t="inlineStr">
        <is>
          <t>7597-42-1395; 7597-42-1456; 7597-42-2107</t>
        </is>
      </c>
      <c r="W55" t="inlineStr">
        <is>
          <t>11800 BREWERS SPRING RD; 11801 BREWERS SPRING RD; 7600 DOANE DR; BREWERS SPRING RD</t>
        </is>
      </c>
      <c r="X55" t="inlineStr">
        <is>
          <t>Amazon AWS IAD-14 (Planned); Amazon AWS IAD-52 (Planned); Amazon AWS IAD-59 (Planned); Patriot Business Center (Planned)</t>
        </is>
      </c>
      <c r="AB55" t="inlineStr">
        <is>
          <t>SPR2015-20225 [Site Plan - Asbuilt Plan; Approved; name exact]; SPR2026-00255 [Site Plan - Early Grading Plan; Pending; GPIN (building parcel)]; SPR2026-00365 [Site Plan - Minor; Approved; GPIN (building parcel)]</t>
        </is>
      </c>
      <c r="AC55" t="inlineStr">
        <is>
          <t>SPR2026-00255 (Pending)</t>
        </is>
      </c>
      <c r="AD55" t="inlineStr">
        <is>
          <t>06882327-a3cd-4bd2-9646-9f72bd231847</t>
        </is>
      </c>
      <c r="AE55" t="inlineStr">
        <is>
          <t>Build_Out_Analysis/10 (campuses); Build_Out_Analysis/9 (buildings); ePortal</t>
        </is>
      </c>
      <c r="AF55" t="inlineStr">
        <is>
          <t>https://gisweb.pwcva.gov/arcgis/rest/services/Planning/Build_Out_Analysis/MapServer/10/40?f=html | https://gisweb.pwcva.gov/arcgis/rest/services/Planning/Build_Out_Analysis/MapServer/9/query?where=GPIN IS NOT NULL&amp;outFields=*&amp;f=html (buildings joined spatially) | https://egcss.pwcgov.org/SelfService#/home</t>
        </is>
      </c>
      <c r="AG55" t="inlineStr">
        <is>
          <t>2026-09-25</t>
        </is>
      </c>
    </row>
    <row r="56">
      <c r="B56" t="n">
        <v>55</v>
      </c>
      <c r="C56" t="inlineStr">
        <is>
          <t>Premier Business Park</t>
        </is>
      </c>
      <c r="D56" t="n">
        <v>1</v>
      </c>
      <c r="E56" t="inlineStr">
        <is>
          <t>WHEELER, SMITH, WOOD, SOLITE</t>
        </is>
      </c>
      <c r="F56" t="inlineStr">
        <is>
          <t>REZ1969-0021</t>
        </is>
      </c>
      <c r="G56" t="inlineStr">
        <is>
          <t>REZ1969-0021</t>
        </is>
      </c>
      <c r="H56" t="inlineStr">
        <is>
          <t>Approved / Planned</t>
        </is>
      </c>
      <c r="I56" t="inlineStr">
        <is>
          <t>Planned</t>
        </is>
      </c>
      <c r="L56" t="inlineStr">
        <is>
          <t>Rule 3: campus ProjectStatus Planned</t>
        </is>
      </c>
      <c r="M56" t="n">
        <v>29.74</v>
      </c>
      <c r="N56" t="n">
        <v>500000</v>
      </c>
      <c r="O56" t="n">
        <v>500000</v>
      </c>
      <c r="P56" t="n">
        <v>1</v>
      </c>
      <c r="Q56" t="inlineStr">
        <is>
          <t>Planned: 1</t>
        </is>
      </c>
      <c r="R56" t="n">
        <v>500000</v>
      </c>
      <c r="S56" t="inlineStr">
        <is>
          <t>Gainesville</t>
        </is>
      </c>
      <c r="T56" t="inlineStr">
        <is>
          <t>Yes</t>
        </is>
      </c>
      <c r="U56" t="inlineStr">
        <is>
          <t>M/T</t>
        </is>
      </c>
      <c r="V56" t="inlineStr">
        <is>
          <t>7597-34-9837</t>
        </is>
      </c>
      <c r="W56" t="inlineStr">
        <is>
          <t>11900 BRADY LN</t>
        </is>
      </c>
      <c r="X56" t="inlineStr">
        <is>
          <t>Premier Business Park Bldg A (Planned)</t>
        </is>
      </c>
      <c r="AB56" t="inlineStr">
        <is>
          <t>SPR2027-00041 [Site Plan - Final; Pending; GPIN (building parcel)]</t>
        </is>
      </c>
      <c r="AC56" t="inlineStr">
        <is>
          <t>SPR2027-00041 (Pending)</t>
        </is>
      </c>
      <c r="AD56" t="inlineStr">
        <is>
          <t>06882327-a3cd-4bd2-9646-9f72bd231847</t>
        </is>
      </c>
      <c r="AE56" t="inlineStr">
        <is>
          <t>Build_Out_Analysis/10 (campuses); Build_Out_Analysis/9 (buildings); ePortal</t>
        </is>
      </c>
      <c r="AF56" t="inlineStr">
        <is>
          <t>https://gisweb.pwcva.gov/arcgis/rest/services/Planning/Build_Out_Analysis/MapServer/10/552?f=html | https://gisweb.pwcva.gov/arcgis/rest/services/Planning/Build_Out_Analysis/MapServer/9/query?where=GPIN IS NOT NULL&amp;outFields=*&amp;f=html (buildings joined spatially) | https://egcss.pwcgov.org/SelfService#/home</t>
        </is>
      </c>
      <c r="AG56" t="inlineStr">
        <is>
          <t>2026-09-25</t>
        </is>
      </c>
    </row>
    <row r="57">
      <c r="B57" t="n">
        <v>56</v>
      </c>
      <c r="C57" t="inlineStr">
        <is>
          <t>Project Gulfstream</t>
        </is>
      </c>
      <c r="D57" t="n">
        <v>4</v>
      </c>
      <c r="E57" t="inlineStr">
        <is>
          <t>Great Oak</t>
        </is>
      </c>
      <c r="F57" t="inlineStr">
        <is>
          <t>REZ1987-0021</t>
        </is>
      </c>
      <c r="G57" t="inlineStr">
        <is>
          <t>REZ1987-0021</t>
        </is>
      </c>
      <c r="H57" t="inlineStr">
        <is>
          <t>Approved / Planned</t>
        </is>
      </c>
      <c r="I57" t="inlineStr">
        <is>
          <t>Planned</t>
        </is>
      </c>
      <c r="L57" t="inlineStr">
        <is>
          <t>Rule 3: campus ProjectStatus Planned</t>
        </is>
      </c>
      <c r="M57" t="n">
        <v>64.90000000000001</v>
      </c>
      <c r="N57" t="n">
        <v>1238020</v>
      </c>
      <c r="O57" t="n">
        <v>1238020</v>
      </c>
      <c r="P57" t="n">
        <v>4</v>
      </c>
      <c r="Q57" t="inlineStr">
        <is>
          <t>Planned: 4</t>
        </is>
      </c>
      <c r="R57" t="n">
        <v>1238020</v>
      </c>
      <c r="S57" t="inlineStr">
        <is>
          <t>Coles</t>
        </is>
      </c>
      <c r="T57" t="inlineStr">
        <is>
          <t>Yes</t>
        </is>
      </c>
      <c r="U57" t="inlineStr">
        <is>
          <t>M-2</t>
        </is>
      </c>
      <c r="V57" t="inlineStr">
        <is>
          <t>7694-68-7035; 7694-69-8742; 7694-78-6585</t>
        </is>
      </c>
      <c r="W57" t="inlineStr">
        <is>
          <t>10230 HARRY J PARRISH BLVD; 10231 HARRY J PARRISH BLVD; 10250 HARRY J PARRISH BLVD</t>
        </is>
      </c>
      <c r="X57" t="inlineStr">
        <is>
          <t>Project Gulfstream Bldg A (Planned); Project Gulfstream Bldg B (Planned); Project Gulfstream Bldg C (Planned); Project Gulfstream Bldg D (Planned)</t>
        </is>
      </c>
      <c r="AD57" t="inlineStr">
        <is>
          <t>fcd445a8-af13-446b-b852-86f22fb0ba21</t>
        </is>
      </c>
      <c r="AE57" t="inlineStr">
        <is>
          <t>Build_Out_Analysis/10 (campuses); Build_Out_Analysis/9 (buildings)</t>
        </is>
      </c>
      <c r="AF57" t="inlineStr">
        <is>
          <t>https://gisweb.pwcva.gov/arcgis/rest/services/Planning/Build_Out_Analysis/MapServer/10/59?f=html | https://gisweb.pwcva.gov/arcgis/rest/services/Planning/Build_Out_Analysis/MapServer/9/query?where=GPIN IS NOT NULL&amp;outFields=*&amp;f=html (buildings joined spatially)</t>
        </is>
      </c>
      <c r="AG57" t="inlineStr">
        <is>
          <t>2026-09-25</t>
        </is>
      </c>
    </row>
    <row r="58">
      <c r="B58" t="n">
        <v>57</v>
      </c>
      <c r="C58" t="inlineStr">
        <is>
          <t>Project Well</t>
        </is>
      </c>
      <c r="D58" t="n">
        <v>2</v>
      </c>
      <c r="E58" t="inlineStr">
        <is>
          <t>WORSHAM</t>
        </is>
      </c>
      <c r="F58" t="inlineStr">
        <is>
          <t>REZ1979-0021</t>
        </is>
      </c>
      <c r="G58" t="inlineStr">
        <is>
          <t>REZ1979-0021; REZ2025-00026</t>
        </is>
      </c>
      <c r="H58" t="inlineStr">
        <is>
          <t>Approved / Planned</t>
        </is>
      </c>
      <c r="I58" t="inlineStr">
        <is>
          <t>Planned</t>
        </is>
      </c>
      <c r="L58" t="inlineStr">
        <is>
          <t>Rule 3: campus ProjectStatus Planned</t>
        </is>
      </c>
      <c r="M58" t="n">
        <v>43.94</v>
      </c>
      <c r="N58" t="n">
        <v>490970</v>
      </c>
      <c r="O58" t="n">
        <v>490970</v>
      </c>
      <c r="P58" t="n">
        <v>2</v>
      </c>
      <c r="Q58" t="inlineStr">
        <is>
          <t>Planned: 2</t>
        </is>
      </c>
      <c r="R58" t="n">
        <v>490970</v>
      </c>
      <c r="S58" t="inlineStr">
        <is>
          <t>Brentsville</t>
        </is>
      </c>
      <c r="T58" t="inlineStr">
        <is>
          <t>Yes</t>
        </is>
      </c>
      <c r="U58" t="inlineStr">
        <is>
          <t>M-2</t>
        </is>
      </c>
      <c r="V58" t="inlineStr">
        <is>
          <t>7496-97-8786; 7596-08-1375</t>
        </is>
      </c>
      <c r="W58" t="inlineStr">
        <is>
          <t>6894 WELLINGTON RD; 6898 WELLINGTON RD</t>
        </is>
      </c>
      <c r="X58" t="inlineStr">
        <is>
          <t>Project Well A (Planned); Project Well B (Planned)</t>
        </is>
      </c>
      <c r="AB58" t="inlineStr">
        <is>
          <t>REZ2025-00026 [Rezoning - Mixed Use; Withdrawn; case number]; SPR2026-00108 [Site Plan - Final; Closed; GPIN (building parcel)]; SPR2026-00362 [Site Plan - Final; Pending; GPIN (building parcel)]</t>
        </is>
      </c>
      <c r="AC58" t="inlineStr">
        <is>
          <t>SPR2026-00362 (Pending)</t>
        </is>
      </c>
      <c r="AD58" t="inlineStr">
        <is>
          <t>d71293f1-b842-4858-9413-f26d93b2f4c1</t>
        </is>
      </c>
      <c r="AE58" t="inlineStr">
        <is>
          <t>Build_Out_Analysis/10 (campuses); Build_Out_Analysis/9 (buildings); ePortal</t>
        </is>
      </c>
      <c r="AF58" t="inlineStr">
        <is>
          <t>https://gisweb.pwcva.gov/arcgis/rest/services/Planning/Build_Out_Analysis/MapServer/10/49?f=html | https://gisweb.pwcva.gov/arcgis/rest/services/Planning/Build_Out_Analysis/MapServer/9/query?where=GPIN IS NOT NULL&amp;outFields=*&amp;f=html (buildings joined spatially) | https://egcss.pwcgov.org/SelfService#/home</t>
        </is>
      </c>
      <c r="AG58" t="inlineStr">
        <is>
          <t>2026-09-25</t>
        </is>
      </c>
    </row>
    <row r="59">
      <c r="B59" t="n">
        <v>58</v>
      </c>
      <c r="C59" t="inlineStr">
        <is>
          <t>Redstone Tech Park Central</t>
        </is>
      </c>
      <c r="D59" t="n">
        <v>2</v>
      </c>
      <c r="E59" t="inlineStr">
        <is>
          <t>BROAD RUN INDUSTRIAL PARK</t>
        </is>
      </c>
      <c r="F59" t="inlineStr">
        <is>
          <t>REZ1994-0013</t>
        </is>
      </c>
      <c r="G59" t="inlineStr">
        <is>
          <t>REZ1994-0013</t>
        </is>
      </c>
      <c r="H59" t="inlineStr">
        <is>
          <t>Approved / Planned</t>
        </is>
      </c>
      <c r="I59" t="inlineStr">
        <is>
          <t>Planned</t>
        </is>
      </c>
      <c r="L59" t="inlineStr">
        <is>
          <t>Rule 3: campus ProjectStatus Planned</t>
        </is>
      </c>
      <c r="M59" t="n">
        <v>4.66</v>
      </c>
      <c r="N59" t="n">
        <v>28774</v>
      </c>
      <c r="O59" t="n">
        <v>28774</v>
      </c>
      <c r="P59" t="n">
        <v>2</v>
      </c>
      <c r="Q59" t="inlineStr">
        <is>
          <t>Planned: 2</t>
        </is>
      </c>
      <c r="R59" t="n">
        <v>28774</v>
      </c>
      <c r="S59" t="inlineStr">
        <is>
          <t>Brentsville</t>
        </is>
      </c>
      <c r="T59" t="inlineStr">
        <is>
          <t>Yes</t>
        </is>
      </c>
      <c r="U59" t="inlineStr">
        <is>
          <t>M-1</t>
        </is>
      </c>
      <c r="V59" t="inlineStr">
        <is>
          <t>7595-67-8821</t>
        </is>
      </c>
      <c r="W59" t="inlineStr">
        <is>
          <t>9651 HAWKINS DR MANASSAS, VA 20109</t>
        </is>
      </c>
      <c r="X59" t="inlineStr">
        <is>
          <t>Redstone 3 (Planned); Redstone 4 (Planned)</t>
        </is>
      </c>
      <c r="AB59" t="inlineStr">
        <is>
          <t>SPR2026-00228 [Site Plan - Final; Pending; GPIN (building parcel)]</t>
        </is>
      </c>
      <c r="AC59" t="inlineStr">
        <is>
          <t>SPR2026-00228 (Pending)</t>
        </is>
      </c>
      <c r="AD59" t="inlineStr">
        <is>
          <t>785e4c31-8a50-4999-a6f0-e0212ab605bd</t>
        </is>
      </c>
      <c r="AE59" t="inlineStr">
        <is>
          <t>Build_Out_Analysis/10 (campuses); Build_Out_Analysis/9 (buildings); ePortal</t>
        </is>
      </c>
      <c r="AF59" t="inlineStr">
        <is>
          <t>https://gisweb.pwcva.gov/arcgis/rest/services/Planning/Build_Out_Analysis/MapServer/10/84?f=html | https://gisweb.pwcva.gov/arcgis/rest/services/Planning/Build_Out_Analysis/MapServer/9/query?where=GPIN IS NOT NULL&amp;outFields=*&amp;f=html (buildings joined spatially) | https://egcss.pwcgov.org/SelfService#/home</t>
        </is>
      </c>
      <c r="AG59" t="inlineStr">
        <is>
          <t>2026-09-25</t>
        </is>
      </c>
    </row>
    <row r="60">
      <c r="B60" t="n">
        <v>59</v>
      </c>
      <c r="C60" t="inlineStr">
        <is>
          <t>Redstone Tech Park North</t>
        </is>
      </c>
      <c r="D60" t="n">
        <v>5</v>
      </c>
      <c r="E60" t="inlineStr">
        <is>
          <t>REDSTONE INDUSTRIAL PARK</t>
        </is>
      </c>
      <c r="F60" t="inlineStr">
        <is>
          <t>PLN2008-00253</t>
        </is>
      </c>
      <c r="G60" t="inlineStr">
        <is>
          <t>PLN2008-00253; REZ1996-0016; REZ1985-0048</t>
        </is>
      </c>
      <c r="H60" t="inlineStr">
        <is>
          <t>Approved / Planned</t>
        </is>
      </c>
      <c r="I60" t="inlineStr">
        <is>
          <t>Planned</t>
        </is>
      </c>
      <c r="L60" t="inlineStr">
        <is>
          <t>Rule 3: campus ProjectStatus Planned</t>
        </is>
      </c>
      <c r="M60" t="n">
        <v>66.7</v>
      </c>
      <c r="N60" t="n">
        <v>1262501</v>
      </c>
      <c r="O60" t="n">
        <v>1262501</v>
      </c>
      <c r="P60" t="n">
        <v>5</v>
      </c>
      <c r="Q60" t="inlineStr">
        <is>
          <t>Planned: 5</t>
        </is>
      </c>
      <c r="R60" t="n">
        <v>1262501</v>
      </c>
      <c r="S60" t="inlineStr">
        <is>
          <t>Brentsville</t>
        </is>
      </c>
      <c r="T60" t="inlineStr">
        <is>
          <t>Yes</t>
        </is>
      </c>
      <c r="U60" t="inlineStr">
        <is>
          <t>M-1</t>
        </is>
      </c>
      <c r="V60" t="inlineStr">
        <is>
          <t>7595-69-2101; 7595-69-2565; 7595-69-4800; 7595-78-0192; 7595-88-0593</t>
        </is>
      </c>
      <c r="W60" t="inlineStr">
        <is>
          <t>11090 INDUSTRIAL RD; 11124 INDUSTRIAL RD; 11138 INDUSTRIAL RD; 11140 INDUSTRIAL RD; 11144 INDUSTRIAL RD</t>
        </is>
      </c>
      <c r="X60" t="inlineStr">
        <is>
          <t>Redstone Tech Park North A (Planned); Redstone Tech Park North B (Planned); Redstone Tech Park North C (Planned); Redstone Tech Park North D (Planned); Redstone Tech Park North E (Planned)</t>
        </is>
      </c>
      <c r="AB60" t="inlineStr">
        <is>
          <t>SPR2026-00299 [Site Plan - Final; Awaiting Fees; name exact]</t>
        </is>
      </c>
      <c r="AC60" t="inlineStr">
        <is>
          <t>SPR2026-00299 (Awaiting Fees)</t>
        </is>
      </c>
      <c r="AD60" t="inlineStr">
        <is>
          <t>f9e747f6-b26c-4530-a2fc-298b4be7561d</t>
        </is>
      </c>
      <c r="AE60" t="inlineStr">
        <is>
          <t>Build_Out_Analysis/10 (campuses); Build_Out_Analysis/9 (buildings); ePortal</t>
        </is>
      </c>
      <c r="AF60" t="inlineStr">
        <is>
          <t>https://gisweb.pwcva.gov/arcgis/rest/services/Planning/Build_Out_Analysis/MapServer/10/89?f=html | https://gisweb.pwcva.gov/arcgis/rest/services/Planning/Build_Out_Analysis/MapServer/9/query?where=GPIN IS NOT NULL&amp;outFields=*&amp;f=html (buildings joined spatially) | https://egcss.pwcgov.org/SelfService#/home</t>
        </is>
      </c>
      <c r="AG60" t="inlineStr">
        <is>
          <t>2026-09-25</t>
        </is>
      </c>
    </row>
    <row r="61">
      <c r="B61" t="n">
        <v>60</v>
      </c>
      <c r="C61" t="inlineStr">
        <is>
          <t>Redstone Tech Park South</t>
        </is>
      </c>
      <c r="D61" t="n">
        <v>2</v>
      </c>
      <c r="E61" t="inlineStr">
        <is>
          <t>ALBRITE PROPERTY</t>
        </is>
      </c>
      <c r="F61" t="inlineStr">
        <is>
          <t>PLN2007-00406</t>
        </is>
      </c>
      <c r="G61" t="inlineStr">
        <is>
          <t>PLN2007-00406; REZ1998-0006</t>
        </is>
      </c>
      <c r="H61" t="inlineStr">
        <is>
          <t>Approved / Planned</t>
        </is>
      </c>
      <c r="I61" t="inlineStr">
        <is>
          <t>Planned</t>
        </is>
      </c>
      <c r="L61" t="inlineStr">
        <is>
          <t>Rule 3: campus ProjectStatus Planned</t>
        </is>
      </c>
      <c r="M61" t="n">
        <v>18.56</v>
      </c>
      <c r="N61" t="n">
        <v>396887</v>
      </c>
      <c r="O61" t="n">
        <v>396887</v>
      </c>
      <c r="P61" t="n">
        <v>2</v>
      </c>
      <c r="Q61" t="inlineStr">
        <is>
          <t>Planned: 2</t>
        </is>
      </c>
      <c r="R61" t="n">
        <v>396887</v>
      </c>
      <c r="S61" t="inlineStr">
        <is>
          <t>Brentsville</t>
        </is>
      </c>
      <c r="T61" t="inlineStr">
        <is>
          <t>Yes</t>
        </is>
      </c>
      <c r="U61" t="inlineStr">
        <is>
          <t>M/T</t>
        </is>
      </c>
      <c r="V61" t="inlineStr">
        <is>
          <t>7595-77-5466; 7595-78-4035</t>
        </is>
      </c>
      <c r="W61" t="inlineStr">
        <is>
          <t>11101 INDUSTRIAL RD; 9512 HORNBAKER RD</t>
        </is>
      </c>
      <c r="X61" t="inlineStr">
        <is>
          <t>Redstone Tech Park South E (Planned); Redstone Tech Park South F (Planned)</t>
        </is>
      </c>
      <c r="AD61" t="inlineStr">
        <is>
          <t>39bf6af9-497e-4aa4-9660-80eefa23bf0f</t>
        </is>
      </c>
      <c r="AE61" t="inlineStr">
        <is>
          <t>Build_Out_Analysis/10 (campuses); Build_Out_Analysis/9 (buildings)</t>
        </is>
      </c>
      <c r="AF61" t="inlineStr">
        <is>
          <t>https://gisweb.pwcva.gov/arcgis/rest/services/Planning/Build_Out_Analysis/MapServer/10/76?f=html | https://gisweb.pwcva.gov/arcgis/rest/services/Planning/Build_Out_Analysis/MapServer/9/query?where=GPIN IS NOT NULL&amp;outFields=*&amp;f=html (buildings joined spatially)</t>
        </is>
      </c>
      <c r="AG61" t="inlineStr">
        <is>
          <t>2026-09-25</t>
        </is>
      </c>
    </row>
    <row r="62">
      <c r="B62" t="n">
        <v>61</v>
      </c>
      <c r="C62" t="inlineStr">
        <is>
          <t>Rose East/West</t>
        </is>
      </c>
      <c r="D62" t="n">
        <v>3</v>
      </c>
      <c r="E62" t="inlineStr">
        <is>
          <t>WELLINGTON BUSINESS PARK</t>
        </is>
      </c>
      <c r="F62" t="inlineStr">
        <is>
          <t>PLN2004-00071</t>
        </is>
      </c>
      <c r="G62" t="inlineStr">
        <is>
          <t>PLN2004-00071</t>
        </is>
      </c>
      <c r="H62" t="inlineStr">
        <is>
          <t>Approved / Planned</t>
        </is>
      </c>
      <c r="I62" t="inlineStr">
        <is>
          <t>Planned</t>
        </is>
      </c>
      <c r="L62" t="inlineStr">
        <is>
          <t>Rule 3: campus ProjectStatus Planned</t>
        </is>
      </c>
      <c r="M62" t="n">
        <v>34.8</v>
      </c>
      <c r="N62" t="n">
        <v>622186</v>
      </c>
      <c r="O62" t="n">
        <v>622186</v>
      </c>
      <c r="P62" t="n">
        <v>3</v>
      </c>
      <c r="Q62" t="inlineStr">
        <is>
          <t>Planned: 3</t>
        </is>
      </c>
      <c r="R62" t="n">
        <v>868254</v>
      </c>
      <c r="S62" t="inlineStr">
        <is>
          <t>Brentsville</t>
        </is>
      </c>
      <c r="T62" t="inlineStr">
        <is>
          <t>Yes</t>
        </is>
      </c>
      <c r="U62" t="inlineStr">
        <is>
          <t>M/T</t>
        </is>
      </c>
      <c r="V62" t="inlineStr">
        <is>
          <t>7596-09-7967</t>
        </is>
      </c>
      <c r="W62" t="inlineStr">
        <is>
          <t>6895 WELLINGTON RD; 7911 MERRIFIELD GARDEN WAY MANASSAS, VA</t>
        </is>
      </c>
      <c r="X62" t="inlineStr">
        <is>
          <t>Rose East A (Planned); Rose East B (Planned); Rose West (Planned)</t>
        </is>
      </c>
      <c r="AD62" t="inlineStr">
        <is>
          <t>1f3ea70c-725c-49a2-8f29-2492ed6a5e27</t>
        </is>
      </c>
      <c r="AE62" t="inlineStr">
        <is>
          <t>Build_Out_Analysis/10 (campuses); Build_Out_Analysis/9 (buildings)</t>
        </is>
      </c>
      <c r="AF62" t="inlineStr">
        <is>
          <t>https://gisweb.pwcva.gov/arcgis/rest/services/Planning/Build_Out_Analysis/MapServer/10/66?f=html | https://gisweb.pwcva.gov/arcgis/rest/services/Planning/Build_Out_Analysis/MapServer/9/query?where=GPIN IS NOT NULL&amp;outFields=*&amp;f=html (buildings joined spatially)</t>
        </is>
      </c>
      <c r="AG62" t="inlineStr">
        <is>
          <t>2026-09-25</t>
        </is>
      </c>
    </row>
    <row r="63">
      <c r="B63" t="n">
        <v>62</v>
      </c>
      <c r="C63" t="inlineStr">
        <is>
          <t>Stack Northern Virginia NVA05</t>
        </is>
      </c>
      <c r="D63" t="n">
        <v>1</v>
      </c>
      <c r="E63" t="inlineStr">
        <is>
          <t>Stoneview</t>
        </is>
      </c>
      <c r="F63" t="inlineStr">
        <is>
          <t>REZ2023-00026</t>
        </is>
      </c>
      <c r="G63" t="inlineStr">
        <is>
          <t>REZ2023-00026</t>
        </is>
      </c>
      <c r="H63" t="inlineStr">
        <is>
          <t>Approved / Planned</t>
        </is>
      </c>
      <c r="I63" t="inlineStr">
        <is>
          <t>Planned</t>
        </is>
      </c>
      <c r="K63" t="inlineStr">
        <is>
          <t>Approved</t>
        </is>
      </c>
      <c r="L63" t="inlineStr">
        <is>
          <t>Rule 3: campus ProjectStatus Planned</t>
        </is>
      </c>
      <c r="M63" t="n">
        <v>12.37</v>
      </c>
      <c r="N63" t="n">
        <v>326500</v>
      </c>
      <c r="O63" t="n">
        <v>326500</v>
      </c>
      <c r="P63" t="n">
        <v>1</v>
      </c>
      <c r="Q63" t="inlineStr">
        <is>
          <t>Planned: 1</t>
        </is>
      </c>
      <c r="R63" t="n">
        <v>326500</v>
      </c>
      <c r="S63" t="inlineStr">
        <is>
          <t>Brentsville</t>
        </is>
      </c>
      <c r="T63" t="inlineStr">
        <is>
          <t>Yes</t>
        </is>
      </c>
      <c r="U63" t="inlineStr">
        <is>
          <t>M-2</t>
        </is>
      </c>
      <c r="V63" t="inlineStr">
        <is>
          <t>7696-33-1105</t>
        </is>
      </c>
      <c r="W63" t="inlineStr">
        <is>
          <t>8671 WELLINGTON RD</t>
        </is>
      </c>
      <c r="X63" t="inlineStr">
        <is>
          <t>Stack Northern Virginia NVA05E (Planned)</t>
        </is>
      </c>
      <c r="AB63" t="inlineStr">
        <is>
          <t>REZ2023-00026 [Rezoning - Non-Residential; Approved; case number]</t>
        </is>
      </c>
      <c r="AD63" t="inlineStr">
        <is>
          <t>3f012be5-4a81-4341-8710-e239efdb3b1e</t>
        </is>
      </c>
      <c r="AE63" t="inlineStr">
        <is>
          <t>Build_Out_Analysis/10 (campuses); Build_Out_Analysis/9 (buildings); ePortal</t>
        </is>
      </c>
      <c r="AF63" t="inlineStr">
        <is>
          <t>https://gisweb.pwcva.gov/arcgis/rest/services/Planning/Build_Out_Analysis/MapServer/10/18?f=html | https://gisweb.pwcva.gov/arcgis/rest/services/Planning/Build_Out_Analysis/MapServer/9/query?where=GPIN IS NOT NULL&amp;outFields=*&amp;f=html (buildings joined spatially) | https://egcss.pwcgov.org/SelfService#/home</t>
        </is>
      </c>
      <c r="AG63" t="inlineStr">
        <is>
          <t>2026-09-25</t>
        </is>
      </c>
    </row>
    <row r="64">
      <c r="B64" t="n">
        <v>63</v>
      </c>
      <c r="C64" t="inlineStr">
        <is>
          <t>Sudley Manor North</t>
        </is>
      </c>
      <c r="D64" t="n">
        <v>1</v>
      </c>
      <c r="E64" t="inlineStr">
        <is>
          <t>11951 Sudley Manor Drive</t>
        </is>
      </c>
      <c r="F64" t="inlineStr">
        <is>
          <t>REZ2020-00010</t>
        </is>
      </c>
      <c r="G64" t="inlineStr">
        <is>
          <t>REZ2020-00010</t>
        </is>
      </c>
      <c r="H64" t="inlineStr">
        <is>
          <t>Approved / Planned</t>
        </is>
      </c>
      <c r="I64" t="inlineStr">
        <is>
          <t>Planned</t>
        </is>
      </c>
      <c r="K64" t="inlineStr">
        <is>
          <t>Approved</t>
        </is>
      </c>
      <c r="L64" t="inlineStr">
        <is>
          <t>Rule 3: campus ProjectStatus Planned</t>
        </is>
      </c>
      <c r="M64" t="n">
        <v>19.27</v>
      </c>
      <c r="N64" t="n">
        <v>417960</v>
      </c>
      <c r="O64" t="n">
        <v>417960</v>
      </c>
      <c r="P64" t="n">
        <v>1</v>
      </c>
      <c r="Q64" t="inlineStr">
        <is>
          <t>Planned: 1</t>
        </is>
      </c>
      <c r="R64" t="n">
        <v>417960</v>
      </c>
      <c r="S64" t="inlineStr">
        <is>
          <t>Brentsville</t>
        </is>
      </c>
      <c r="T64" t="inlineStr">
        <is>
          <t>Yes</t>
        </is>
      </c>
      <c r="U64" t="inlineStr">
        <is>
          <t>PBD</t>
        </is>
      </c>
      <c r="V64" t="inlineStr">
        <is>
          <t>7596-43-9061</t>
        </is>
      </c>
      <c r="W64" t="inlineStr">
        <is>
          <t>11950 SUDLEY MANOR DR</t>
        </is>
      </c>
      <c r="X64" t="inlineStr">
        <is>
          <t>Sudley Manor North (Planned)</t>
        </is>
      </c>
      <c r="AB64" t="inlineStr">
        <is>
          <t>REZ2020-00010 [Rezoning - Non-Residential; Approved; case number]; SPR2027-00078 [Site Plan - Final; Pending; GPIN (building parcel)]</t>
        </is>
      </c>
      <c r="AC64" t="inlineStr">
        <is>
          <t>SPR2027-00078 (Pending)</t>
        </is>
      </c>
      <c r="AD64" t="inlineStr">
        <is>
          <t>c31952ca-2934-4acc-ab29-9db4ec01e339</t>
        </is>
      </c>
      <c r="AE64" t="inlineStr">
        <is>
          <t>Build_Out_Analysis/10 (campuses); Build_Out_Analysis/9 (buildings); ePortal</t>
        </is>
      </c>
      <c r="AF64" t="inlineStr">
        <is>
          <t>https://gisweb.pwcva.gov/arcgis/rest/services/Planning/Build_Out_Analysis/MapServer/10/562?f=html | https://gisweb.pwcva.gov/arcgis/rest/services/Planning/Build_Out_Analysis/MapServer/9/query?where=GPIN IS NOT NULL&amp;outFields=*&amp;f=html (buildings joined spatially) | https://egcss.pwcgov.org/SelfService#/home</t>
        </is>
      </c>
      <c r="AG64" t="inlineStr">
        <is>
          <t>2026-09-25</t>
        </is>
      </c>
    </row>
    <row r="65">
      <c r="B65" t="n">
        <v>64</v>
      </c>
      <c r="C65" t="inlineStr">
        <is>
          <t>Wellington Glen Technology Park</t>
        </is>
      </c>
      <c r="D65" t="n">
        <v>1</v>
      </c>
      <c r="E65" t="inlineStr">
        <is>
          <t>Wellington Glen Technology Park</t>
        </is>
      </c>
      <c r="F65" t="inlineStr">
        <is>
          <t>REZ2024-00018</t>
        </is>
      </c>
      <c r="G65" t="inlineStr">
        <is>
          <t>REZ2024-00018</t>
        </is>
      </c>
      <c r="H65" t="inlineStr">
        <is>
          <t>Approved / Planned</t>
        </is>
      </c>
      <c r="I65" t="inlineStr">
        <is>
          <t>Planned</t>
        </is>
      </c>
      <c r="K65" t="inlineStr">
        <is>
          <t>Approved</t>
        </is>
      </c>
      <c r="L65" t="inlineStr">
        <is>
          <t>Rule 3: campus ProjectStatus Planned</t>
        </is>
      </c>
      <c r="M65" t="n">
        <v>27.73</v>
      </c>
      <c r="N65" t="n">
        <v>673198</v>
      </c>
      <c r="O65" t="n">
        <v>673198</v>
      </c>
      <c r="P65" t="n">
        <v>1</v>
      </c>
      <c r="Q65" t="inlineStr">
        <is>
          <t>Planned: 1</t>
        </is>
      </c>
      <c r="R65" t="n">
        <v>475000</v>
      </c>
      <c r="S65" t="inlineStr">
        <is>
          <t>Brentsville</t>
        </is>
      </c>
      <c r="T65" t="inlineStr">
        <is>
          <t>Yes</t>
        </is>
      </c>
      <c r="U65" t="inlineStr">
        <is>
          <t>PMD</t>
        </is>
      </c>
      <c r="V65" t="inlineStr">
        <is>
          <t>7596-54-4132</t>
        </is>
      </c>
      <c r="W65" t="inlineStr">
        <is>
          <t>11750 STONE CROP DR</t>
        </is>
      </c>
      <c r="X65" t="inlineStr">
        <is>
          <t>Wellington Glen Technology Park (Planned)</t>
        </is>
      </c>
      <c r="AB65" t="inlineStr">
        <is>
          <t>REZ2024-00018 [Rezoning - Proffer Amendment; Approved; case number]; SPR2026-00052 [Site Plan - Grading/Preconstruction Plan; Approved; GPIN (building parcel)]; SPR2026-00138 [Site Plan - Final; Pending; GPIN (building parcel)]</t>
        </is>
      </c>
      <c r="AC65" t="inlineStr">
        <is>
          <t>SPR2026-00138 (Pending)</t>
        </is>
      </c>
      <c r="AD65" t="inlineStr">
        <is>
          <t>3698201f-36be-463f-bc8c-a11881726c77</t>
        </is>
      </c>
      <c r="AE65" t="inlineStr">
        <is>
          <t>Build_Out_Analysis/10 (campuses); Build_Out_Analysis/9 (buildings); ePortal</t>
        </is>
      </c>
      <c r="AF65" t="inlineStr">
        <is>
          <t>https://gisweb.pwcva.gov/arcgis/rest/services/Planning/Build_Out_Analysis/MapServer/10/20?f=html | https://gisweb.pwcva.gov/arcgis/rest/services/Planning/Build_Out_Analysis/MapServer/9/query?where=GPIN IS NOT NULL&amp;outFields=*&amp;f=html (buildings joined spatially) | https://egcss.pwcgov.org/SelfService#/home</t>
        </is>
      </c>
      <c r="AG65" t="inlineStr">
        <is>
          <t>2026-09-25</t>
        </is>
      </c>
    </row>
    <row r="66">
      <c r="B66" t="n">
        <v>65</v>
      </c>
      <c r="C66" t="inlineStr">
        <is>
          <t>Yondr Bristow</t>
        </is>
      </c>
      <c r="D66" t="n">
        <v>4</v>
      </c>
      <c r="E66" t="inlineStr">
        <is>
          <t>Aura Development</t>
        </is>
      </c>
      <c r="F66" t="inlineStr">
        <is>
          <t>REZ2017-00023</t>
        </is>
      </c>
      <c r="G66" t="inlineStr">
        <is>
          <t>REZ2017-00023</t>
        </is>
      </c>
      <c r="H66" t="inlineStr">
        <is>
          <t>Approved / Planned</t>
        </is>
      </c>
      <c r="I66" t="inlineStr">
        <is>
          <t>Planned</t>
        </is>
      </c>
      <c r="K66" t="inlineStr">
        <is>
          <t>Approved</t>
        </is>
      </c>
      <c r="L66" t="inlineStr">
        <is>
          <t>Rule 3: campus ProjectStatus Planned</t>
        </is>
      </c>
      <c r="M66" t="n">
        <v>253.56</v>
      </c>
      <c r="N66" t="n">
        <v>1068986</v>
      </c>
      <c r="O66" t="n">
        <v>455876</v>
      </c>
      <c r="P66" t="n">
        <v>4</v>
      </c>
      <c r="Q66" t="inlineStr">
        <is>
          <t>Completed: 3; Planned: 1</t>
        </is>
      </c>
      <c r="R66" t="n">
        <v>1068986</v>
      </c>
      <c r="S66" t="inlineStr">
        <is>
          <t>Brentsville</t>
        </is>
      </c>
      <c r="T66" t="inlineStr">
        <is>
          <t>Yes</t>
        </is>
      </c>
      <c r="U66" t="inlineStr">
        <is>
          <t>M-2</t>
        </is>
      </c>
      <c r="V66" t="inlineStr">
        <is>
          <t>7496-47-2405</t>
        </is>
      </c>
      <c r="W66" t="inlineStr">
        <is>
          <t>13040 ROLLINS FORD RD; 13051 ROLLINS FORD RD; 13080 ROLLINS FORD RD; 13085 ROLLINS FORD RD</t>
        </is>
      </c>
      <c r="X66" t="inlineStr">
        <is>
          <t>Yondr Bristow Campus Building 1 (Completed); Yondr Bristow Campus Building 2 (Completed); Yondr Bristow Campus Building 3 (Completed); Yondr Bristow Campus Building 4 (Planned)</t>
        </is>
      </c>
      <c r="Y66" t="inlineStr">
        <is>
          <t>BLD2022-03616 (Finaled); BLD2023-01345 (Finaled); BLD2023-04428 (Finaled); BLD2027-01529 (Planned)</t>
        </is>
      </c>
      <c r="AB66" t="inlineStr">
        <is>
          <t>REZ2017-00023 [Rezoning - Mixed Use; Approved; case number]</t>
        </is>
      </c>
      <c r="AD66" t="inlineStr">
        <is>
          <t>635db761-516c-4b17-8de3-4283b79a94da</t>
        </is>
      </c>
      <c r="AE66" t="inlineStr">
        <is>
          <t>Build_Out_Analysis/10 (campuses); Build_Out_Analysis/9 (buildings); ePortal</t>
        </is>
      </c>
      <c r="AF66" t="inlineStr">
        <is>
          <t>https://gisweb.pwcva.gov/arcgis/rest/services/Planning/Build_Out_Analysis/MapServer/10/11?f=html | https://gisweb.pwcva.gov/arcgis/rest/services/Planning/Build_Out_Analysis/MapServer/9/query?where=GPIN IS NOT NULL&amp;outFields=*&amp;f=html (buildings joined spatially) | https://egcss.pwcgov.org/SelfService#/home</t>
        </is>
      </c>
      <c r="AG66" t="inlineStr">
        <is>
          <t>2026-10-01</t>
        </is>
      </c>
      <c r="AH66" t="inlineStr">
        <is>
          <t>3 building(s) already Completed on this campus</t>
        </is>
      </c>
    </row>
    <row r="67">
      <c r="B67" t="n">
        <v>66</v>
      </c>
      <c r="C67" t="inlineStr">
        <is>
          <t>Ashton Data Center</t>
        </is>
      </c>
      <c r="D67" t="n">
        <v>2</v>
      </c>
      <c r="E67" t="inlineStr">
        <is>
          <t>Ashton Data Center</t>
        </is>
      </c>
      <c r="F67" t="inlineStr">
        <is>
          <t>REZ2022-00031</t>
        </is>
      </c>
      <c r="G67" t="inlineStr">
        <is>
          <t>REZ2022-00031</t>
        </is>
      </c>
      <c r="H67" t="inlineStr">
        <is>
          <t>Pending / Under Review</t>
        </is>
      </c>
      <c r="I67" t="inlineStr">
        <is>
          <t>Pending</t>
        </is>
      </c>
      <c r="J67" t="inlineStr">
        <is>
          <t>Pending</t>
        </is>
      </c>
      <c r="K67" t="inlineStr">
        <is>
          <t>Pending</t>
        </is>
      </c>
      <c r="L67" t="inlineStr">
        <is>
          <t>Rule 4: campus ProjectStatus Pending + pending-case layer Pending</t>
        </is>
      </c>
      <c r="M67" t="n">
        <v>51.8</v>
      </c>
      <c r="N67" t="n">
        <v>600000</v>
      </c>
      <c r="O67" t="n">
        <v>600000</v>
      </c>
      <c r="P67" t="n">
        <v>2</v>
      </c>
      <c r="Q67" t="inlineStr">
        <is>
          <t>Pending: 2</t>
        </is>
      </c>
      <c r="R67" t="n">
        <v>600000</v>
      </c>
      <c r="S67" t="inlineStr">
        <is>
          <t>Brentsville</t>
        </is>
      </c>
      <c r="T67" t="inlineStr">
        <is>
          <t>Yes</t>
        </is>
      </c>
      <c r="U67" t="inlineStr">
        <is>
          <t>M/T</t>
        </is>
      </c>
      <c r="V67" t="inlineStr">
        <is>
          <t>7696-46-3403</t>
        </is>
      </c>
      <c r="W67" t="inlineStr">
        <is>
          <t>8552 ASHTON AVE</t>
        </is>
      </c>
      <c r="X67" t="inlineStr">
        <is>
          <t>Ashton Data Center 1 (Pending); Ashton Data Center 2 (Pending)</t>
        </is>
      </c>
      <c r="Z67" t="inlineStr">
        <is>
          <t>REZ2022-00031 [REZ; Pending; case number]</t>
        </is>
      </c>
      <c r="AB67" t="inlineStr">
        <is>
          <t>REZ2022-00031 [Rezoning - Non-Residential; Pending; case number]</t>
        </is>
      </c>
      <c r="AD67" t="inlineStr">
        <is>
          <t>f322379d-0301-4028-9ba5-e23724a6cb51</t>
        </is>
      </c>
      <c r="AE67" t="inlineStr">
        <is>
          <t>Build_Out_Analysis/10 (campuses); Build_Out_Analysis/9 (buildings); CountyMapper/LandDevelopment/2 (pending cases); ePortal</t>
        </is>
      </c>
      <c r="AF67" t="inlineStr">
        <is>
          <t>https://gisweb.pwcva.gov/arcgis/rest/services/Planning/Build_Out_Analysis/MapServer/10/17?f=html | https://gisweb.pwcva.gov/arcgis/rest/services/Planning/Build_Out_Analysis/MapServer/9/query?where=GPIN IS NOT NULL&amp;outFields=*&amp;f=html (buildings joined spatially) | https://gisweb.pwcva.gov/arcgis/rest/services/CountyMapper/LandDevelopment/MapServer/2 | https://egcss.pwcgov.org/SelfService#/home</t>
        </is>
      </c>
      <c r="AG67" t="inlineStr">
        <is>
          <t>2026-09-25</t>
        </is>
      </c>
    </row>
    <row r="68">
      <c r="B68" t="n">
        <v>67</v>
      </c>
      <c r="C68" t="inlineStr">
        <is>
          <t>Atlantic Funding</t>
        </is>
      </c>
      <c r="D68" t="n">
        <v>3</v>
      </c>
      <c r="E68" t="inlineStr">
        <is>
          <t>Atlantic Funding Development PRA</t>
        </is>
      </c>
      <c r="F68" t="inlineStr">
        <is>
          <t>REZ2026-00041</t>
        </is>
      </c>
      <c r="G68" t="inlineStr">
        <is>
          <t>REZ2026-00041; SUP2026-00033</t>
        </is>
      </c>
      <c r="H68" t="inlineStr">
        <is>
          <t>Pending / Under Review</t>
        </is>
      </c>
      <c r="I68" t="inlineStr">
        <is>
          <t>Pending</t>
        </is>
      </c>
      <c r="J68" t="inlineStr">
        <is>
          <t>Pending</t>
        </is>
      </c>
      <c r="K68" t="inlineStr">
        <is>
          <t>Pending</t>
        </is>
      </c>
      <c r="L68" t="inlineStr">
        <is>
          <t>Rule 4: campus ProjectStatus Pending + pending-case layer Pending</t>
        </is>
      </c>
      <c r="M68" t="n">
        <v>61.48</v>
      </c>
      <c r="N68" t="n">
        <v>601882</v>
      </c>
      <c r="O68" t="n">
        <v>601882</v>
      </c>
      <c r="P68" t="n">
        <v>3</v>
      </c>
      <c r="Q68" t="inlineStr">
        <is>
          <t>Pending: 3</t>
        </is>
      </c>
      <c r="R68" t="n">
        <v>601881</v>
      </c>
      <c r="S68" t="inlineStr">
        <is>
          <t>Potomac</t>
        </is>
      </c>
      <c r="T68" t="inlineStr">
        <is>
          <t>No</t>
        </is>
      </c>
      <c r="U68" t="inlineStr">
        <is>
          <t>M-2</t>
        </is>
      </c>
      <c r="V68" t="inlineStr">
        <is>
          <t>8290-03-9812</t>
        </is>
      </c>
      <c r="W68" t="inlineStr">
        <is>
          <t>16251 DUMFRIES ROAD</t>
        </is>
      </c>
      <c r="X68" t="inlineStr">
        <is>
          <t>Atlantic Funding 1 (Pending); Atlantic Funding 2 (Pending); Atlantic Funding 3 (Pending)</t>
        </is>
      </c>
      <c r="Z68" t="inlineStr">
        <is>
          <t>REZ2026-00041 [PRA; Pending; case number]; SUP2026-00033 [SUP; Pending; name exact (companion case, not keyword)]</t>
        </is>
      </c>
      <c r="AB68" t="inlineStr">
        <is>
          <t>REZ2026-00041 [Rezoning - Proffer Amendment; Pending; case number]; SUP2026-00033 [Special Use Permit - New Application; Pending; GPIN (building parcel)]</t>
        </is>
      </c>
      <c r="AD68" t="inlineStr">
        <is>
          <t>0a28badf-2c7c-4bea-bc19-d2b3e102f33d</t>
        </is>
      </c>
      <c r="AE68" t="inlineStr">
        <is>
          <t>Build_Out_Analysis/10 (campuses); Build_Out_Analysis/9 (buildings); CountyMapper/LandDevelopment/2 (pending cases); ePortal</t>
        </is>
      </c>
      <c r="AF68" t="inlineStr">
        <is>
          <t>https://gisweb.pwcva.gov/arcgis/rest/services/Planning/Build_Out_Analysis/MapServer/10/128?f=html | https://gisweb.pwcva.gov/arcgis/rest/services/Planning/Build_Out_Analysis/MapServer/9/query?where=GPIN IS NOT NULL&amp;outFields=*&amp;f=html (buildings joined spatially) | https://gisweb.pwcva.gov/arcgis/rest/services/CountyMapper/LandDevelopment/MapServer/2 | https://egcss.pwcgov.org/SelfService#/home</t>
        </is>
      </c>
      <c r="AG68" t="inlineStr">
        <is>
          <t>2026-09-25</t>
        </is>
      </c>
    </row>
    <row r="69">
      <c r="B69" t="n">
        <v>68</v>
      </c>
      <c r="C69" t="inlineStr">
        <is>
          <t>CloudHQ Manassas Corporate Center (MCC)</t>
        </is>
      </c>
      <c r="D69" t="n">
        <v>1</v>
      </c>
      <c r="E69" t="inlineStr">
        <is>
          <t>Manassas Corporate Center 8</t>
        </is>
      </c>
      <c r="F69" t="inlineStr">
        <is>
          <t>REZ2026-00032</t>
        </is>
      </c>
      <c r="G69" t="inlineStr">
        <is>
          <t>REZ2026-00032</t>
        </is>
      </c>
      <c r="H69" t="inlineStr">
        <is>
          <t>Pending / Under Review</t>
        </is>
      </c>
      <c r="I69" t="inlineStr">
        <is>
          <t>Pending</t>
        </is>
      </c>
      <c r="J69" t="inlineStr">
        <is>
          <t>Pending</t>
        </is>
      </c>
      <c r="K69" t="inlineStr">
        <is>
          <t>Pending</t>
        </is>
      </c>
      <c r="L69" t="inlineStr">
        <is>
          <t>Rule 4: campus ProjectStatus Pending + pending-case layer Pending</t>
        </is>
      </c>
      <c r="M69" t="n">
        <v>22.96</v>
      </c>
      <c r="N69" t="n">
        <v>860788</v>
      </c>
      <c r="O69" t="n">
        <v>860788</v>
      </c>
      <c r="P69" t="n">
        <v>1</v>
      </c>
      <c r="Q69" t="inlineStr">
        <is>
          <t>Pending: 1</t>
        </is>
      </c>
      <c r="R69" t="n">
        <v>860788</v>
      </c>
      <c r="S69" t="inlineStr">
        <is>
          <t>Coles</t>
        </is>
      </c>
      <c r="T69" t="inlineStr">
        <is>
          <t>Yes</t>
        </is>
      </c>
      <c r="U69" t="inlineStr">
        <is>
          <t>PBD</t>
        </is>
      </c>
      <c r="V69" t="inlineStr">
        <is>
          <t>7794-06-1635</t>
        </is>
      </c>
      <c r="W69" t="inlineStr">
        <is>
          <t>AIRMAN AVE</t>
        </is>
      </c>
      <c r="X69" t="inlineStr">
        <is>
          <t>CloudHQ Manassas Corporate Center 8 (Pending)</t>
        </is>
      </c>
      <c r="Z69" t="inlineStr">
        <is>
          <t>REZ2026-00032 [REZ; Pending; case number]</t>
        </is>
      </c>
      <c r="AB69" t="inlineStr">
        <is>
          <t>REZ2026-00032 [Rezoning - Mixed Use; Pending; case number]</t>
        </is>
      </c>
      <c r="AD69" t="inlineStr">
        <is>
          <t>90ca5774-aab1-4185-a26e-d3aa610f23f4</t>
        </is>
      </c>
      <c r="AE69" t="inlineStr">
        <is>
          <t>Build_Out_Analysis/10 (campuses); Build_Out_Analysis/9 (buildings); CountyMapper/LandDevelopment/2 (pending cases); ePortal</t>
        </is>
      </c>
      <c r="AF69" t="inlineStr">
        <is>
          <t>https://gisweb.pwcva.gov/arcgis/rest/services/Planning/Build_Out_Analysis/MapServer/10/50?f=html | https://gisweb.pwcva.gov/arcgis/rest/services/Planning/Build_Out_Analysis/MapServer/9/query?where=GPIN IS NOT NULL&amp;outFields=*&amp;f=html (buildings joined spatially) | https://gisweb.pwcva.gov/arcgis/rest/services/CountyMapper/LandDevelopment/MapServer/2 | https://egcss.pwcgov.org/SelfService#/home</t>
        </is>
      </c>
      <c r="AG69" t="inlineStr">
        <is>
          <t>2026-09-25</t>
        </is>
      </c>
    </row>
    <row r="70">
      <c r="B70" t="n">
        <v>69</v>
      </c>
      <c r="C70" t="inlineStr">
        <is>
          <t>Gardner Property</t>
        </is>
      </c>
      <c r="D70" t="n">
        <v>5</v>
      </c>
      <c r="E70" t="inlineStr">
        <is>
          <t>Gardner Property</t>
        </is>
      </c>
      <c r="F70" t="inlineStr">
        <is>
          <t>REZ2023-00018</t>
        </is>
      </c>
      <c r="G70" t="inlineStr">
        <is>
          <t>REZ2023-00018; SUP2027-00008</t>
        </is>
      </c>
      <c r="H70" t="inlineStr">
        <is>
          <t>Pending / Under Review</t>
        </is>
      </c>
      <c r="I70" t="inlineStr">
        <is>
          <t>Pending</t>
        </is>
      </c>
      <c r="J70" t="inlineStr">
        <is>
          <t>Under Review</t>
        </is>
      </c>
      <c r="K70" t="inlineStr">
        <is>
          <t>Under Review</t>
        </is>
      </c>
      <c r="L70" t="inlineStr">
        <is>
          <t>Rule 4: campus ProjectStatus Pending + pending-case layer Under Review</t>
        </is>
      </c>
      <c r="M70" t="n">
        <v>82.56999999999999</v>
      </c>
      <c r="N70" t="n">
        <v>2017100</v>
      </c>
      <c r="O70" t="n">
        <v>2017100</v>
      </c>
      <c r="P70" t="n">
        <v>5</v>
      </c>
      <c r="Q70" t="inlineStr">
        <is>
          <t>Pending: 5</t>
        </is>
      </c>
      <c r="R70" t="n">
        <v>2017100</v>
      </c>
      <c r="S70" t="inlineStr">
        <is>
          <t>Brentsville</t>
        </is>
      </c>
      <c r="T70" t="inlineStr">
        <is>
          <t>No</t>
        </is>
      </c>
      <c r="U70" t="inlineStr">
        <is>
          <t>PBD</t>
        </is>
      </c>
      <c r="V70" t="inlineStr">
        <is>
          <t>7397-34-3968</t>
        </is>
      </c>
      <c r="W70" t="inlineStr">
        <is>
          <t>14414 MCGRAWS CORNER DR</t>
        </is>
      </c>
      <c r="X70" t="inlineStr">
        <is>
          <t>Gardner Property A (Pending); Gardner Property B (Pending); Gardner Property C (Pending); Gardner Property D (Pending); Gardner Property E (Pending)</t>
        </is>
      </c>
      <c r="Z70" t="inlineStr">
        <is>
          <t>REZ2023-00018 [REZ; Under Review; case number]; SUP2027-00008 [SUP; Under Review; DC keyword; companion of REZ2023-00018 (by project name)]</t>
        </is>
      </c>
      <c r="AB70" t="inlineStr">
        <is>
          <t>REZ2023-00018 [Rezoning - Non-Residential; Under Review; case number]; SUP2027-00008 [Special Use Permit - New Application; Under Review; case number REZ2023-00018 referenced in description]</t>
        </is>
      </c>
      <c r="AD70" t="inlineStr">
        <is>
          <t>54197449-7161-4168-861a-d85676a180a3</t>
        </is>
      </c>
      <c r="AE70" t="inlineStr">
        <is>
          <t>Build_Out_Analysis/10 (campuses); Build_Out_Analysis/9 (buildings); CountyMapper/LandDevelopment/2 (pending cases); ePortal</t>
        </is>
      </c>
      <c r="AF70" t="inlineStr">
        <is>
          <t>https://gisweb.pwcva.gov/arcgis/rest/services/Planning/Build_Out_Analysis/MapServer/10/36?f=html | https://gisweb.pwcva.gov/arcgis/rest/services/Planning/Build_Out_Analysis/MapServer/9/query?where=GPIN IS NOT NULL&amp;outFields=*&amp;f=html (buildings joined spatially) | https://gisweb.pwcva.gov/arcgis/rest/services/CountyMapper/LandDevelopment/MapServer/2 | https://egcss.pwcgov.org/SelfService#/home</t>
        </is>
      </c>
      <c r="AG70" t="inlineStr">
        <is>
          <t>2026-09-25</t>
        </is>
      </c>
    </row>
    <row r="71">
      <c r="B71" t="n">
        <v>70</v>
      </c>
      <c r="C71" t="inlineStr">
        <is>
          <t>Hunter Property</t>
        </is>
      </c>
      <c r="D71" t="n">
        <v>10</v>
      </c>
      <c r="E71" t="inlineStr">
        <is>
          <t>Hunter Property</t>
        </is>
      </c>
      <c r="F71" t="inlineStr">
        <is>
          <t>REZ2022-00019</t>
        </is>
      </c>
      <c r="G71" t="inlineStr">
        <is>
          <t>REZ2022-00019; REZ2020-00022</t>
        </is>
      </c>
      <c r="H71" t="inlineStr">
        <is>
          <t>Pending / Under Review</t>
        </is>
      </c>
      <c r="I71" t="inlineStr">
        <is>
          <t>Pending</t>
        </is>
      </c>
      <c r="J71" t="inlineStr">
        <is>
          <t>Suspended (On-Hold)</t>
        </is>
      </c>
      <c r="K71" t="inlineStr">
        <is>
          <t>Suspended (On-Hold)</t>
        </is>
      </c>
      <c r="L71" t="inlineStr">
        <is>
          <t>Rule 4: campus ProjectStatus Pending + pending-case layer Suspended (On-Hold)</t>
        </is>
      </c>
      <c r="M71" t="n">
        <v>196.02</v>
      </c>
      <c r="N71" t="n">
        <v>4010000</v>
      </c>
      <c r="O71" t="n">
        <v>4010000</v>
      </c>
      <c r="P71" t="n">
        <v>10</v>
      </c>
      <c r="Q71" t="inlineStr">
        <is>
          <t>Pending: 10</t>
        </is>
      </c>
      <c r="R71" t="n">
        <v>4010000</v>
      </c>
      <c r="S71" t="inlineStr">
        <is>
          <t>Brentsville</t>
        </is>
      </c>
      <c r="T71" t="inlineStr">
        <is>
          <t>Yes</t>
        </is>
      </c>
      <c r="U71" t="inlineStr">
        <is>
          <t>M-2</t>
        </is>
      </c>
      <c r="V71" t="inlineStr">
        <is>
          <t>7496-25-7319; 7496-43-8199</t>
        </is>
      </c>
      <c r="W71" t="inlineStr">
        <is>
          <t>8505 NIMBUS PL; 8510 NIMBUS PL; 8525 NIMBUS PL; 8530 NIMBUS PL; 8545 NIMBUS PL; 8550 NIMBUS PL; 8570 NIMBUS PL; 8650 NIMBUS PL; 8670 NIMBUS PL; 8675 NIMBUS PL</t>
        </is>
      </c>
      <c r="X71" t="inlineStr">
        <is>
          <t>Hunter Property 1 (Pending); Hunter Property 10 (Pending); Hunter Property 2 (Pending); Hunter Property 3 (Pending); Hunter Property 4 (Pending); Hunter Property 5 (Pending); Hunter Property 6 (Pending); Hunter Property 7 (Pending); Hunter Property 8 (Pending); Hunter Property 9 (Pending)</t>
        </is>
      </c>
      <c r="Z71" t="inlineStr">
        <is>
          <t>REZ2022-00019 [PRA; Suspended (On-Hold); case number]</t>
        </is>
      </c>
      <c r="AB71" t="inlineStr">
        <is>
          <t>REZ2020-00022 [Rezoning - Non-Residential; Approved; name exact]; REZ2022-00019 [Rezoning - Proffer Amendment; Suspended (On-Hold); case number]; SPR2022-00287 [Site Plan - Final; Pending; GPIN (building parcel)]</t>
        </is>
      </c>
      <c r="AC71" t="inlineStr">
        <is>
          <t>SPR2022-00287 (Pending)</t>
        </is>
      </c>
      <c r="AD71" t="inlineStr">
        <is>
          <t>218df4cf-252f-4eee-8ed5-d54f470e1a3f</t>
        </is>
      </c>
      <c r="AE71" t="inlineStr">
        <is>
          <t>Build_Out_Analysis/10 (campuses); Build_Out_Analysis/9 (buildings); CountyMapper/LandDevelopment/2 (pending cases); ePortal</t>
        </is>
      </c>
      <c r="AF71" t="inlineStr">
        <is>
          <t>https://gisweb.pwcva.gov/arcgis/rest/services/Planning/Build_Out_Analysis/MapServer/10/6?f=html | https://gisweb.pwcva.gov/arcgis/rest/services/Planning/Build_Out_Analysis/MapServer/9/query?where=GPIN IS NOT NULL&amp;outFields=*&amp;f=html (buildings joined spatially) | https://gisweb.pwcva.gov/arcgis/rest/services/CountyMapper/LandDevelopment/MapServer/2 | https://egcss.pwcgov.org/SelfService#/home</t>
        </is>
      </c>
      <c r="AG71" t="inlineStr">
        <is>
          <t>2026-09-25</t>
        </is>
      </c>
    </row>
    <row r="72">
      <c r="B72" t="n">
        <v>71</v>
      </c>
      <c r="C72" t="inlineStr">
        <is>
          <t>Madera Farm</t>
        </is>
      </c>
      <c r="D72" t="n">
        <v>0</v>
      </c>
      <c r="E72" t="inlineStr">
        <is>
          <t>Madera Farm SUP</t>
        </is>
      </c>
      <c r="F72" t="inlineStr">
        <is>
          <t>REZ2025-00007</t>
        </is>
      </c>
      <c r="G72" t="inlineStr">
        <is>
          <t>REZ2025-00007; SUP2027-00002</t>
        </is>
      </c>
      <c r="H72" t="inlineStr">
        <is>
          <t>Pending / Under Review</t>
        </is>
      </c>
      <c r="J72" t="inlineStr">
        <is>
          <t>REZ2025-00007: Pending; SUP2027-00002: Pending</t>
        </is>
      </c>
      <c r="K72" t="inlineStr">
        <is>
          <t>REZ2025-00007: Pending; SUP2027-00002: Pending</t>
        </is>
      </c>
      <c r="L72" t="inlineStr">
        <is>
          <t>ePortal legislative case open (not in campus layer)</t>
        </is>
      </c>
      <c r="M72" t="n">
        <v>229.15</v>
      </c>
      <c r="S72" t="inlineStr">
        <is>
          <t>Brentsville</t>
        </is>
      </c>
      <c r="V72" t="inlineStr">
        <is>
          <t>7493-16-9464; 7493-24-3469</t>
        </is>
      </c>
      <c r="W72" t="inlineStr">
        <is>
          <t>13213 FARMVIEW RD NOKESVILLE VA 20181; 13250 WARRENTON RD NOKESVILLE VA 20181</t>
        </is>
      </c>
      <c r="Z72" t="inlineStr">
        <is>
          <t>REZ2025-00007 [REZ; Pending]; SUP2027-00002 [SUP; Pending]</t>
        </is>
      </c>
      <c r="AB72" t="inlineStr">
        <is>
          <t>REZ2025-00007 [Rezoning - Non-Residential; Pending; applied 2024-09-17]; SUP2027-00002 [Special Use Permit - New Application; Pending; applied 2026-07-31]</t>
        </is>
      </c>
      <c r="AE72" t="inlineStr">
        <is>
          <t>ePortal (EnerGov SelfService); CountyMapper/LandDevelopment/2 (pending cases)</t>
        </is>
      </c>
      <c r="AF72" t="inlineStr">
        <is>
          <t>https://egcss.pwcgov.org/SelfService#/home | https://gisweb.pwcva.gov/arcgis/rest/services/CountyMapper/LandDevelopment/MapServer/2</t>
        </is>
      </c>
      <c r="AH72" t="inlineStr">
        <is>
          <t>Not in campus layer; acreage/GFA/district not in ePortal search fields (blank)</t>
        </is>
      </c>
    </row>
    <row r="73">
      <c r="B73" t="n">
        <v>72</v>
      </c>
      <c r="C73" t="inlineStr">
        <is>
          <t>Project Industry</t>
        </is>
      </c>
      <c r="D73" t="n">
        <v>2</v>
      </c>
      <c r="E73" t="inlineStr">
        <is>
          <t>Project Industry</t>
        </is>
      </c>
      <c r="F73" t="inlineStr">
        <is>
          <t>REZ2025-00003</t>
        </is>
      </c>
      <c r="G73" t="inlineStr">
        <is>
          <t>REZ2025-00003</t>
        </is>
      </c>
      <c r="H73" t="inlineStr">
        <is>
          <t>Pending / Under Review</t>
        </is>
      </c>
      <c r="I73" t="inlineStr">
        <is>
          <t>Pending</t>
        </is>
      </c>
      <c r="J73" t="inlineStr">
        <is>
          <t>Deferred</t>
        </is>
      </c>
      <c r="K73" t="inlineStr">
        <is>
          <t>Deferred</t>
        </is>
      </c>
      <c r="L73" t="inlineStr">
        <is>
          <t>Rule 4: campus ProjectStatus Pending + pending-case layer Deferred</t>
        </is>
      </c>
      <c r="M73" t="n">
        <v>42.2</v>
      </c>
      <c r="N73" t="n">
        <v>643390</v>
      </c>
      <c r="O73" t="n">
        <v>643390</v>
      </c>
      <c r="P73" t="n">
        <v>2</v>
      </c>
      <c r="Q73" t="inlineStr">
        <is>
          <t>Pending: 2</t>
        </is>
      </c>
      <c r="R73" t="n">
        <v>343516</v>
      </c>
      <c r="S73" t="inlineStr">
        <is>
          <t>Brentsville</t>
        </is>
      </c>
      <c r="T73" t="inlineStr">
        <is>
          <t>Yes</t>
        </is>
      </c>
      <c r="U73" t="inlineStr">
        <is>
          <t>M/T</t>
        </is>
      </c>
      <c r="V73" t="inlineStr">
        <is>
          <t>7496-58-0951; 7496-58-4088</t>
        </is>
      </c>
      <c r="W73" t="inlineStr">
        <is>
          <t>8010 INDUSTRIAL PARK CT; 8021 INDUSTRIAL PARK CT</t>
        </is>
      </c>
      <c r="X73" t="inlineStr">
        <is>
          <t>Project Industry A (Pending); Project Industry B (Pending)</t>
        </is>
      </c>
      <c r="Z73" t="inlineStr">
        <is>
          <t>REZ2025-00003 [REZ; Deferred; case number]</t>
        </is>
      </c>
      <c r="AB73" t="inlineStr">
        <is>
          <t>REZ2025-00003 [Rezoning - Non-Residential; Deferred; case number]; SPR2026-00265 [Site Plan - Final; Pending; name exact]</t>
        </is>
      </c>
      <c r="AC73" t="inlineStr">
        <is>
          <t>SPR2026-00265 (Pending)</t>
        </is>
      </c>
      <c r="AD73" t="inlineStr">
        <is>
          <t>71a5c10e-0a22-4286-a5c9-b05bff0d3e5f</t>
        </is>
      </c>
      <c r="AE73" t="inlineStr">
        <is>
          <t>Build_Out_Analysis/10 (campuses); Build_Out_Analysis/9 (buildings); CountyMapper/LandDevelopment/2 (pending cases); ePortal</t>
        </is>
      </c>
      <c r="AF73" t="inlineStr">
        <is>
          <t>https://gisweb.pwcva.gov/arcgis/rest/services/Planning/Build_Out_Analysis/MapServer/10/57?f=html | https://gisweb.pwcva.gov/arcgis/rest/services/Planning/Build_Out_Analysis/MapServer/9/query?where=GPIN IS NOT NULL&amp;outFields=*&amp;f=html (buildings joined spatially) | https://gisweb.pwcva.gov/arcgis/rest/services/CountyMapper/LandDevelopment/MapServer/2 | https://egcss.pwcgov.org/SelfService#/home</t>
        </is>
      </c>
      <c r="AG73" t="inlineStr">
        <is>
          <t>2026-09-25</t>
        </is>
      </c>
    </row>
    <row r="74">
      <c r="B74" t="n">
        <v>73</v>
      </c>
      <c r="C74" t="inlineStr">
        <is>
          <t>Six Towers Industrial Park</t>
        </is>
      </c>
      <c r="D74" t="n">
        <v>2</v>
      </c>
      <c r="E74" t="inlineStr">
        <is>
          <t>Six Towers Industrial Park</t>
        </is>
      </c>
      <c r="F74" t="inlineStr">
        <is>
          <t>REZ2026-00019</t>
        </is>
      </c>
      <c r="G74" t="inlineStr">
        <is>
          <t>REZ2026-00019; REZ2026-00017</t>
        </is>
      </c>
      <c r="H74" t="inlineStr">
        <is>
          <t>Pending / Under Review</t>
        </is>
      </c>
      <c r="I74" t="inlineStr">
        <is>
          <t>Pending</t>
        </is>
      </c>
      <c r="J74" t="inlineStr">
        <is>
          <t>Under Review</t>
        </is>
      </c>
      <c r="K74" t="inlineStr">
        <is>
          <t>Under Review</t>
        </is>
      </c>
      <c r="L74" t="inlineStr">
        <is>
          <t>Rule 4: campus ProjectStatus Pending + pending-case layer Under Review</t>
        </is>
      </c>
      <c r="M74" t="n">
        <v>23.6</v>
      </c>
      <c r="N74" t="n">
        <v>945252</v>
      </c>
      <c r="O74" t="n">
        <v>945252</v>
      </c>
      <c r="P74" t="n">
        <v>2</v>
      </c>
      <c r="Q74" t="inlineStr">
        <is>
          <t>Pending: 2</t>
        </is>
      </c>
      <c r="R74" t="n">
        <v>945252</v>
      </c>
      <c r="S74" t="inlineStr">
        <is>
          <t>Coles</t>
        </is>
      </c>
      <c r="T74" t="inlineStr">
        <is>
          <t>Yes</t>
        </is>
      </c>
      <c r="U74" t="inlineStr">
        <is>
          <t>PBD</t>
        </is>
      </c>
      <c r="V74" t="inlineStr">
        <is>
          <t>7892-50-1385</t>
        </is>
      </c>
      <c r="W74" t="inlineStr">
        <is>
          <t>7830 SIX TOWERS RD</t>
        </is>
      </c>
      <c r="X74" t="inlineStr">
        <is>
          <t>Six Towers 1 (Pending); Six Towers 2 (Pending)</t>
        </is>
      </c>
      <c r="Z74" t="inlineStr">
        <is>
          <t>REZ2026-00019 [REZ; Under Review; case number]</t>
        </is>
      </c>
      <c r="AB74" t="inlineStr">
        <is>
          <t>REZ2026-00017 [Rezoning - Non-Residential; Voided; name exact]; REZ2026-00019 [Rezoning - Mixed Use; Under Review; case number]</t>
        </is>
      </c>
      <c r="AD74" t="inlineStr">
        <is>
          <t>f32568b2-c8f2-4134-815c-9da3cb62a8f1</t>
        </is>
      </c>
      <c r="AE74" t="inlineStr">
        <is>
          <t>Build_Out_Analysis/10 (campuses); Build_Out_Analysis/9 (buildings); CountyMapper/LandDevelopment/2 (pending cases); ePortal</t>
        </is>
      </c>
      <c r="AF74" t="inlineStr">
        <is>
          <t>https://gisweb.pwcva.gov/arcgis/rest/services/Planning/Build_Out_Analysis/MapServer/10/58?f=html | https://gisweb.pwcva.gov/arcgis/rest/services/Planning/Build_Out_Analysis/MapServer/9/query?where=GPIN IS NOT NULL&amp;outFields=*&amp;f=html (buildings joined spatially) | https://gisweb.pwcva.gov/arcgis/rest/services/CountyMapper/LandDevelopment/MapServer/2 | https://egcss.pwcgov.org/SelfService#/home</t>
        </is>
      </c>
      <c r="AG74" t="inlineStr">
        <is>
          <t>2026-09-25</t>
        </is>
      </c>
    </row>
    <row r="75">
      <c r="B75" t="n">
        <v>74</v>
      </c>
      <c r="C75" t="inlineStr">
        <is>
          <t>Southgate South</t>
        </is>
      </c>
      <c r="D75" t="n">
        <v>3</v>
      </c>
      <c r="E75" t="inlineStr">
        <is>
          <t>Southgate South REZ &amp; PRA</t>
        </is>
      </c>
      <c r="F75" t="inlineStr">
        <is>
          <t>REZ2026-00044</t>
        </is>
      </c>
      <c r="G75" t="inlineStr">
        <is>
          <t>REZ2026-00044; SUP2026-00035</t>
        </is>
      </c>
      <c r="H75" t="inlineStr">
        <is>
          <t>Pending / Under Review</t>
        </is>
      </c>
      <c r="I75" t="inlineStr">
        <is>
          <t>Pending</t>
        </is>
      </c>
      <c r="J75" t="inlineStr">
        <is>
          <t>Pending</t>
        </is>
      </c>
      <c r="K75" t="inlineStr">
        <is>
          <t>Pending</t>
        </is>
      </c>
      <c r="L75" t="inlineStr">
        <is>
          <t>Rule 4: campus ProjectStatus Pending + pending-case layer Pending</t>
        </is>
      </c>
      <c r="M75" t="n">
        <v>80.03</v>
      </c>
      <c r="N75" t="n">
        <v>909000</v>
      </c>
      <c r="O75" t="n">
        <v>909000</v>
      </c>
      <c r="P75" t="n">
        <v>3</v>
      </c>
      <c r="Q75" t="inlineStr">
        <is>
          <t>Pending: 3</t>
        </is>
      </c>
      <c r="R75" t="n">
        <v>909000</v>
      </c>
      <c r="S75" t="inlineStr">
        <is>
          <t>Potomac</t>
        </is>
      </c>
      <c r="T75" t="inlineStr">
        <is>
          <t>No</t>
        </is>
      </c>
      <c r="U75" t="inlineStr">
        <is>
          <t>M-2</t>
        </is>
      </c>
      <c r="V75" t="inlineStr">
        <is>
          <t>8190-90-6518</t>
        </is>
      </c>
      <c r="W75" t="inlineStr">
        <is>
          <t>16401 DUMFRIES RD</t>
        </is>
      </c>
      <c r="X75" t="inlineStr">
        <is>
          <t>Southgate South 1 (Pending); Southgate South 2 (Pending); Southgate South 3 (Pending)</t>
        </is>
      </c>
      <c r="Z75" t="inlineStr">
        <is>
          <t>REZ2026-00044 [PRA; Pending; case number]; SUP2026-00035 [SUP; Pending; DC keyword; companion of REZ2026-00044 (by project name)]</t>
        </is>
      </c>
      <c r="AB75" t="inlineStr">
        <is>
          <t>REZ2026-00044 [Rezoning - Non-Residential; Pending; case number]; SUP2026-00035 [Special Use Permit - New Application; Pending; GPIN (building parcel)]</t>
        </is>
      </c>
      <c r="AD75" t="inlineStr">
        <is>
          <t>4f9d38d6-2dd5-44b1-b5c1-cc2aa25e5628</t>
        </is>
      </c>
      <c r="AE75" t="inlineStr">
        <is>
          <t>Build_Out_Analysis/10 (campuses); Build_Out_Analysis/9 (buildings); CountyMapper/LandDevelopment/2 (pending cases); ePortal</t>
        </is>
      </c>
      <c r="AF75" t="inlineStr">
        <is>
          <t>https://gisweb.pwcva.gov/arcgis/rest/services/Planning/Build_Out_Analysis/MapServer/10/132?f=html | https://gisweb.pwcva.gov/arcgis/rest/services/Planning/Build_Out_Analysis/MapServer/9/query?where=GPIN IS NOT NULL&amp;outFields=*&amp;f=html (buildings joined spatially) | https://gisweb.pwcva.gov/arcgis/rest/services/CountyMapper/LandDevelopment/MapServer/2 | https://egcss.pwcgov.org/SelfService#/home</t>
        </is>
      </c>
      <c r="AG75" t="inlineStr">
        <is>
          <t>2026-09-25</t>
        </is>
      </c>
    </row>
    <row r="76">
      <c r="B76" t="n">
        <v>75</v>
      </c>
      <c r="C76" t="inlineStr">
        <is>
          <t>Sudley Manor Drive</t>
        </is>
      </c>
      <c r="D76" t="n">
        <v>1</v>
      </c>
      <c r="E76" t="inlineStr">
        <is>
          <t>Sudley Manor Drive Amazon Data Services</t>
        </is>
      </c>
      <c r="F76" t="inlineStr">
        <is>
          <t>REZ2026-00039</t>
        </is>
      </c>
      <c r="G76" t="inlineStr">
        <is>
          <t>REZ2026-00039; REZ2020-00010; REZ2025-00006</t>
        </is>
      </c>
      <c r="H76" t="inlineStr">
        <is>
          <t>Pending / Under Review</t>
        </is>
      </c>
      <c r="I76" t="inlineStr">
        <is>
          <t>Pending</t>
        </is>
      </c>
      <c r="J76" t="inlineStr">
        <is>
          <t>Pending</t>
        </is>
      </c>
      <c r="K76" t="inlineStr">
        <is>
          <t>Pending</t>
        </is>
      </c>
      <c r="L76" t="inlineStr">
        <is>
          <t>Rule 4: campus ProjectStatus Pending + pending-case layer Pending</t>
        </is>
      </c>
      <c r="M76" t="n">
        <v>34.78</v>
      </c>
      <c r="N76" t="n">
        <v>293236</v>
      </c>
      <c r="O76" t="n">
        <v>293236</v>
      </c>
      <c r="P76" t="n">
        <v>1</v>
      </c>
      <c r="Q76" t="inlineStr">
        <is>
          <t>Pending: 1</t>
        </is>
      </c>
      <c r="R76" t="n">
        <v>293236</v>
      </c>
      <c r="S76" t="inlineStr">
        <is>
          <t>Brentsville</t>
        </is>
      </c>
      <c r="T76" t="inlineStr">
        <is>
          <t>Yes</t>
        </is>
      </c>
      <c r="U76" t="inlineStr">
        <is>
          <t>PBD</t>
        </is>
      </c>
      <c r="W76" t="inlineStr">
        <is>
          <t>11951 SUDLEY MANOR DR MANASSAS, VA 20109</t>
        </is>
      </c>
      <c r="X76" t="inlineStr">
        <is>
          <t>SUDLEY MANOR DRIVE A (Pending)</t>
        </is>
      </c>
      <c r="Z76" t="inlineStr">
        <is>
          <t>REZ2026-00039 [PRA; Pending; case number]</t>
        </is>
      </c>
      <c r="AB76" t="inlineStr">
        <is>
          <t>PLT2023-00071 [Plat Subdivision; Approved; name exact]; REZ2020-00010 [Rezoning - Non-Residential; Approved; case number]; REZ2025-00006 [Rezoning - Non-Residential; Withdrawn; name exact]; REZ2026-00039 [Rezoning - Proffer Amendment; Pending; case number]; SPR2026-00337 [Site Plan - Final; Pending; name exact]</t>
        </is>
      </c>
      <c r="AC76" t="inlineStr">
        <is>
          <t>SPR2026-00337 (Pending)</t>
        </is>
      </c>
      <c r="AD76" t="inlineStr">
        <is>
          <t>0c99ba68-b226-48b7-a340-5974eaf7768b</t>
        </is>
      </c>
      <c r="AE76" t="inlineStr">
        <is>
          <t>Build_Out_Analysis/10 (campuses); Build_Out_Analysis/9 (buildings); CountyMapper/LandDevelopment/2 (pending cases); ePortal</t>
        </is>
      </c>
      <c r="AF76" t="inlineStr">
        <is>
          <t>https://gisweb.pwcva.gov/arcgis/rest/services/Planning/Build_Out_Analysis/MapServer/10/112?f=html | https://gisweb.pwcva.gov/arcgis/rest/services/Planning/Build_Out_Analysis/MapServer/9/query?where=GPIN IS NOT NULL&amp;outFields=*&amp;f=html (buildings joined spatially) | https://gisweb.pwcva.gov/arcgis/rest/services/CountyMapper/LandDevelopment/MapServer/2 | https://egcss.pwcgov.org/SelfService#/home</t>
        </is>
      </c>
      <c r="AG76" t="inlineStr">
        <is>
          <t>2026-09-25</t>
        </is>
      </c>
    </row>
    <row r="77">
      <c r="B77" t="n">
        <v>76</v>
      </c>
      <c r="C77" t="inlineStr">
        <is>
          <t>University Business Park</t>
        </is>
      </c>
      <c r="D77" t="n">
        <v>2</v>
      </c>
      <c r="E77" t="inlineStr">
        <is>
          <t>University Business Park</t>
        </is>
      </c>
      <c r="F77" t="inlineStr">
        <is>
          <t>REZ2023-00019</t>
        </is>
      </c>
      <c r="G77" t="inlineStr">
        <is>
          <t>REZ2023-00019; REZ1958-0021</t>
        </is>
      </c>
      <c r="H77" t="inlineStr">
        <is>
          <t>Pending / Under Review</t>
        </is>
      </c>
      <c r="I77" t="inlineStr">
        <is>
          <t>Pending</t>
        </is>
      </c>
      <c r="J77" t="inlineStr">
        <is>
          <t>Pending</t>
        </is>
      </c>
      <c r="K77" t="inlineStr">
        <is>
          <t>Pending</t>
        </is>
      </c>
      <c r="L77" t="inlineStr">
        <is>
          <t>Rule 4: campus ProjectStatus Pending + pending-case layer Pending</t>
        </is>
      </c>
      <c r="M77" t="n">
        <v>117.21</v>
      </c>
      <c r="N77" t="n">
        <v>3800000</v>
      </c>
      <c r="O77" t="n">
        <v>3800000</v>
      </c>
      <c r="P77" t="n">
        <v>2</v>
      </c>
      <c r="Q77" t="inlineStr">
        <is>
          <t>Pending: 2</t>
        </is>
      </c>
      <c r="R77" t="n">
        <v>770200</v>
      </c>
      <c r="S77" t="inlineStr">
        <is>
          <t>Brentsville</t>
        </is>
      </c>
      <c r="T77" t="inlineStr">
        <is>
          <t>Yes</t>
        </is>
      </c>
      <c r="U77" t="inlineStr">
        <is>
          <t>M-1</t>
        </is>
      </c>
      <c r="V77" t="inlineStr">
        <is>
          <t>7497-43-7416</t>
        </is>
      </c>
      <c r="W77" t="inlineStr">
        <is>
          <t>13490 UNIVERSITY BLVD</t>
        </is>
      </c>
      <c r="X77" t="inlineStr">
        <is>
          <t>Microsoft Azure MNZ07 (Pending); Microsoft Azure MNZ08 (Pending)</t>
        </is>
      </c>
      <c r="Z77" t="inlineStr">
        <is>
          <t>REZ2023-00019 [REZ; Pending; case number]</t>
        </is>
      </c>
      <c r="AB77" t="inlineStr">
        <is>
          <t>REZ2023-00019 [Rezoning - Non-Residential; Pending; case number]; SPR2023-00349 [Site Plan - Final; Inactive; GPIN (building parcel)]; SPR2026-00377 [Site Plan - Final; Pending; GPIN (building parcel)]</t>
        </is>
      </c>
      <c r="AC77" t="inlineStr">
        <is>
          <t>SPR2026-00377 (Pending)</t>
        </is>
      </c>
      <c r="AD77" t="inlineStr">
        <is>
          <t>dba835c0-d92e-4f81-aca7-df3546eddf60</t>
        </is>
      </c>
      <c r="AE77" t="inlineStr">
        <is>
          <t>Build_Out_Analysis/10 (campuses); Build_Out_Analysis/9 (buildings); CountyMapper/LandDevelopment/2 (pending cases); ePortal</t>
        </is>
      </c>
      <c r="AF77" t="inlineStr">
        <is>
          <t>https://gisweb.pwcva.gov/arcgis/rest/services/Planning/Build_Out_Analysis/MapServer/10/9?f=html | https://gisweb.pwcva.gov/arcgis/rest/services/Planning/Build_Out_Analysis/MapServer/9/query?where=GPIN IS NOT NULL&amp;outFields=*&amp;f=html (buildings joined spatially) | https://gisweb.pwcva.gov/arcgis/rest/services/CountyMapper/LandDevelopment/MapServer/2 | https://egcss.pwcgov.org/SelfService#/home</t>
        </is>
      </c>
      <c r="AG77" t="inlineStr">
        <is>
          <t>2026-09-25</t>
        </is>
      </c>
    </row>
    <row r="78">
      <c r="B78" t="n">
        <v>77</v>
      </c>
      <c r="C78" t="inlineStr">
        <is>
          <t>Project Mango Phase 4</t>
        </is>
      </c>
      <c r="D78" t="n">
        <v>0</v>
      </c>
      <c r="E78" t="inlineStr">
        <is>
          <t>PROJECT MANGO PHASE 4</t>
        </is>
      </c>
      <c r="F78" t="inlineStr">
        <is>
          <t>SPR2026-00368</t>
        </is>
      </c>
      <c r="G78" t="inlineStr">
        <is>
          <t>SPR2026-00368; SPR2027-00055</t>
        </is>
      </c>
      <c r="H78" t="inlineStr">
        <is>
          <t>In Planning Office (site plan in review)</t>
        </is>
      </c>
      <c r="K78" t="inlineStr">
        <is>
          <t>SPR2026-00368: Pending; SPR2027-00055: Pending</t>
        </is>
      </c>
      <c r="L78" t="inlineStr">
        <is>
          <t>Rule 5: ePortal site plan in review, no campus-layer match</t>
        </is>
      </c>
      <c r="V78" t="inlineStr">
        <is>
          <t>7496-47-2505</t>
        </is>
      </c>
      <c r="W78" t="inlineStr">
        <is>
          <t>12998 ROLLINS FORD RD BRISTOW VA 20136; 13001 ROLLINS FORD RD BRISTOW VA 20136</t>
        </is>
      </c>
      <c r="AB78" t="inlineStr">
        <is>
          <t>SPR2026-00368 [Site Plan - Final; Pending; applied 2026-05-27]; SPR2027-00055 [Site Plan - Early Grading Plan; Pending; applied 2026-08-13]</t>
        </is>
      </c>
      <c r="AC78" t="inlineStr">
        <is>
          <t>SPR2026-00368 (Pending); SPR2027-00055 (Pending)</t>
        </is>
      </c>
      <c r="AE78" t="inlineStr">
        <is>
          <t>ePortal (EnerGov SelfService)</t>
        </is>
      </c>
      <c r="AF78" t="inlineStr">
        <is>
          <t>https://egcss.pwcgov.org/SelfService#/home</t>
        </is>
      </c>
      <c r="AH78" t="inlineStr">
        <is>
          <t>Not in campus layer; acreage/GFA/district not in ePortal search fields (blank)</t>
        </is>
      </c>
    </row>
    <row r="79">
      <c r="B79" t="n">
        <v>78</v>
      </c>
      <c r="C79" t="inlineStr">
        <is>
          <t>Redstone Tech. Park South (site plan SPR2026-00246)</t>
        </is>
      </c>
      <c r="D79" t="n">
        <v>0</v>
      </c>
      <c r="E79" t="inlineStr">
        <is>
          <t>Redstone Tech. Park South (site plan SPR2026-00246)</t>
        </is>
      </c>
      <c r="F79" t="inlineStr">
        <is>
          <t>SPR2026-00246</t>
        </is>
      </c>
      <c r="G79" t="inlineStr">
        <is>
          <t>SPR2026-00246</t>
        </is>
      </c>
      <c r="H79" t="inlineStr">
        <is>
          <t>In Planning Office (site plan in review)</t>
        </is>
      </c>
      <c r="K79" t="inlineStr">
        <is>
          <t>SPR2026-00246: Pending</t>
        </is>
      </c>
      <c r="L79" t="inlineStr">
        <is>
          <t>Rule 5: ePortal site plan in review, no campus-layer match</t>
        </is>
      </c>
      <c r="V79" t="inlineStr">
        <is>
          <t>7595-78-9620</t>
        </is>
      </c>
      <c r="W79" t="inlineStr">
        <is>
          <t>9502 HORNBAKER RD MANASSAS VA 20109</t>
        </is>
      </c>
      <c r="AB79" t="inlineStr">
        <is>
          <t>SPR2026-00246 [Site Plan - Final; Pending; applied 2026-02-10]</t>
        </is>
      </c>
      <c r="AC79" t="inlineStr">
        <is>
          <t>SPR2026-00246 (Pending)</t>
        </is>
      </c>
      <c r="AE79" t="inlineStr">
        <is>
          <t>ePortal (EnerGov SelfService)</t>
        </is>
      </c>
      <c r="AF79" t="inlineStr">
        <is>
          <t>https://egcss.pwcgov.org/SelfService#/home</t>
        </is>
      </c>
      <c r="AH79" t="inlineStr">
        <is>
          <t>Not in campus layer; acreage/GFA/district not in ePortal search fields (blank)</t>
        </is>
      </c>
    </row>
    <row r="80">
      <c r="B80" t="n">
        <v>79</v>
      </c>
      <c r="C80" t="inlineStr">
        <is>
          <t>Bristow Campus</t>
        </is>
      </c>
      <c r="D80" t="n">
        <v>0</v>
      </c>
      <c r="E80" t="inlineStr">
        <is>
          <t>Bristow Campus</t>
        </is>
      </c>
      <c r="F80" t="inlineStr">
        <is>
          <t>REZ2022-00030</t>
        </is>
      </c>
      <c r="G80" t="inlineStr">
        <is>
          <t>REZ2022-00030; SUP2022-00034</t>
        </is>
      </c>
      <c r="H80" t="inlineStr">
        <is>
          <t>Void / Withdrawn / Denied</t>
        </is>
      </c>
      <c r="K80" t="inlineStr">
        <is>
          <t>REZ2022-00030: Denied; SUP2022-00034: Denied</t>
        </is>
      </c>
      <c r="L80" t="inlineStr">
        <is>
          <t>All ePortal legislative cases terminal: Denied</t>
        </is>
      </c>
      <c r="V80" t="inlineStr">
        <is>
          <t>7595-63-4137</t>
        </is>
      </c>
      <c r="W80" t="inlineStr">
        <is>
          <t>11480 NOKESVILLE RD BRISTOW VA 20136</t>
        </is>
      </c>
      <c r="AB80" t="inlineStr">
        <is>
          <t>REZ2022-00030 [Rezoning - Non-Residential; Denied; applied 2022-04-21]; SUP2022-00034 [Special Use Permit - New Application; Denied; applied 2022-04-21]</t>
        </is>
      </c>
      <c r="AE80" t="inlineStr">
        <is>
          <t>ePortal (EnerGov SelfService)</t>
        </is>
      </c>
      <c r="AF80" t="inlineStr">
        <is>
          <t>https://egcss.pwcgov.org/SelfService#/home</t>
        </is>
      </c>
      <c r="AH80" t="inlineStr">
        <is>
          <t>Not in campus layer; acreage/GFA/district not in ePortal search fields (blank)</t>
        </is>
      </c>
    </row>
    <row r="81">
      <c r="B81" t="n">
        <v>80</v>
      </c>
      <c r="C81" t="inlineStr">
        <is>
          <t>Compass Data Centers</t>
        </is>
      </c>
      <c r="D81" t="n">
        <v>17</v>
      </c>
      <c r="E81" t="inlineStr">
        <is>
          <t>Compass Data Centers</t>
        </is>
      </c>
      <c r="F81" t="inlineStr">
        <is>
          <t>REZ2022-00036</t>
        </is>
      </c>
      <c r="G81" t="inlineStr">
        <is>
          <t>REZ2022-00036</t>
        </is>
      </c>
      <c r="H81" t="inlineStr">
        <is>
          <t>Void / Withdrawn / Denied</t>
        </is>
      </c>
      <c r="I81" t="inlineStr">
        <is>
          <t>Pending</t>
        </is>
      </c>
      <c r="J81" t="inlineStr">
        <is>
          <t>Suspended (On-Hold)</t>
        </is>
      </c>
      <c r="L81" t="inlineStr">
        <is>
          <t>Override: Digital Gateway/Compass REZ voided (plan §5.4; user instruction); county pending-case layer still shows Suspended (On-Hold); building status shown as Denied (user: Digital Gateway denied); original county label kept in Buildings.county_layer_status</t>
        </is>
      </c>
      <c r="M81" t="n">
        <v>884.1900000000001</v>
      </c>
      <c r="N81" t="n">
        <v>11555200</v>
      </c>
      <c r="O81" t="n">
        <v>11555200</v>
      </c>
      <c r="P81" t="n">
        <v>17</v>
      </c>
      <c r="Q81" t="inlineStr">
        <is>
          <t>Denied: 17</t>
        </is>
      </c>
      <c r="R81" t="n">
        <v>11555206</v>
      </c>
      <c r="S81" t="inlineStr">
        <is>
          <t>Gainesville</t>
        </is>
      </c>
      <c r="T81" t="inlineStr">
        <is>
          <t>No</t>
        </is>
      </c>
      <c r="U81" t="inlineStr">
        <is>
          <t>PBD</t>
        </is>
      </c>
      <c r="X81" t="inlineStr">
        <is>
          <t>Compass Data Centers (Denied); Compass Data Centers (Denied); Compass Data Centers (Denied); Compass Data Centers (Denied); Compass Data Centers (Denied); Compass Data Centers (Denied); Compass Data Centers (Denied); Compass Data Centers (Denied); Compass Data Centers (Denied); Compass Data Centers (Denied); Compass Data Centers (Denied); Compass Data Centers (Denied); Compass Data Centers (Denied); Compass Data Centers (Denied); Compass Data Centers (Denied); Compass Data Centers (Denied); Compass Data Centers (Denied)</t>
        </is>
      </c>
      <c r="Z81" t="inlineStr">
        <is>
          <t>REZ2022-00036 [REZ; Suspended (On-Hold); case number]</t>
        </is>
      </c>
      <c r="AD81" t="inlineStr">
        <is>
          <t>a3bccddf-fb99-4d00-9e2b-41916f8455aa</t>
        </is>
      </c>
      <c r="AE81" t="inlineStr">
        <is>
          <t>Build_Out_Analysis/10 (campuses); Build_Out_Analysis/9 (buildings); CountyMapper/LandDevelopment/2 (pending cases)</t>
        </is>
      </c>
      <c r="AF81" t="inlineStr">
        <is>
          <t>https://gisweb.pwcva.gov/arcgis/rest/services/Planning/Build_Out_Analysis/MapServer/10/172?f=html | https://gisweb.pwcva.gov/arcgis/rest/services/Planning/Build_Out_Analysis/MapServer/9/query?where=GPIN IS NOT NULL&amp;outFields=*&amp;f=html (buildings joined spatially) | https://gisweb.pwcva.gov/arcgis/rest/services/CountyMapper/LandDevelopment/MapServer/2</t>
        </is>
      </c>
      <c r="AG81" t="inlineStr">
        <is>
          <t>2026-09-25</t>
        </is>
      </c>
    </row>
    <row r="82">
      <c r="B82" t="n">
        <v>81</v>
      </c>
      <c r="C82" t="inlineStr">
        <is>
          <t>Compton Property</t>
        </is>
      </c>
      <c r="D82" t="n">
        <v>0</v>
      </c>
      <c r="E82" t="inlineStr">
        <is>
          <t>Compton Property</t>
        </is>
      </c>
      <c r="F82" t="inlineStr">
        <is>
          <t>CPA2021-00005</t>
        </is>
      </c>
      <c r="G82" t="inlineStr">
        <is>
          <t>CPA2021-00005; REZ2021-00019; SUP2021-00030</t>
        </is>
      </c>
      <c r="H82" t="inlineStr">
        <is>
          <t>Void / Withdrawn / Denied</t>
        </is>
      </c>
      <c r="K82" t="inlineStr">
        <is>
          <t>CPA2021-00005: Dismissed; REZ2021-00019: Dismissed; SUP2021-00030: Dismissed</t>
        </is>
      </c>
      <c r="L82" t="inlineStr">
        <is>
          <t>All ePortal legislative cases terminal: Dismissed</t>
        </is>
      </c>
      <c r="V82" t="inlineStr">
        <is>
          <t>7696-56-8064</t>
        </is>
      </c>
      <c r="W82" t="inlineStr">
        <is>
          <t>8750 RIXLEW LN MANASSAS VA 20109</t>
        </is>
      </c>
      <c r="AB82" t="inlineStr">
        <is>
          <t>CPA2021-00005 [Comp Plan Amendment (Concurrent with Rezoning); Dismissed; applied 2021-05-27]; REZ2021-00019 [Rezoning - Non-Residential; Dismissed; applied 2021-05-24]; SUP2021-00030 [Special Use Permit - New Application; Dismissed; applied 2021-05-24]</t>
        </is>
      </c>
      <c r="AE82" t="inlineStr">
        <is>
          <t>ePortal (EnerGov SelfService)</t>
        </is>
      </c>
      <c r="AF82" t="inlineStr">
        <is>
          <t>https://egcss.pwcgov.org/SelfService#/home</t>
        </is>
      </c>
      <c r="AH82" t="inlineStr">
        <is>
          <t>Not in campus layer; acreage/GFA/district not in ePortal search fields (blank)</t>
        </is>
      </c>
    </row>
    <row r="83">
      <c r="B83" t="n">
        <v>82</v>
      </c>
      <c r="C83" t="inlineStr">
        <is>
          <t>Digital Gateway North</t>
        </is>
      </c>
      <c r="D83" t="n">
        <v>12</v>
      </c>
      <c r="E83" t="inlineStr">
        <is>
          <t>Digital Gateway North</t>
        </is>
      </c>
      <c r="F83" t="inlineStr">
        <is>
          <t>REZ2022-00032</t>
        </is>
      </c>
      <c r="G83" t="inlineStr">
        <is>
          <t>REZ2022-00032</t>
        </is>
      </c>
      <c r="H83" t="inlineStr">
        <is>
          <t>Denied</t>
        </is>
      </c>
      <c r="I83" t="inlineStr">
        <is>
          <t>Pending</t>
        </is>
      </c>
      <c r="J83" t="inlineStr">
        <is>
          <t>Suspended (On-Hold)</t>
        </is>
      </c>
      <c r="L83" t="inlineStr">
        <is>
          <t>Override: Digital Gateway/Compass REZ voided (plan §5.4; user instruction); county pending-case layer still shows Suspended (On-Hold); building status shown as Denied (user: Digital Gateway denied); original county label kept in Buildings.county_layer_status</t>
        </is>
      </c>
      <c r="M83" t="n">
        <v>534.08</v>
      </c>
      <c r="N83" t="n">
        <v>7000000</v>
      </c>
      <c r="O83" t="n">
        <v>7000000</v>
      </c>
      <c r="P83" t="n">
        <v>12</v>
      </c>
      <c r="Q83" t="inlineStr">
        <is>
          <t>Denied: 12</t>
        </is>
      </c>
      <c r="R83" t="n">
        <v>6999996</v>
      </c>
      <c r="S83" t="inlineStr">
        <is>
          <t>Gainesville</t>
        </is>
      </c>
      <c r="T83" t="inlineStr">
        <is>
          <t>No</t>
        </is>
      </c>
      <c r="U83" t="inlineStr">
        <is>
          <t>PBD</t>
        </is>
      </c>
      <c r="X83" t="inlineStr">
        <is>
          <t>Digital Gateway North (Denied); Digital Gateway North (Denied); Digital Gateway North (Denied); Digital Gateway North (Denied); Digital Gateway North (Denied); Digital Gateway North (Denied); Digital Gateway North (Denied); Digital Gateway North (Denied); Digital Gateway North (Denied); Digital Gateway North (Denied); Digital Gateway North (Denied); Digital Gateway North (Denied)</t>
        </is>
      </c>
      <c r="Z83" t="inlineStr">
        <is>
          <t>REZ2022-00032 [REZ; Suspended (On-Hold); case number]</t>
        </is>
      </c>
      <c r="AD83" t="inlineStr">
        <is>
          <t>b0fcafed-a7f4-4ea1-8f83-e71a94ebf4f9</t>
        </is>
      </c>
      <c r="AE83" t="inlineStr">
        <is>
          <t>Build_Out_Analysis/10 (campuses); Build_Out_Analysis/9 (buildings); CountyMapper/LandDevelopment/2 (pending cases)</t>
        </is>
      </c>
      <c r="AF83" t="inlineStr">
        <is>
          <t>https://gisweb.pwcva.gov/arcgis/rest/services/Planning/Build_Out_Analysis/MapServer/10/138?f=html | https://gisweb.pwcva.gov/arcgis/rest/services/Planning/Build_Out_Analysis/MapServer/9/query?where=GPIN IS NOT NULL&amp;outFields=*&amp;f=html (buildings joined spatially) | https://gisweb.pwcva.gov/arcgis/rest/services/CountyMapper/LandDevelopment/MapServer/2</t>
        </is>
      </c>
      <c r="AG83" t="inlineStr">
        <is>
          <t>2026-09-25</t>
        </is>
      </c>
    </row>
    <row r="84">
      <c r="B84" t="n">
        <v>83</v>
      </c>
      <c r="C84" t="inlineStr">
        <is>
          <t>Digital Gateway South</t>
        </is>
      </c>
      <c r="D84" t="n">
        <v>8</v>
      </c>
      <c r="E84" t="inlineStr">
        <is>
          <t>Digital Gateway South</t>
        </is>
      </c>
      <c r="F84" t="inlineStr">
        <is>
          <t>REZ2022-00033</t>
        </is>
      </c>
      <c r="G84" t="inlineStr">
        <is>
          <t>REZ2022-00033</t>
        </is>
      </c>
      <c r="H84" t="inlineStr">
        <is>
          <t>Denied</t>
        </is>
      </c>
      <c r="I84" t="inlineStr">
        <is>
          <t>Pending</t>
        </is>
      </c>
      <c r="J84" t="inlineStr">
        <is>
          <t>Suspended (On-Hold)</t>
        </is>
      </c>
      <c r="L84" t="inlineStr">
        <is>
          <t>Override: Digital Gateway/Compass REZ voided (plan §5.4; user instruction); county pending-case layer still shows Suspended (On-Hold); building status shown as Denied (user: Digital Gateway denied); original county label kept in Buildings.county_layer_status</t>
        </is>
      </c>
      <c r="M84" t="n">
        <v>341.5</v>
      </c>
      <c r="N84" t="n">
        <v>3700000</v>
      </c>
      <c r="O84" t="n">
        <v>3700000</v>
      </c>
      <c r="P84" t="n">
        <v>8</v>
      </c>
      <c r="Q84" t="inlineStr">
        <is>
          <t>Denied: 8</t>
        </is>
      </c>
      <c r="R84" t="n">
        <v>3700000</v>
      </c>
      <c r="S84" t="inlineStr">
        <is>
          <t>Gainesville</t>
        </is>
      </c>
      <c r="T84" t="inlineStr">
        <is>
          <t>No</t>
        </is>
      </c>
      <c r="U84" t="inlineStr">
        <is>
          <t>PBD</t>
        </is>
      </c>
      <c r="X84" t="inlineStr">
        <is>
          <t>Digital Gateway South (Denied); Digital Gateway South (Denied); Digital Gateway South (Denied); Digital Gateway South (Denied); Digital Gateway South (Denied); Digital Gateway South (Denied); Digital Gateway South (Denied); Digital Gateway South (Denied)</t>
        </is>
      </c>
      <c r="Z84" t="inlineStr">
        <is>
          <t>REZ2022-00033 [REZ; Suspended (On-Hold); case number]</t>
        </is>
      </c>
      <c r="AD84" t="inlineStr">
        <is>
          <t>1737b24a-1664-4972-b370-c2436b052e63</t>
        </is>
      </c>
      <c r="AE84" t="inlineStr">
        <is>
          <t>Build_Out_Analysis/10 (campuses); Build_Out_Analysis/9 (buildings); CountyMapper/LandDevelopment/2 (pending cases)</t>
        </is>
      </c>
      <c r="AF84" t="inlineStr">
        <is>
          <t>https://gisweb.pwcva.gov/arcgis/rest/services/Planning/Build_Out_Analysis/MapServer/10/156?f=html | https://gisweb.pwcva.gov/arcgis/rest/services/Planning/Build_Out_Analysis/MapServer/9/query?where=GPIN IS NOT NULL&amp;outFields=*&amp;f=html (buildings joined spatially) | https://gisweb.pwcva.gov/arcgis/rest/services/CountyMapper/LandDevelopment/MapServer/2</t>
        </is>
      </c>
      <c r="AG84" t="inlineStr">
        <is>
          <t>2026-09-25</t>
        </is>
      </c>
    </row>
    <row r="85">
      <c r="B85" t="n">
        <v>84</v>
      </c>
      <c r="C85" t="inlineStr">
        <is>
          <t>Dulles South Innovation Center</t>
        </is>
      </c>
      <c r="D85" t="n">
        <v>0</v>
      </c>
      <c r="E85" t="inlineStr">
        <is>
          <t>Dulles South Innovation Center</t>
        </is>
      </c>
      <c r="F85" t="inlineStr">
        <is>
          <t>CPA2026-00012</t>
        </is>
      </c>
      <c r="G85" t="inlineStr">
        <is>
          <t>CPA2026-00012</t>
        </is>
      </c>
      <c r="H85" t="inlineStr">
        <is>
          <t>Void / Withdrawn / Denied</t>
        </is>
      </c>
      <c r="K85" t="inlineStr">
        <is>
          <t>CPA2026-00012: Denied</t>
        </is>
      </c>
      <c r="L85" t="inlineStr">
        <is>
          <t>All ePortal legislative cases terminal: Denied</t>
        </is>
      </c>
      <c r="V85" t="inlineStr">
        <is>
          <t>7400-76-0897</t>
        </is>
      </c>
      <c r="W85" t="inlineStr">
        <is>
          <t>3460 SANDERS LN CATHARPIN VA 20143</t>
        </is>
      </c>
      <c r="AB85" t="inlineStr">
        <is>
          <t>CPA2026-00012 [Comp Plan Amendment (Concurrent with Rezoning); Denied; applied 2026-02-24]</t>
        </is>
      </c>
      <c r="AE85" t="inlineStr">
        <is>
          <t>ePortal (EnerGov SelfService)</t>
        </is>
      </c>
      <c r="AF85" t="inlineStr">
        <is>
          <t>https://egcss.pwcgov.org/SelfService#/home</t>
        </is>
      </c>
      <c r="AH85" t="inlineStr">
        <is>
          <t>Not in campus layer; acreage/GFA/district not in ePortal search fields (blank)</t>
        </is>
      </c>
    </row>
    <row r="86">
      <c r="B86" t="n">
        <v>85</v>
      </c>
      <c r="C86" t="inlineStr">
        <is>
          <t>Gainesville Associates Data Center FAR</t>
        </is>
      </c>
      <c r="D86" t="n">
        <v>0</v>
      </c>
      <c r="E86" t="inlineStr">
        <is>
          <t>Gainesville Associates Data Center FAR</t>
        </is>
      </c>
      <c r="F86" t="inlineStr">
        <is>
          <t>SUP2019-00041</t>
        </is>
      </c>
      <c r="G86" t="inlineStr">
        <is>
          <t>SUP2019-00041</t>
        </is>
      </c>
      <c r="H86" t="inlineStr">
        <is>
          <t>Void / Withdrawn / Denied</t>
        </is>
      </c>
      <c r="K86" t="inlineStr">
        <is>
          <t>SUP2019-00041: Withdrawn</t>
        </is>
      </c>
      <c r="L86" t="inlineStr">
        <is>
          <t>All ePortal legislative cases terminal: Withdrawn</t>
        </is>
      </c>
      <c r="V86" t="inlineStr">
        <is>
          <t>7497-42-4359</t>
        </is>
      </c>
      <c r="W86" t="inlineStr">
        <is>
          <t>5945 WELLINGTON RD GAINESVILLE VA 20155</t>
        </is>
      </c>
      <c r="AB86" t="inlineStr">
        <is>
          <t>SUP2019-00041 [Special Use Permit - New Application; Withdrawn; applied 2019-02-28]</t>
        </is>
      </c>
      <c r="AE86" t="inlineStr">
        <is>
          <t>ePortal (EnerGov SelfService)</t>
        </is>
      </c>
      <c r="AF86" t="inlineStr">
        <is>
          <t>https://egcss.pwcgov.org/SelfService#/home</t>
        </is>
      </c>
      <c r="AH86" t="inlineStr">
        <is>
          <t>Not in campus layer; acreage/GFA/district not in ePortal search fields (blank)</t>
        </is>
      </c>
    </row>
    <row r="87">
      <c r="B87" t="n">
        <v>86</v>
      </c>
      <c r="C87" t="inlineStr">
        <is>
          <t>John Marshall Commons Technology Park</t>
        </is>
      </c>
      <c r="D87" t="n">
        <v>0</v>
      </c>
      <c r="E87" t="inlineStr">
        <is>
          <t>John Marshall Commons Technology Park</t>
        </is>
      </c>
      <c r="F87" t="inlineStr">
        <is>
          <t>REZ2021-00003</t>
        </is>
      </c>
      <c r="G87" t="inlineStr">
        <is>
          <t>REZ2021-00003; SUP2021-00004</t>
        </is>
      </c>
      <c r="H87" t="inlineStr">
        <is>
          <t>Void / Withdrawn / Denied</t>
        </is>
      </c>
      <c r="K87" t="inlineStr">
        <is>
          <t>REZ2021-00003: Withdrawn; SUP2021-00004: Withdrawn</t>
        </is>
      </c>
      <c r="L87" t="inlineStr">
        <is>
          <t>All ePortal legislative cases terminal: Withdrawn</t>
        </is>
      </c>
      <c r="V87" t="inlineStr">
        <is>
          <t>7397-46-4281</t>
        </is>
      </c>
      <c r="W87" t="inlineStr">
        <is>
          <t>14392 JOHN MARSHALL HWY GAINESVILLE VA 20155</t>
        </is>
      </c>
      <c r="AB87" t="inlineStr">
        <is>
          <t>REZ2021-00003 [Rezoning - Non-Residential; Withdrawn; applied 2020-07-31]; SUP2021-00004 [Special Use Permit - New Application; Withdrawn; applied 2020-07-31]</t>
        </is>
      </c>
      <c r="AE87" t="inlineStr">
        <is>
          <t>ePortal (EnerGov SelfService)</t>
        </is>
      </c>
      <c r="AF87" t="inlineStr">
        <is>
          <t>https://egcss.pwcgov.org/SelfService#/home</t>
        </is>
      </c>
      <c r="AH87" t="inlineStr">
        <is>
          <t>Not in campus layer; acreage/GFA/district not in ePortal search fields (blank)</t>
        </is>
      </c>
    </row>
    <row r="88">
      <c r="B88" t="n">
        <v>87</v>
      </c>
      <c r="C88" t="inlineStr">
        <is>
          <t>Potomac Technology Park</t>
        </is>
      </c>
      <c r="D88" t="n">
        <v>0</v>
      </c>
      <c r="E88" t="inlineStr">
        <is>
          <t>Potomac Technology Park</t>
        </is>
      </c>
      <c r="F88" t="inlineStr">
        <is>
          <t>CPA2024-00002</t>
        </is>
      </c>
      <c r="G88" t="inlineStr">
        <is>
          <t>CPA2024-00002; REZ2022-00015; SUP2022-00016</t>
        </is>
      </c>
      <c r="H88" t="inlineStr">
        <is>
          <t>Void / Withdrawn / Denied</t>
        </is>
      </c>
      <c r="K88" t="inlineStr">
        <is>
          <t>CPA2024-00002: Withdrawn; REZ2022-00015: Withdrawn; SUP2022-00016: Withdrawn</t>
        </is>
      </c>
      <c r="L88" t="inlineStr">
        <is>
          <t>All ePortal legislative cases terminal: Withdrawn</t>
        </is>
      </c>
      <c r="V88" t="inlineStr">
        <is>
          <t>7991-04-7237</t>
        </is>
      </c>
      <c r="W88" t="inlineStr">
        <is>
          <t>14854 DUMFRIES RD MANASSAS VA 20112</t>
        </is>
      </c>
      <c r="AB88" t="inlineStr">
        <is>
          <t>CPA2024-00002 [Comp Plan Amendment (Concurrent with Rezoning); Withdrawn; applied 2024-01-24]; REZ2022-00015 [Rezoning - Non-Residential; Withdrawn; applied 2022-01-06]; SUP2022-00016 [Special Use Permit - New Application; Withdrawn; applied 2022-01-06]</t>
        </is>
      </c>
      <c r="AE88" t="inlineStr">
        <is>
          <t>ePortal (EnerGov SelfService)</t>
        </is>
      </c>
      <c r="AF88" t="inlineStr">
        <is>
          <t>https://egcss.pwcgov.org/SelfService#/home</t>
        </is>
      </c>
      <c r="AH88" t="inlineStr">
        <is>
          <t>Not in campus layer; acreage/GFA/district not in ePortal search fields (blank)</t>
        </is>
      </c>
    </row>
    <row r="89">
      <c r="B89" t="n">
        <v>88</v>
      </c>
      <c r="C89" t="inlineStr">
        <is>
          <t>Quantico Ridge</t>
        </is>
      </c>
      <c r="D89" t="n">
        <v>0</v>
      </c>
      <c r="E89" t="inlineStr">
        <is>
          <t>Quantico Ridge</t>
        </is>
      </c>
      <c r="F89" t="inlineStr">
        <is>
          <t>REZ2026-00038</t>
        </is>
      </c>
      <c r="G89" t="inlineStr">
        <is>
          <t>REZ2026-00038; SUP2026-00029</t>
        </is>
      </c>
      <c r="H89" t="inlineStr">
        <is>
          <t>Void / Withdrawn / Denied</t>
        </is>
      </c>
      <c r="K89" t="inlineStr">
        <is>
          <t>REZ2026-00038: Withdrawn; SUP2026-00029: Withdrawn</t>
        </is>
      </c>
      <c r="L89" t="inlineStr">
        <is>
          <t>All ePortal legislative cases terminal: Withdrawn</t>
        </is>
      </c>
      <c r="V89" t="inlineStr">
        <is>
          <t>7991-04-7237</t>
        </is>
      </c>
      <c r="W89" t="inlineStr">
        <is>
          <t>14854 DUMFRIES RD MANASSAS VA 20112</t>
        </is>
      </c>
      <c r="AB89" t="inlineStr">
        <is>
          <t>REZ2026-00038 [Rezoning - Mixed Use; Withdrawn; applied 2026-04-28]; SUP2026-00029 [Special Use Permit - New Application; Withdrawn; applied 2026-04-28]</t>
        </is>
      </c>
      <c r="AE89" t="inlineStr">
        <is>
          <t>ePortal (EnerGov SelfService)</t>
        </is>
      </c>
      <c r="AF89" t="inlineStr">
        <is>
          <t>https://egcss.pwcgov.org/SelfService#/home</t>
        </is>
      </c>
      <c r="AH89" t="inlineStr">
        <is>
          <t>Not in campus layer; acreage/GFA/district not in ePortal search fields (blank)</t>
        </is>
      </c>
    </row>
  </sheetData>
  <autoFilter ref="A1:AH8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48"/>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3" t="inlineStr">
        <is>
          <t>Combined #</t>
        </is>
      </c>
      <c r="B1" s="3" t="inlineStr">
        <is>
          <t>No.</t>
        </is>
      </c>
      <c r="C1" s="3" t="inlineStr">
        <is>
          <t>BuildingName</t>
        </is>
      </c>
      <c r="D1" s="3" t="inlineStr">
        <is>
          <t>BuildingStatus</t>
        </is>
      </c>
      <c r="E1" s="3" t="inlineStr">
        <is>
          <t>campus_name</t>
        </is>
      </c>
      <c r="F1" s="3" t="inlineStr">
        <is>
          <t>campus_case</t>
        </is>
      </c>
      <c r="G1" s="3" t="inlineStr">
        <is>
          <t>GPIN</t>
        </is>
      </c>
      <c r="H1" s="3" t="inlineStr">
        <is>
          <t>Address</t>
        </is>
      </c>
      <c r="I1" s="3" t="inlineStr">
        <is>
          <t>GFA</t>
        </is>
      </c>
      <c r="J1" s="3" t="inlineStr">
        <is>
          <t>YearBuilt</t>
        </is>
      </c>
      <c r="K1" s="3" t="inlineStr">
        <is>
          <t>PlanningCaseNumber</t>
        </is>
      </c>
      <c r="L1" s="3" t="inlineStr">
        <is>
          <t>PermitCase</t>
        </is>
      </c>
      <c r="M1" s="3" t="inlineStr">
        <is>
          <t>PermitStatus</t>
        </is>
      </c>
      <c r="N1" s="3" t="inlineStr">
        <is>
          <t>OCCDate</t>
        </is>
      </c>
      <c r="O1" s="3" t="inlineStr">
        <is>
          <t>LastEditDate</t>
        </is>
      </c>
      <c r="P1" s="3" t="inlineStr">
        <is>
          <t>OBJECTID</t>
        </is>
      </c>
      <c r="Q1" s="3" t="inlineStr">
        <is>
          <t>source_url</t>
        </is>
      </c>
      <c r="R1" s="3" t="inlineStr">
        <is>
          <t>county_layer_status</t>
        </is>
      </c>
    </row>
    <row r="2">
      <c r="A2" t="n">
        <v>1</v>
      </c>
      <c r="B2" t="n">
        <v>1</v>
      </c>
      <c r="C2" t="inlineStr">
        <is>
          <t>Wellington Road East</t>
        </is>
      </c>
      <c r="D2" t="inlineStr">
        <is>
          <t>Planned</t>
        </is>
      </c>
      <c r="E2" t="inlineStr">
        <is>
          <t>5451 Wellington Road East</t>
        </is>
      </c>
      <c r="F2" t="inlineStr">
        <is>
          <t>REZ1958-0021</t>
        </is>
      </c>
      <c r="G2" t="inlineStr">
        <is>
          <t>7497-13-3597</t>
        </is>
      </c>
      <c r="H2" t="inlineStr">
        <is>
          <t>5551 WELLINGTON RD GAINESVILLE, VA 20155</t>
        </is>
      </c>
      <c r="I2" t="n">
        <v>116550</v>
      </c>
      <c r="K2" t="inlineStr">
        <is>
          <t>REZ1958-0021</t>
        </is>
      </c>
      <c r="M2" t="inlineStr">
        <is>
          <t>Planned</t>
        </is>
      </c>
      <c r="O2" t="inlineStr">
        <is>
          <t>2026-04-28</t>
        </is>
      </c>
      <c r="P2" t="n">
        <v>242</v>
      </c>
      <c r="Q2" t="inlineStr">
        <is>
          <t>https://gisweb.pwcva.gov/arcgis/rest/services/Planning/Build_Out_Analysis/MapServer/9/242?f=html</t>
        </is>
      </c>
      <c r="R2" t="inlineStr">
        <is>
          <t>Planned</t>
        </is>
      </c>
    </row>
    <row r="3">
      <c r="A3" t="n">
        <v>2</v>
      </c>
      <c r="B3" t="n">
        <v>2</v>
      </c>
      <c r="C3" t="inlineStr">
        <is>
          <t>Wellington Road West</t>
        </is>
      </c>
      <c r="D3" t="inlineStr">
        <is>
          <t>Planned</t>
        </is>
      </c>
      <c r="E3" t="inlineStr">
        <is>
          <t>5451 Wellington Road West</t>
        </is>
      </c>
      <c r="F3" t="inlineStr">
        <is>
          <t>REZ1958-0021</t>
        </is>
      </c>
      <c r="G3" t="inlineStr">
        <is>
          <t>7497-04-7126</t>
        </is>
      </c>
      <c r="H3" t="inlineStr">
        <is>
          <t>5451 WELLINGTON RD GAINESVILLE, VA 20155</t>
        </is>
      </c>
      <c r="I3" t="n">
        <v>255500</v>
      </c>
      <c r="K3" t="inlineStr">
        <is>
          <t>REZ1958-0021</t>
        </is>
      </c>
      <c r="M3" t="inlineStr">
        <is>
          <t>Planned</t>
        </is>
      </c>
      <c r="O3" t="inlineStr">
        <is>
          <t>2026-08-21</t>
        </is>
      </c>
      <c r="P3" t="n">
        <v>234</v>
      </c>
      <c r="Q3" t="inlineStr">
        <is>
          <t>https://gisweb.pwcva.gov/arcgis/rest/services/Planning/Build_Out_Analysis/MapServer/9/234?f=html</t>
        </is>
      </c>
      <c r="R3" t="inlineStr">
        <is>
          <t>Planned</t>
        </is>
      </c>
    </row>
    <row r="4">
      <c r="A4" t="n">
        <v>3</v>
      </c>
      <c r="B4" t="n">
        <v>3</v>
      </c>
      <c r="C4" t="inlineStr">
        <is>
          <t>Aligned Data Centers IAD05</t>
        </is>
      </c>
      <c r="D4" t="inlineStr">
        <is>
          <t>Planned</t>
        </is>
      </c>
      <c r="E4" t="inlineStr">
        <is>
          <t>Aligned Manassas</t>
        </is>
      </c>
      <c r="F4" t="inlineStr">
        <is>
          <t>REZ2019-00022</t>
        </is>
      </c>
      <c r="G4" t="inlineStr">
        <is>
          <t>7597-95-8953</t>
        </is>
      </c>
      <c r="H4" t="inlineStr">
        <is>
          <t>10920 BALLS FORD RD</t>
        </is>
      </c>
      <c r="I4" t="n">
        <v>432742</v>
      </c>
      <c r="M4" t="inlineStr">
        <is>
          <t>Planned</t>
        </is>
      </c>
      <c r="O4" t="inlineStr">
        <is>
          <t>2026-04-22</t>
        </is>
      </c>
      <c r="P4" t="n">
        <v>75</v>
      </c>
      <c r="Q4" t="inlineStr">
        <is>
          <t>https://gisweb.pwcva.gov/arcgis/rest/services/Planning/Build_Out_Analysis/MapServer/9/75?f=html</t>
        </is>
      </c>
      <c r="R4" t="inlineStr">
        <is>
          <t>Planned</t>
        </is>
      </c>
    </row>
    <row r="5">
      <c r="A5" t="n">
        <v>4</v>
      </c>
      <c r="B5" t="n">
        <v>4</v>
      </c>
      <c r="C5" t="inlineStr">
        <is>
          <t>Amazon Bethlehem Technology Park DC18</t>
        </is>
      </c>
      <c r="D5" t="inlineStr">
        <is>
          <t>Completed</t>
        </is>
      </c>
      <c r="E5" t="inlineStr">
        <is>
          <t>Amazon Bethlehem Technology Park</t>
        </is>
      </c>
      <c r="F5" t="inlineStr">
        <is>
          <t>REZ2016-00024</t>
        </is>
      </c>
      <c r="G5" t="inlineStr">
        <is>
          <t>7596-58-8732</t>
        </is>
      </c>
      <c r="H5" t="inlineStr">
        <is>
          <t>8180 BETHLEHEM RD</t>
        </is>
      </c>
      <c r="I5" t="n">
        <v>211816</v>
      </c>
      <c r="J5" t="n">
        <v>2017</v>
      </c>
      <c r="L5" t="inlineStr">
        <is>
          <t>BLD2017-02845</t>
        </is>
      </c>
      <c r="M5" t="inlineStr">
        <is>
          <t>Finaled</t>
        </is>
      </c>
      <c r="N5" t="inlineStr">
        <is>
          <t>2017-10-21</t>
        </is>
      </c>
      <c r="O5" t="inlineStr">
        <is>
          <t>2026-08-21</t>
        </is>
      </c>
      <c r="P5" t="n">
        <v>14</v>
      </c>
      <c r="Q5" t="inlineStr">
        <is>
          <t>https://gisweb.pwcva.gov/arcgis/rest/services/Planning/Build_Out_Analysis/MapServer/9/14?f=html</t>
        </is>
      </c>
      <c r="R5" t="inlineStr">
        <is>
          <t>Completed</t>
        </is>
      </c>
    </row>
    <row r="6">
      <c r="A6" t="n">
        <v>5</v>
      </c>
      <c r="B6" t="n">
        <v>5</v>
      </c>
      <c r="C6" t="inlineStr">
        <is>
          <t>Amazon Bethlehem Technology Park DC19</t>
        </is>
      </c>
      <c r="D6" t="inlineStr">
        <is>
          <t>Completed</t>
        </is>
      </c>
      <c r="E6" t="inlineStr">
        <is>
          <t>Amazon Bethlehem Technology Park</t>
        </is>
      </c>
      <c r="F6" t="inlineStr">
        <is>
          <t>REZ2016-00024</t>
        </is>
      </c>
      <c r="G6" t="inlineStr">
        <is>
          <t>7596-58-8732</t>
        </is>
      </c>
      <c r="H6" t="inlineStr">
        <is>
          <t>8200 BETHLEHEM RD</t>
        </is>
      </c>
      <c r="I6" t="n">
        <v>148580</v>
      </c>
      <c r="J6" t="n">
        <v>2017</v>
      </c>
      <c r="L6" t="inlineStr">
        <is>
          <t>BLD2016-06361</t>
        </is>
      </c>
      <c r="M6" t="inlineStr">
        <is>
          <t>Finaled</t>
        </is>
      </c>
      <c r="N6" t="inlineStr">
        <is>
          <t>2017-05-31</t>
        </is>
      </c>
      <c r="O6" t="inlineStr">
        <is>
          <t>2026-08-21</t>
        </is>
      </c>
      <c r="P6" t="n">
        <v>15</v>
      </c>
      <c r="Q6" t="inlineStr">
        <is>
          <t>https://gisweb.pwcva.gov/arcgis/rest/services/Planning/Build_Out_Analysis/MapServer/9/15?f=html</t>
        </is>
      </c>
      <c r="R6" t="inlineStr">
        <is>
          <t>Completed</t>
        </is>
      </c>
    </row>
    <row r="7">
      <c r="A7" t="n">
        <v>6</v>
      </c>
      <c r="B7" t="n">
        <v>6</v>
      </c>
      <c r="C7" t="inlineStr">
        <is>
          <t>Amazon Bethlehem Technology Park DC20</t>
        </is>
      </c>
      <c r="D7" t="inlineStr">
        <is>
          <t>Completed</t>
        </is>
      </c>
      <c r="E7" t="inlineStr">
        <is>
          <t>Amazon Bethlehem Technology Park</t>
        </is>
      </c>
      <c r="F7" t="inlineStr">
        <is>
          <t>REZ2016-00024</t>
        </is>
      </c>
      <c r="G7" t="inlineStr">
        <is>
          <t>7596-58-8732</t>
        </is>
      </c>
      <c r="H7" t="inlineStr">
        <is>
          <t>8210 BETHLEHEM RD</t>
        </is>
      </c>
      <c r="I7" t="n">
        <v>211816</v>
      </c>
      <c r="J7" t="n">
        <v>2017</v>
      </c>
      <c r="L7" t="inlineStr">
        <is>
          <t>BLD2017-01263</t>
        </is>
      </c>
      <c r="M7" t="inlineStr">
        <is>
          <t>Finaled</t>
        </is>
      </c>
      <c r="N7" t="inlineStr">
        <is>
          <t>2017-08-03</t>
        </is>
      </c>
      <c r="O7" t="inlineStr">
        <is>
          <t>2026-08-21</t>
        </is>
      </c>
      <c r="P7" t="n">
        <v>16</v>
      </c>
      <c r="Q7" t="inlineStr">
        <is>
          <t>https://gisweb.pwcva.gov/arcgis/rest/services/Planning/Build_Out_Analysis/MapServer/9/16?f=html</t>
        </is>
      </c>
      <c r="R7" t="inlineStr">
        <is>
          <t>Completed</t>
        </is>
      </c>
    </row>
    <row r="8">
      <c r="A8" t="n">
        <v>7</v>
      </c>
      <c r="B8" t="n">
        <v>7</v>
      </c>
      <c r="C8" t="inlineStr">
        <is>
          <t>Amazon Bethlehem Technology Park DC23</t>
        </is>
      </c>
      <c r="D8" t="inlineStr">
        <is>
          <t>Completed</t>
        </is>
      </c>
      <c r="E8" t="inlineStr">
        <is>
          <t>Amazon Bethlehem Technology Park</t>
        </is>
      </c>
      <c r="F8" t="inlineStr">
        <is>
          <t>REZ2016-00024</t>
        </is>
      </c>
      <c r="G8" t="inlineStr">
        <is>
          <t>7596-58-8732</t>
        </is>
      </c>
      <c r="H8" t="inlineStr">
        <is>
          <t>8190 BETHLEHEM RD</t>
        </is>
      </c>
      <c r="I8" t="n">
        <v>147530</v>
      </c>
      <c r="J8" t="n">
        <v>2020</v>
      </c>
      <c r="L8" t="inlineStr">
        <is>
          <t>BLD2018-03269</t>
        </is>
      </c>
      <c r="M8" t="inlineStr">
        <is>
          <t>Finaled</t>
        </is>
      </c>
      <c r="N8" t="inlineStr">
        <is>
          <t>2020-05-13</t>
        </is>
      </c>
      <c r="O8" t="inlineStr">
        <is>
          <t>2026-08-21</t>
        </is>
      </c>
      <c r="P8" t="n">
        <v>13</v>
      </c>
      <c r="Q8" t="inlineStr">
        <is>
          <t>https://gisweb.pwcva.gov/arcgis/rest/services/Planning/Build_Out_Analysis/MapServer/9/13?f=html</t>
        </is>
      </c>
      <c r="R8" t="inlineStr">
        <is>
          <t>Completed</t>
        </is>
      </c>
    </row>
    <row r="9">
      <c r="A9" t="n">
        <v>8</v>
      </c>
      <c r="B9" t="n">
        <v>8</v>
      </c>
      <c r="C9" t="inlineStr">
        <is>
          <t>Amazon Colchester Industrial Park 1</t>
        </is>
      </c>
      <c r="D9" t="inlineStr">
        <is>
          <t>Planned</t>
        </is>
      </c>
      <c r="E9" t="inlineStr">
        <is>
          <t>Amazon Colchester Industrial Park</t>
        </is>
      </c>
      <c r="F9" t="inlineStr">
        <is>
          <t>REZ2024-00006</t>
        </is>
      </c>
      <c r="G9" t="inlineStr">
        <is>
          <t>7991-45-0874</t>
        </is>
      </c>
      <c r="H9" t="inlineStr">
        <is>
          <t>14901 DUMFRIES RD</t>
        </is>
      </c>
      <c r="I9" t="n">
        <v>224173</v>
      </c>
      <c r="K9" t="inlineStr">
        <is>
          <t>REZ2024-00006</t>
        </is>
      </c>
      <c r="M9" t="inlineStr">
        <is>
          <t>Planned</t>
        </is>
      </c>
      <c r="O9" t="inlineStr">
        <is>
          <t>2026-04-16</t>
        </is>
      </c>
      <c r="P9" t="n">
        <v>134</v>
      </c>
      <c r="Q9" t="inlineStr">
        <is>
          <t>https://gisweb.pwcva.gov/arcgis/rest/services/Planning/Build_Out_Analysis/MapServer/9/134?f=html</t>
        </is>
      </c>
      <c r="R9" t="inlineStr">
        <is>
          <t>Planned</t>
        </is>
      </c>
    </row>
    <row r="10">
      <c r="A10" t="n">
        <v>9</v>
      </c>
      <c r="B10" t="n">
        <v>9</v>
      </c>
      <c r="C10" t="inlineStr">
        <is>
          <t>Amazon Colchester Industrial Park 2</t>
        </is>
      </c>
      <c r="D10" t="inlineStr">
        <is>
          <t>Planned</t>
        </is>
      </c>
      <c r="E10" t="inlineStr">
        <is>
          <t>Amazon Colchester Industrial Park</t>
        </is>
      </c>
      <c r="F10" t="inlineStr">
        <is>
          <t>REZ2024-00006</t>
        </is>
      </c>
      <c r="G10" t="inlineStr">
        <is>
          <t>7991-45-0874</t>
        </is>
      </c>
      <c r="H10" t="inlineStr">
        <is>
          <t>14901 DUMFRIES RD</t>
        </is>
      </c>
      <c r="I10" t="n">
        <v>224173</v>
      </c>
      <c r="K10" t="inlineStr">
        <is>
          <t>REZ2024-00006</t>
        </is>
      </c>
      <c r="M10" t="inlineStr">
        <is>
          <t>Planned</t>
        </is>
      </c>
      <c r="O10" t="inlineStr">
        <is>
          <t>2026-04-16</t>
        </is>
      </c>
      <c r="P10" t="n">
        <v>132</v>
      </c>
      <c r="Q10" t="inlineStr">
        <is>
          <t>https://gisweb.pwcva.gov/arcgis/rest/services/Planning/Build_Out_Analysis/MapServer/9/132?f=html</t>
        </is>
      </c>
      <c r="R10" t="inlineStr">
        <is>
          <t>Planned</t>
        </is>
      </c>
    </row>
    <row r="11">
      <c r="A11" t="n">
        <v>10</v>
      </c>
      <c r="B11" t="n">
        <v>10</v>
      </c>
      <c r="C11" t="inlineStr">
        <is>
          <t>Amazon AWS IAD-130</t>
        </is>
      </c>
      <c r="D11" t="inlineStr">
        <is>
          <t>Completed</t>
        </is>
      </c>
      <c r="E11" t="inlineStr">
        <is>
          <t>Amazon Freedom Boulevard</t>
        </is>
      </c>
      <c r="F11" t="inlineStr">
        <is>
          <t>REZ1989-0022</t>
        </is>
      </c>
      <c r="G11" t="inlineStr">
        <is>
          <t>7696-21-7764</t>
        </is>
      </c>
      <c r="H11" t="inlineStr">
        <is>
          <t>9040 FREEDOM CENTER BLVD</t>
        </is>
      </c>
      <c r="I11" t="n">
        <v>204211</v>
      </c>
      <c r="J11" t="n">
        <v>2020</v>
      </c>
      <c r="L11" t="inlineStr">
        <is>
          <t>BLD2019-01155</t>
        </is>
      </c>
      <c r="M11" t="inlineStr">
        <is>
          <t>Finaled</t>
        </is>
      </c>
      <c r="N11" t="inlineStr">
        <is>
          <t>2020-09-15</t>
        </is>
      </c>
      <c r="O11" t="inlineStr">
        <is>
          <t>2026-02-26</t>
        </is>
      </c>
      <c r="P11" t="n">
        <v>27</v>
      </c>
      <c r="Q11" t="inlineStr">
        <is>
          <t>https://gisweb.pwcva.gov/arcgis/rest/services/Planning/Build_Out_Analysis/MapServer/9/27?f=html</t>
        </is>
      </c>
      <c r="R11" t="inlineStr">
        <is>
          <t>Completed</t>
        </is>
      </c>
    </row>
    <row r="12">
      <c r="A12" t="n">
        <v>11</v>
      </c>
      <c r="B12" t="n">
        <v>11</v>
      </c>
      <c r="C12" t="inlineStr">
        <is>
          <t>Amazon AWS IAD-131</t>
        </is>
      </c>
      <c r="D12" t="inlineStr">
        <is>
          <t>Completed</t>
        </is>
      </c>
      <c r="E12" t="inlineStr">
        <is>
          <t>Amazon Freedom Boulevard</t>
        </is>
      </c>
      <c r="F12" t="inlineStr">
        <is>
          <t>REZ1989-0022</t>
        </is>
      </c>
      <c r="G12" t="inlineStr">
        <is>
          <t>7696-21-7764</t>
        </is>
      </c>
      <c r="H12" t="inlineStr">
        <is>
          <t>9020 FREEDOM CENTER BLVD</t>
        </is>
      </c>
      <c r="I12" t="n">
        <v>204211</v>
      </c>
      <c r="J12" t="n">
        <v>2020</v>
      </c>
      <c r="L12" t="inlineStr">
        <is>
          <t>BLD2019-04018</t>
        </is>
      </c>
      <c r="M12" t="inlineStr">
        <is>
          <t>Finaled</t>
        </is>
      </c>
      <c r="N12" t="inlineStr">
        <is>
          <t>2020-12-01</t>
        </is>
      </c>
      <c r="O12" t="inlineStr">
        <is>
          <t>2026-02-26</t>
        </is>
      </c>
      <c r="P12" t="n">
        <v>28</v>
      </c>
      <c r="Q12" t="inlineStr">
        <is>
          <t>https://gisweb.pwcva.gov/arcgis/rest/services/Planning/Build_Out_Analysis/MapServer/9/28?f=html</t>
        </is>
      </c>
      <c r="R12" t="inlineStr">
        <is>
          <t>Completed</t>
        </is>
      </c>
    </row>
    <row r="13">
      <c r="A13" t="n">
        <v>12</v>
      </c>
      <c r="B13" t="n">
        <v>12</v>
      </c>
      <c r="C13" t="inlineStr">
        <is>
          <t>Amazon AWS IAD-104</t>
        </is>
      </c>
      <c r="D13" t="inlineStr">
        <is>
          <t>Completed</t>
        </is>
      </c>
      <c r="E13" t="inlineStr">
        <is>
          <t>Amazon Innovation Drive</t>
        </is>
      </c>
      <c r="F13" t="inlineStr">
        <is>
          <t>PLN2007-00749</t>
        </is>
      </c>
      <c r="G13" t="inlineStr">
        <is>
          <t>7695-17-9607</t>
        </is>
      </c>
      <c r="H13" t="inlineStr">
        <is>
          <t>9680 INNOVATION DR</t>
        </is>
      </c>
      <c r="I13" t="n">
        <v>213320</v>
      </c>
      <c r="J13" t="n">
        <v>2024</v>
      </c>
      <c r="K13" t="inlineStr">
        <is>
          <t>PLN2007-0074</t>
        </is>
      </c>
      <c r="L13" t="inlineStr">
        <is>
          <t>BLD2022-01092</t>
        </is>
      </c>
      <c r="M13" t="inlineStr">
        <is>
          <t>Finaled</t>
        </is>
      </c>
      <c r="N13" t="inlineStr">
        <is>
          <t>2024-01-21</t>
        </is>
      </c>
      <c r="O13" t="inlineStr">
        <is>
          <t>2026-04-21</t>
        </is>
      </c>
      <c r="P13" t="n">
        <v>20</v>
      </c>
      <c r="Q13" t="inlineStr">
        <is>
          <t>https://gisweb.pwcva.gov/arcgis/rest/services/Planning/Build_Out_Analysis/MapServer/9/20?f=html</t>
        </is>
      </c>
      <c r="R13" t="inlineStr">
        <is>
          <t>Completed</t>
        </is>
      </c>
    </row>
    <row r="14">
      <c r="A14" t="n">
        <v>13</v>
      </c>
      <c r="B14" t="n">
        <v>13</v>
      </c>
      <c r="C14" t="inlineStr">
        <is>
          <t>Amazon AWS IAD-105</t>
        </is>
      </c>
      <c r="D14" t="inlineStr">
        <is>
          <t>Completed</t>
        </is>
      </c>
      <c r="E14" t="inlineStr">
        <is>
          <t>Amazon Innovation Drive</t>
        </is>
      </c>
      <c r="F14" t="inlineStr">
        <is>
          <t>PLN2007-00749</t>
        </is>
      </c>
      <c r="G14" t="inlineStr">
        <is>
          <t>7695-26-4469</t>
        </is>
      </c>
      <c r="H14" t="inlineStr">
        <is>
          <t>9700 INNOVATION DR</t>
        </is>
      </c>
      <c r="I14" t="n">
        <v>223757</v>
      </c>
      <c r="J14" t="n">
        <v>2024</v>
      </c>
      <c r="K14" t="inlineStr">
        <is>
          <t>PLN2007-0074</t>
        </is>
      </c>
      <c r="L14" t="inlineStr">
        <is>
          <t>BLD2022-03130</t>
        </is>
      </c>
      <c r="M14" t="inlineStr">
        <is>
          <t>Finaled</t>
        </is>
      </c>
      <c r="N14" t="inlineStr">
        <is>
          <t>2024-07-28</t>
        </is>
      </c>
      <c r="O14" t="inlineStr">
        <is>
          <t>2026-04-21</t>
        </is>
      </c>
      <c r="P14" t="n">
        <v>19</v>
      </c>
      <c r="Q14" t="inlineStr">
        <is>
          <t>https://gisweb.pwcva.gov/arcgis/rest/services/Planning/Build_Out_Analysis/MapServer/9/19?f=html</t>
        </is>
      </c>
      <c r="R14" t="inlineStr">
        <is>
          <t>Completed</t>
        </is>
      </c>
    </row>
    <row r="15">
      <c r="A15" t="n">
        <v>14</v>
      </c>
      <c r="B15" t="n">
        <v>14</v>
      </c>
      <c r="C15" t="inlineStr">
        <is>
          <t>Amazon AWS IAD-106</t>
        </is>
      </c>
      <c r="D15" t="inlineStr">
        <is>
          <t>Completed</t>
        </is>
      </c>
      <c r="E15" t="inlineStr">
        <is>
          <t>Amazon Innovation Drive</t>
        </is>
      </c>
      <c r="F15" t="inlineStr">
        <is>
          <t>PLN2007-00749</t>
        </is>
      </c>
      <c r="G15" t="inlineStr">
        <is>
          <t>7695-26-7645</t>
        </is>
      </c>
      <c r="H15" t="inlineStr">
        <is>
          <t>9720 INNOVATION DR</t>
        </is>
      </c>
      <c r="I15" t="n">
        <v>233757</v>
      </c>
      <c r="J15" t="n">
        <v>2025</v>
      </c>
      <c r="K15" t="inlineStr">
        <is>
          <t>PLN2007-0074</t>
        </is>
      </c>
      <c r="L15" t="inlineStr">
        <is>
          <t>BLD2022-04680</t>
        </is>
      </c>
      <c r="M15" t="inlineStr">
        <is>
          <t>Finaled</t>
        </is>
      </c>
      <c r="N15" t="inlineStr">
        <is>
          <t>2025-02-19</t>
        </is>
      </c>
      <c r="O15" t="inlineStr">
        <is>
          <t>2026-04-21</t>
        </is>
      </c>
      <c r="P15" t="n">
        <v>18</v>
      </c>
      <c r="Q15" t="inlineStr">
        <is>
          <t>https://gisweb.pwcva.gov/arcgis/rest/services/Planning/Build_Out_Analysis/MapServer/9/18?f=html</t>
        </is>
      </c>
      <c r="R15" t="inlineStr">
        <is>
          <t>Completed</t>
        </is>
      </c>
    </row>
    <row r="16">
      <c r="A16" t="n">
        <v>15</v>
      </c>
      <c r="B16" t="n">
        <v>15</v>
      </c>
      <c r="C16" t="inlineStr">
        <is>
          <t>Amazon AWS IAD-107</t>
        </is>
      </c>
      <c r="D16" t="inlineStr">
        <is>
          <t>Completed</t>
        </is>
      </c>
      <c r="E16" t="inlineStr">
        <is>
          <t>Amazon Innovation Drive</t>
        </is>
      </c>
      <c r="F16" t="inlineStr">
        <is>
          <t>PLN2007-00749</t>
        </is>
      </c>
      <c r="G16" t="inlineStr">
        <is>
          <t>7695-36-1324</t>
        </is>
      </c>
      <c r="H16" t="inlineStr">
        <is>
          <t>9740 INNOVATION DR</t>
        </is>
      </c>
      <c r="I16" t="n">
        <v>216067</v>
      </c>
      <c r="J16" t="n">
        <v>2025</v>
      </c>
      <c r="K16" t="inlineStr">
        <is>
          <t>PLN2007-0074</t>
        </is>
      </c>
      <c r="L16" t="inlineStr">
        <is>
          <t>BLD2023-00752</t>
        </is>
      </c>
      <c r="M16" t="inlineStr">
        <is>
          <t>Finaled</t>
        </is>
      </c>
      <c r="N16" t="inlineStr">
        <is>
          <t>2025-05-27</t>
        </is>
      </c>
      <c r="O16" t="inlineStr">
        <is>
          <t>2026-04-21</t>
        </is>
      </c>
      <c r="P16" t="n">
        <v>17</v>
      </c>
      <c r="Q16" t="inlineStr">
        <is>
          <t>https://gisweb.pwcva.gov/arcgis/rest/services/Planning/Build_Out_Analysis/MapServer/9/17?f=html</t>
        </is>
      </c>
      <c r="R16" t="inlineStr">
        <is>
          <t>Completed</t>
        </is>
      </c>
    </row>
    <row r="17">
      <c r="A17" t="n">
        <v>16</v>
      </c>
      <c r="B17" t="n">
        <v>16</v>
      </c>
      <c r="C17" t="inlineStr">
        <is>
          <t>Amazon AWS IAD-F</t>
        </is>
      </c>
      <c r="D17" t="inlineStr">
        <is>
          <t>Planned</t>
        </is>
      </c>
      <c r="E17" t="inlineStr">
        <is>
          <t>Amazon Innovation Drive</t>
        </is>
      </c>
      <c r="F17" t="inlineStr">
        <is>
          <t>PLN2007-00749</t>
        </is>
      </c>
      <c r="G17" t="inlineStr">
        <is>
          <t>7695-17-9607</t>
        </is>
      </c>
      <c r="H17" t="inlineStr">
        <is>
          <t>9670 INNOVATION DR</t>
        </is>
      </c>
      <c r="I17" t="n">
        <v>201000</v>
      </c>
      <c r="K17" t="inlineStr">
        <is>
          <t>PLN2007-0074</t>
        </is>
      </c>
      <c r="M17" t="inlineStr">
        <is>
          <t>Planned</t>
        </is>
      </c>
      <c r="O17" t="inlineStr">
        <is>
          <t>2026-08-21</t>
        </is>
      </c>
      <c r="P17" t="n">
        <v>233</v>
      </c>
      <c r="Q17" t="inlineStr">
        <is>
          <t>https://gisweb.pwcva.gov/arcgis/rest/services/Planning/Build_Out_Analysis/MapServer/9/233?f=html</t>
        </is>
      </c>
      <c r="R17" t="inlineStr">
        <is>
          <t>Planned</t>
        </is>
      </c>
    </row>
    <row r="18">
      <c r="A18" t="n">
        <v>17</v>
      </c>
      <c r="B18" t="n">
        <v>17</v>
      </c>
      <c r="C18" t="inlineStr">
        <is>
          <t>Amazon AWS IAD-11</t>
        </is>
      </c>
      <c r="D18" t="inlineStr">
        <is>
          <t>Completed</t>
        </is>
      </c>
      <c r="E18" t="inlineStr">
        <is>
          <t>Amazon Mason King Court</t>
        </is>
      </c>
      <c r="F18" t="inlineStr">
        <is>
          <t>REZ1969-0021</t>
        </is>
      </c>
      <c r="G18" t="inlineStr">
        <is>
          <t>7597-62-3841</t>
        </is>
      </c>
      <c r="H18" t="inlineStr">
        <is>
          <t>7510 MASON KING CT</t>
        </is>
      </c>
      <c r="I18" t="n">
        <v>167145</v>
      </c>
      <c r="J18" t="n">
        <v>2012</v>
      </c>
      <c r="L18" t="inlineStr">
        <is>
          <t>BLD2012-03056</t>
        </is>
      </c>
      <c r="M18" t="inlineStr">
        <is>
          <t>Finaled</t>
        </is>
      </c>
      <c r="N18" t="inlineStr">
        <is>
          <t>1986-06-03</t>
        </is>
      </c>
      <c r="O18" t="inlineStr">
        <is>
          <t>2026-08-21</t>
        </is>
      </c>
      <c r="P18" t="n">
        <v>69</v>
      </c>
      <c r="Q18" t="inlineStr">
        <is>
          <t>https://gisweb.pwcva.gov/arcgis/rest/services/Planning/Build_Out_Analysis/MapServer/9/69?f=html</t>
        </is>
      </c>
      <c r="R18" t="inlineStr">
        <is>
          <t>Completed</t>
        </is>
      </c>
    </row>
    <row r="19">
      <c r="A19" t="n">
        <v>18</v>
      </c>
      <c r="B19" t="n">
        <v>18</v>
      </c>
      <c r="C19" t="inlineStr">
        <is>
          <t>Amazon AWS IAD-24</t>
        </is>
      </c>
      <c r="D19" t="inlineStr">
        <is>
          <t>Completed</t>
        </is>
      </c>
      <c r="E19" t="inlineStr">
        <is>
          <t>Amazon Mason King Court</t>
        </is>
      </c>
      <c r="F19" t="inlineStr">
        <is>
          <t>REZ1969-0021</t>
        </is>
      </c>
      <c r="G19" t="inlineStr">
        <is>
          <t>7597-62-3841</t>
        </is>
      </c>
      <c r="H19" t="inlineStr">
        <is>
          <t>7610 MASON KING CT</t>
        </is>
      </c>
      <c r="I19" t="n">
        <v>41786</v>
      </c>
      <c r="J19" t="n">
        <v>2012</v>
      </c>
      <c r="L19" t="inlineStr">
        <is>
          <t>BLD2012-02503</t>
        </is>
      </c>
      <c r="M19" t="inlineStr">
        <is>
          <t>Finaled</t>
        </is>
      </c>
      <c r="N19" t="inlineStr">
        <is>
          <t>2012-09-19</t>
        </is>
      </c>
      <c r="O19" t="inlineStr">
        <is>
          <t>2026-02-26</t>
        </is>
      </c>
      <c r="P19" t="n">
        <v>70</v>
      </c>
      <c r="Q19" t="inlineStr">
        <is>
          <t>https://gisweb.pwcva.gov/arcgis/rest/services/Planning/Build_Out_Analysis/MapServer/9/70?f=html</t>
        </is>
      </c>
      <c r="R19" t="inlineStr">
        <is>
          <t>Completed</t>
        </is>
      </c>
    </row>
    <row r="20">
      <c r="A20" t="n">
        <v>19</v>
      </c>
      <c r="B20" t="n">
        <v>19</v>
      </c>
      <c r="C20" t="inlineStr">
        <is>
          <t>Amazon AWS IAD-7</t>
        </is>
      </c>
      <c r="D20" t="inlineStr">
        <is>
          <t>Completed</t>
        </is>
      </c>
      <c r="E20" t="inlineStr">
        <is>
          <t>Amazon Mason King Court</t>
        </is>
      </c>
      <c r="F20" t="inlineStr">
        <is>
          <t>REZ1969-0021</t>
        </is>
      </c>
      <c r="G20" t="inlineStr">
        <is>
          <t>7597-72-1867</t>
        </is>
      </c>
      <c r="H20" t="inlineStr">
        <is>
          <t>7505 MASON KING CT</t>
        </is>
      </c>
      <c r="I20" t="n">
        <v>167193</v>
      </c>
      <c r="J20" t="n">
        <v>2012</v>
      </c>
      <c r="L20" t="inlineStr">
        <is>
          <t>BLD2009-02929</t>
        </is>
      </c>
      <c r="M20" t="inlineStr">
        <is>
          <t>Finaled</t>
        </is>
      </c>
      <c r="N20" t="inlineStr">
        <is>
          <t>2012-09-19</t>
        </is>
      </c>
      <c r="O20" t="inlineStr">
        <is>
          <t>2026-02-26</t>
        </is>
      </c>
      <c r="P20" t="n">
        <v>67</v>
      </c>
      <c r="Q20" t="inlineStr">
        <is>
          <t>https://gisweb.pwcva.gov/arcgis/rest/services/Planning/Build_Out_Analysis/MapServer/9/67?f=html</t>
        </is>
      </c>
      <c r="R20" t="inlineStr">
        <is>
          <t>Completed</t>
        </is>
      </c>
    </row>
    <row r="21">
      <c r="A21" t="n">
        <v>20</v>
      </c>
      <c r="B21" t="n">
        <v>20</v>
      </c>
      <c r="C21" t="inlineStr">
        <is>
          <t>Amazon AWS IAD 15445 John Marshall</t>
        </is>
      </c>
      <c r="D21" t="inlineStr">
        <is>
          <t>Completed</t>
        </is>
      </c>
      <c r="E21" t="inlineStr">
        <is>
          <t>Amazon Midwood Center</t>
        </is>
      </c>
      <c r="F21" t="inlineStr">
        <is>
          <t>PLN2003-00108</t>
        </is>
      </c>
      <c r="G21" t="inlineStr">
        <is>
          <t>7298-41-4524</t>
        </is>
      </c>
      <c r="H21" t="inlineStr">
        <is>
          <t>15445 JOHN MARSHALL HWY</t>
        </is>
      </c>
      <c r="I21" t="n">
        <v>141592</v>
      </c>
      <c r="J21" t="n">
        <v>2024</v>
      </c>
      <c r="L21" t="inlineStr">
        <is>
          <t>BLD2022-07765</t>
        </is>
      </c>
      <c r="M21" t="inlineStr">
        <is>
          <t>Finaled</t>
        </is>
      </c>
      <c r="N21" t="inlineStr">
        <is>
          <t>2024-11-04</t>
        </is>
      </c>
      <c r="O21" t="inlineStr">
        <is>
          <t>2026-08-21</t>
        </is>
      </c>
      <c r="P21" t="n">
        <v>106</v>
      </c>
      <c r="Q21" t="inlineStr">
        <is>
          <t>https://gisweb.pwcva.gov/arcgis/rest/services/Planning/Build_Out_Analysis/MapServer/9/106?f=html</t>
        </is>
      </c>
      <c r="R21" t="inlineStr">
        <is>
          <t>Completed</t>
        </is>
      </c>
    </row>
    <row r="22">
      <c r="A22" t="n">
        <v>21</v>
      </c>
      <c r="B22" t="n">
        <v>21</v>
      </c>
      <c r="C22" t="inlineStr">
        <is>
          <t>Amazon AWS IAD-55</t>
        </is>
      </c>
      <c r="D22" t="inlineStr">
        <is>
          <t>Completed</t>
        </is>
      </c>
      <c r="E22" t="inlineStr">
        <is>
          <t>Amazon Midwood Center</t>
        </is>
      </c>
      <c r="F22" t="inlineStr">
        <is>
          <t>PLN2003-00108</t>
        </is>
      </c>
      <c r="G22" t="inlineStr">
        <is>
          <t>7298-51-5907</t>
        </is>
      </c>
      <c r="H22" t="inlineStr">
        <is>
          <t>15395 JOHN MARSHALL HWY</t>
        </is>
      </c>
      <c r="I22" t="n">
        <v>236082</v>
      </c>
      <c r="J22" t="n">
        <v>2014</v>
      </c>
      <c r="L22" t="inlineStr">
        <is>
          <t>BLD2014-01766</t>
        </is>
      </c>
      <c r="M22" t="inlineStr">
        <is>
          <t>Finaled</t>
        </is>
      </c>
      <c r="N22" t="inlineStr">
        <is>
          <t>2014-07-28</t>
        </is>
      </c>
      <c r="O22" t="inlineStr">
        <is>
          <t>2026-08-21</t>
        </is>
      </c>
      <c r="P22" t="n">
        <v>105</v>
      </c>
      <c r="Q22" t="inlineStr">
        <is>
          <t>https://gisweb.pwcva.gov/arcgis/rest/services/Planning/Build_Out_Analysis/MapServer/9/105?f=html</t>
        </is>
      </c>
      <c r="R22" t="inlineStr">
        <is>
          <t>Completed</t>
        </is>
      </c>
    </row>
    <row r="23">
      <c r="A23" t="n">
        <v>22</v>
      </c>
      <c r="B23" t="n">
        <v>22</v>
      </c>
      <c r="C23" t="inlineStr">
        <is>
          <t>Amazon AWS IAD-64</t>
        </is>
      </c>
      <c r="D23" t="inlineStr">
        <is>
          <t>Completed</t>
        </is>
      </c>
      <c r="E23" t="inlineStr">
        <is>
          <t>Amazon Midwood Center</t>
        </is>
      </c>
      <c r="F23" t="inlineStr">
        <is>
          <t>PLN2003-00108</t>
        </is>
      </c>
      <c r="G23" t="inlineStr">
        <is>
          <t>7298-41-4524</t>
        </is>
      </c>
      <c r="H23" t="inlineStr">
        <is>
          <t>15465 JOHN MARSHALL HWY</t>
        </is>
      </c>
      <c r="I23" t="n">
        <v>147187</v>
      </c>
      <c r="J23" t="n">
        <v>2017</v>
      </c>
      <c r="L23" t="inlineStr">
        <is>
          <t>BLD2016-04280</t>
        </is>
      </c>
      <c r="M23" t="inlineStr">
        <is>
          <t>Finaled</t>
        </is>
      </c>
      <c r="N23" t="inlineStr">
        <is>
          <t>2017-10-25</t>
        </is>
      </c>
      <c r="O23" t="inlineStr">
        <is>
          <t>2026-08-21</t>
        </is>
      </c>
      <c r="P23" t="n">
        <v>107</v>
      </c>
      <c r="Q23" t="inlineStr">
        <is>
          <t>https://gisweb.pwcva.gov/arcgis/rest/services/Planning/Build_Out_Analysis/MapServer/9/107?f=html</t>
        </is>
      </c>
      <c r="R23" t="inlineStr">
        <is>
          <t>Completed</t>
        </is>
      </c>
    </row>
    <row r="24">
      <c r="A24" t="n">
        <v>23</v>
      </c>
      <c r="B24" t="n">
        <v>23</v>
      </c>
      <c r="C24" t="inlineStr">
        <is>
          <t>Amazon AWS IAD-64 Ext</t>
        </is>
      </c>
      <c r="D24" t="inlineStr">
        <is>
          <t>Completed</t>
        </is>
      </c>
      <c r="E24" t="inlineStr">
        <is>
          <t>Amazon Midwood Center</t>
        </is>
      </c>
      <c r="F24" t="inlineStr">
        <is>
          <t>PLN2003-00108</t>
        </is>
      </c>
      <c r="G24" t="inlineStr">
        <is>
          <t>7298-41-4524</t>
        </is>
      </c>
      <c r="H24" t="inlineStr">
        <is>
          <t>15475 JOHN MARSHALL HWY</t>
        </is>
      </c>
      <c r="I24" t="n">
        <v>17421</v>
      </c>
      <c r="J24" t="n">
        <v>2021</v>
      </c>
      <c r="L24" t="inlineStr">
        <is>
          <t>BLD2020-04888</t>
        </is>
      </c>
      <c r="M24" t="inlineStr">
        <is>
          <t>Finaled</t>
        </is>
      </c>
      <c r="N24" t="inlineStr">
        <is>
          <t>2021-11-25</t>
        </is>
      </c>
      <c r="O24" t="inlineStr">
        <is>
          <t>2026-08-21</t>
        </is>
      </c>
      <c r="P24" t="n">
        <v>109</v>
      </c>
      <c r="Q24" t="inlineStr">
        <is>
          <t>https://gisweb.pwcva.gov/arcgis/rest/services/Planning/Build_Out_Analysis/MapServer/9/109?f=html</t>
        </is>
      </c>
      <c r="R24" t="inlineStr">
        <is>
          <t>Completed</t>
        </is>
      </c>
    </row>
    <row r="25">
      <c r="A25" t="n">
        <v>24</v>
      </c>
      <c r="B25" t="n">
        <v>24</v>
      </c>
      <c r="C25" t="inlineStr">
        <is>
          <t>Amazon AWS IAD-84</t>
        </is>
      </c>
      <c r="D25" t="inlineStr">
        <is>
          <t>Completed</t>
        </is>
      </c>
      <c r="E25" t="inlineStr">
        <is>
          <t>Amazon Midwood Center</t>
        </is>
      </c>
      <c r="F25" t="inlineStr">
        <is>
          <t>PLN2003-00108</t>
        </is>
      </c>
      <c r="G25" t="inlineStr">
        <is>
          <t>7298-41-4524</t>
        </is>
      </c>
      <c r="H25" t="inlineStr">
        <is>
          <t>15455 JOHN MARSHALL HWY</t>
        </is>
      </c>
      <c r="I25" t="n">
        <v>147187</v>
      </c>
      <c r="J25" t="n">
        <v>2023</v>
      </c>
      <c r="L25" t="inlineStr">
        <is>
          <t>BLD2018-06209</t>
        </is>
      </c>
      <c r="M25" t="inlineStr">
        <is>
          <t>Finaled</t>
        </is>
      </c>
      <c r="N25" t="inlineStr">
        <is>
          <t>2023-07-10</t>
        </is>
      </c>
      <c r="O25" t="inlineStr">
        <is>
          <t>2026-08-21</t>
        </is>
      </c>
      <c r="P25" t="n">
        <v>108</v>
      </c>
      <c r="Q25" t="inlineStr">
        <is>
          <t>https://gisweb.pwcva.gov/arcgis/rest/services/Planning/Build_Out_Analysis/MapServer/9/108?f=html</t>
        </is>
      </c>
      <c r="R25" t="inlineStr">
        <is>
          <t>Completed</t>
        </is>
      </c>
    </row>
    <row r="26">
      <c r="A26" t="n">
        <v>25</v>
      </c>
      <c r="B26" t="n">
        <v>25</v>
      </c>
      <c r="C26" t="inlineStr">
        <is>
          <t>Amazon Parsons Business Park 1</t>
        </is>
      </c>
      <c r="D26" t="inlineStr">
        <is>
          <t>Planned</t>
        </is>
      </c>
      <c r="E26" t="inlineStr">
        <is>
          <t>Amazon Parsons Business Park</t>
        </is>
      </c>
      <c r="F26" t="inlineStr">
        <is>
          <t>REZ2023-00028</t>
        </is>
      </c>
      <c r="G26" t="inlineStr">
        <is>
          <t>7891-69-0322</t>
        </is>
      </c>
      <c r="H26" t="inlineStr">
        <is>
          <t>14237 DUMFRIES RD</t>
        </is>
      </c>
      <c r="I26" t="n">
        <v>171785</v>
      </c>
      <c r="K26" t="inlineStr">
        <is>
          <t>REZ2023-00028</t>
        </is>
      </c>
      <c r="M26" t="inlineStr">
        <is>
          <t>Planned</t>
        </is>
      </c>
      <c r="O26" t="inlineStr">
        <is>
          <t>2026-05-04</t>
        </is>
      </c>
      <c r="P26" t="n">
        <v>136</v>
      </c>
      <c r="Q26" t="inlineStr">
        <is>
          <t>https://gisweb.pwcva.gov/arcgis/rest/services/Planning/Build_Out_Analysis/MapServer/9/136?f=html</t>
        </is>
      </c>
      <c r="R26" t="inlineStr">
        <is>
          <t>Planned</t>
        </is>
      </c>
    </row>
    <row r="27">
      <c r="A27" t="n">
        <v>26</v>
      </c>
      <c r="B27" t="n">
        <v>26</v>
      </c>
      <c r="C27" t="inlineStr">
        <is>
          <t>Amazon Parsons Business Park 2</t>
        </is>
      </c>
      <c r="D27" t="inlineStr">
        <is>
          <t>Planned</t>
        </is>
      </c>
      <c r="E27" t="inlineStr">
        <is>
          <t>Amazon Parsons Business Park</t>
        </is>
      </c>
      <c r="F27" t="inlineStr">
        <is>
          <t>REZ2023-00028</t>
        </is>
      </c>
      <c r="G27" t="inlineStr">
        <is>
          <t>7891-69-0322</t>
        </is>
      </c>
      <c r="H27" t="inlineStr">
        <is>
          <t>14237 DUMFRIES RD</t>
        </is>
      </c>
      <c r="I27" t="n">
        <v>227153</v>
      </c>
      <c r="K27" t="inlineStr">
        <is>
          <t>REZ2023-00028</t>
        </is>
      </c>
      <c r="M27" t="inlineStr">
        <is>
          <t>Planned</t>
        </is>
      </c>
      <c r="O27" t="inlineStr">
        <is>
          <t>2026-05-04</t>
        </is>
      </c>
      <c r="P27" t="n">
        <v>137</v>
      </c>
      <c r="Q27" t="inlineStr">
        <is>
          <t>https://gisweb.pwcva.gov/arcgis/rest/services/Planning/Build_Out_Analysis/MapServer/9/137?f=html</t>
        </is>
      </c>
      <c r="R27" t="inlineStr">
        <is>
          <t>Planned</t>
        </is>
      </c>
    </row>
    <row r="28">
      <c r="A28" t="n">
        <v>27</v>
      </c>
      <c r="B28" t="n">
        <v>27</v>
      </c>
      <c r="C28" t="inlineStr">
        <is>
          <t>Amazon Parsons Business Park 3</t>
        </is>
      </c>
      <c r="D28" t="inlineStr">
        <is>
          <t>Planned</t>
        </is>
      </c>
      <c r="E28" t="inlineStr">
        <is>
          <t>Amazon Parsons Business Park</t>
        </is>
      </c>
      <c r="F28" t="inlineStr">
        <is>
          <t>REZ2023-00028</t>
        </is>
      </c>
      <c r="G28" t="inlineStr">
        <is>
          <t>7891-69-0322</t>
        </is>
      </c>
      <c r="H28" t="inlineStr">
        <is>
          <t>14237 DUMFRIES RD</t>
        </is>
      </c>
      <c r="I28" t="n">
        <v>227153</v>
      </c>
      <c r="K28" t="inlineStr">
        <is>
          <t>REZ2023-00028</t>
        </is>
      </c>
      <c r="M28" t="inlineStr">
        <is>
          <t>Planned</t>
        </is>
      </c>
      <c r="O28" t="inlineStr">
        <is>
          <t>2026-05-04</t>
        </is>
      </c>
      <c r="P28" t="n">
        <v>135</v>
      </c>
      <c r="Q28" t="inlineStr">
        <is>
          <t>https://gisweb.pwcva.gov/arcgis/rest/services/Planning/Build_Out_Analysis/MapServer/9/135?f=html</t>
        </is>
      </c>
      <c r="R28" t="inlineStr">
        <is>
          <t>Planned</t>
        </is>
      </c>
    </row>
    <row r="29">
      <c r="A29" t="n">
        <v>28</v>
      </c>
      <c r="B29" t="n">
        <v>28</v>
      </c>
      <c r="C29" t="inlineStr">
        <is>
          <t>Amazon Parsons Business Park 4</t>
        </is>
      </c>
      <c r="D29" t="inlineStr">
        <is>
          <t>Planned</t>
        </is>
      </c>
      <c r="E29" t="inlineStr">
        <is>
          <t>Amazon Parsons Business Park</t>
        </is>
      </c>
      <c r="F29" t="inlineStr">
        <is>
          <t>REZ2023-00028</t>
        </is>
      </c>
      <c r="G29" t="inlineStr">
        <is>
          <t>7891-69-0322</t>
        </is>
      </c>
      <c r="H29" t="inlineStr">
        <is>
          <t>14237 DUMFRIES RD</t>
        </is>
      </c>
      <c r="I29" t="n">
        <v>227153</v>
      </c>
      <c r="K29" t="inlineStr">
        <is>
          <t>REZ2023-00028</t>
        </is>
      </c>
      <c r="M29" t="inlineStr">
        <is>
          <t>Planned</t>
        </is>
      </c>
      <c r="O29" t="inlineStr">
        <is>
          <t>2026-05-04</t>
        </is>
      </c>
      <c r="P29" t="n">
        <v>138</v>
      </c>
      <c r="Q29" t="inlineStr">
        <is>
          <t>https://gisweb.pwcva.gov/arcgis/rest/services/Planning/Build_Out_Analysis/MapServer/9/138?f=html</t>
        </is>
      </c>
      <c r="R29" t="inlineStr">
        <is>
          <t>Planned</t>
        </is>
      </c>
    </row>
    <row r="30">
      <c r="A30" t="n">
        <v>29</v>
      </c>
      <c r="B30" t="n">
        <v>29</v>
      </c>
      <c r="C30" t="inlineStr">
        <is>
          <t>Amazon Parsons Business Park 5</t>
        </is>
      </c>
      <c r="D30" t="inlineStr">
        <is>
          <t>Planned</t>
        </is>
      </c>
      <c r="E30" t="inlineStr">
        <is>
          <t>Amazon Parsons Business Park</t>
        </is>
      </c>
      <c r="F30" t="inlineStr">
        <is>
          <t>REZ2023-00028</t>
        </is>
      </c>
      <c r="G30" t="inlineStr">
        <is>
          <t>7891-69-0322</t>
        </is>
      </c>
      <c r="H30" t="inlineStr">
        <is>
          <t>14237 DUMFRIES RD</t>
        </is>
      </c>
      <c r="I30" t="n">
        <v>227153</v>
      </c>
      <c r="K30" t="inlineStr">
        <is>
          <t>REZ2023-00028</t>
        </is>
      </c>
      <c r="M30" t="inlineStr">
        <is>
          <t>Planned</t>
        </is>
      </c>
      <c r="O30" t="inlineStr">
        <is>
          <t>2026-05-04</t>
        </is>
      </c>
      <c r="P30" t="n">
        <v>139</v>
      </c>
      <c r="Q30" t="inlineStr">
        <is>
          <t>https://gisweb.pwcva.gov/arcgis/rest/services/Planning/Build_Out_Analysis/MapServer/9/139?f=html</t>
        </is>
      </c>
      <c r="R30" t="inlineStr">
        <is>
          <t>Planned</t>
        </is>
      </c>
    </row>
    <row r="31">
      <c r="A31" t="n">
        <v>30</v>
      </c>
      <c r="B31" t="n">
        <v>30</v>
      </c>
      <c r="C31" t="inlineStr">
        <is>
          <t>Amazon Parsons Business Park 6</t>
        </is>
      </c>
      <c r="D31" t="inlineStr">
        <is>
          <t>Planned</t>
        </is>
      </c>
      <c r="E31" t="inlineStr">
        <is>
          <t>Amazon Parsons Business Park</t>
        </is>
      </c>
      <c r="F31" t="inlineStr">
        <is>
          <t>REZ2023-00028</t>
        </is>
      </c>
      <c r="G31" t="inlineStr">
        <is>
          <t>7891-69-0322</t>
        </is>
      </c>
      <c r="H31" t="inlineStr">
        <is>
          <t>14237 DUMFRIES RD</t>
        </is>
      </c>
      <c r="I31" t="n">
        <v>15943</v>
      </c>
      <c r="K31" t="inlineStr">
        <is>
          <t>REZ2023-00028</t>
        </is>
      </c>
      <c r="M31" t="inlineStr">
        <is>
          <t>Planned</t>
        </is>
      </c>
      <c r="O31" t="inlineStr">
        <is>
          <t>2026-05-04</t>
        </is>
      </c>
      <c r="P31" t="n">
        <v>244</v>
      </c>
      <c r="Q31" t="inlineStr">
        <is>
          <t>https://gisweb.pwcva.gov/arcgis/rest/services/Planning/Build_Out_Analysis/MapServer/9/244?f=html</t>
        </is>
      </c>
      <c r="R31" t="inlineStr">
        <is>
          <t>Planned</t>
        </is>
      </c>
    </row>
    <row r="32">
      <c r="A32" t="n">
        <v>31</v>
      </c>
      <c r="B32" t="n">
        <v>31</v>
      </c>
      <c r="C32" t="inlineStr">
        <is>
          <t>Amazon AWS IAD-100</t>
        </is>
      </c>
      <c r="D32" t="inlineStr">
        <is>
          <t>Completed</t>
        </is>
      </c>
      <c r="E32" t="inlineStr">
        <is>
          <t>Amazon Tanner Way</t>
        </is>
      </c>
      <c r="F32" t="inlineStr">
        <is>
          <t>REZ2018-00002</t>
        </is>
      </c>
      <c r="G32" t="inlineStr">
        <is>
          <t>7695-62-8723</t>
        </is>
      </c>
      <c r="H32" t="inlineStr">
        <is>
          <t>10321 TANNER WAY</t>
        </is>
      </c>
      <c r="I32" t="n">
        <v>212017</v>
      </c>
      <c r="J32" t="n">
        <v>2021</v>
      </c>
      <c r="K32" t="inlineStr">
        <is>
          <t>REZ2018-00002</t>
        </is>
      </c>
      <c r="L32" t="inlineStr">
        <is>
          <t>BLD2020-00115</t>
        </is>
      </c>
      <c r="M32" t="inlineStr">
        <is>
          <t>Finaled</t>
        </is>
      </c>
      <c r="N32" t="inlineStr">
        <is>
          <t>2021-10-13</t>
        </is>
      </c>
      <c r="O32" t="inlineStr">
        <is>
          <t>2026-06-10</t>
        </is>
      </c>
      <c r="P32" t="n">
        <v>46</v>
      </c>
      <c r="Q32" t="inlineStr">
        <is>
          <t>https://gisweb.pwcva.gov/arcgis/rest/services/Planning/Build_Out_Analysis/MapServer/9/46?f=html</t>
        </is>
      </c>
      <c r="R32" t="inlineStr">
        <is>
          <t>Completed</t>
        </is>
      </c>
    </row>
    <row r="33">
      <c r="A33" t="n">
        <v>32</v>
      </c>
      <c r="B33" t="n">
        <v>32</v>
      </c>
      <c r="C33" t="inlineStr">
        <is>
          <t>Amazon AWS IAD-101</t>
        </is>
      </c>
      <c r="D33" t="inlineStr">
        <is>
          <t>Completed</t>
        </is>
      </c>
      <c r="E33" t="inlineStr">
        <is>
          <t>Amazon Tanner Way</t>
        </is>
      </c>
      <c r="F33" t="inlineStr">
        <is>
          <t>REZ2018-00002</t>
        </is>
      </c>
      <c r="G33" t="inlineStr">
        <is>
          <t>7695-62-8723</t>
        </is>
      </c>
      <c r="H33" t="inlineStr">
        <is>
          <t>10301 TANNER WAY</t>
        </is>
      </c>
      <c r="I33" t="n">
        <v>214796</v>
      </c>
      <c r="J33" t="n">
        <v>2022</v>
      </c>
      <c r="K33" t="inlineStr">
        <is>
          <t>REZ2018-00002</t>
        </is>
      </c>
      <c r="L33" t="inlineStr">
        <is>
          <t>BLD2020-04380</t>
        </is>
      </c>
      <c r="M33" t="inlineStr">
        <is>
          <t>Finaled</t>
        </is>
      </c>
      <c r="N33" t="inlineStr">
        <is>
          <t>2022-03-07</t>
        </is>
      </c>
      <c r="O33" t="inlineStr">
        <is>
          <t>2026-06-10</t>
        </is>
      </c>
      <c r="P33" t="n">
        <v>48</v>
      </c>
      <c r="Q33" t="inlineStr">
        <is>
          <t>https://gisweb.pwcva.gov/arcgis/rest/services/Planning/Build_Out_Analysis/MapServer/9/48?f=html</t>
        </is>
      </c>
      <c r="R33" t="inlineStr">
        <is>
          <t>Completed</t>
        </is>
      </c>
    </row>
    <row r="34">
      <c r="A34" t="n">
        <v>33</v>
      </c>
      <c r="B34" t="n">
        <v>33</v>
      </c>
      <c r="C34" t="inlineStr">
        <is>
          <t>Amazon AWS IAD-102</t>
        </is>
      </c>
      <c r="D34" t="inlineStr">
        <is>
          <t>Completed</t>
        </is>
      </c>
      <c r="E34" t="inlineStr">
        <is>
          <t>Amazon Tanner Way</t>
        </is>
      </c>
      <c r="F34" t="inlineStr">
        <is>
          <t>REZ2018-00002</t>
        </is>
      </c>
      <c r="G34" t="inlineStr">
        <is>
          <t>7695-62-8723</t>
        </is>
      </c>
      <c r="H34" t="inlineStr">
        <is>
          <t>10281 TANNER WAY</t>
        </is>
      </c>
      <c r="I34" t="n">
        <v>214796</v>
      </c>
      <c r="J34" t="n">
        <v>2022</v>
      </c>
      <c r="K34" t="inlineStr">
        <is>
          <t>REZ2018-00002</t>
        </is>
      </c>
      <c r="L34" t="inlineStr">
        <is>
          <t>BLD2020-05182</t>
        </is>
      </c>
      <c r="M34" t="inlineStr">
        <is>
          <t>Finaled</t>
        </is>
      </c>
      <c r="N34" t="inlineStr">
        <is>
          <t>2020-07-13</t>
        </is>
      </c>
      <c r="O34" t="inlineStr">
        <is>
          <t>2026-06-10</t>
        </is>
      </c>
      <c r="P34" t="n">
        <v>49</v>
      </c>
      <c r="Q34" t="inlineStr">
        <is>
          <t>https://gisweb.pwcva.gov/arcgis/rest/services/Planning/Build_Out_Analysis/MapServer/9/49?f=html</t>
        </is>
      </c>
      <c r="R34" t="inlineStr">
        <is>
          <t>Completed</t>
        </is>
      </c>
    </row>
    <row r="35">
      <c r="A35" t="n">
        <v>34</v>
      </c>
      <c r="B35" t="n">
        <v>34</v>
      </c>
      <c r="C35" t="inlineStr">
        <is>
          <t>Amazon AWS IAD-103</t>
        </is>
      </c>
      <c r="D35" t="inlineStr">
        <is>
          <t>Completed</t>
        </is>
      </c>
      <c r="E35" t="inlineStr">
        <is>
          <t>Amazon Tanner Way</t>
        </is>
      </c>
      <c r="F35" t="inlineStr">
        <is>
          <t>REZ2018-00002</t>
        </is>
      </c>
      <c r="G35" t="inlineStr">
        <is>
          <t>7695-62-8723</t>
        </is>
      </c>
      <c r="H35" t="inlineStr">
        <is>
          <t>10261 TANNER WAY</t>
        </is>
      </c>
      <c r="I35" t="n">
        <v>153582</v>
      </c>
      <c r="J35" t="n">
        <v>2023</v>
      </c>
      <c r="K35" t="inlineStr">
        <is>
          <t>REZ2018-00002</t>
        </is>
      </c>
      <c r="L35" t="inlineStr">
        <is>
          <t>BLD2021-00330</t>
        </is>
      </c>
      <c r="M35" t="inlineStr">
        <is>
          <t>Finaled</t>
        </is>
      </c>
      <c r="N35" t="inlineStr">
        <is>
          <t>2023-03-12</t>
        </is>
      </c>
      <c r="O35" t="inlineStr">
        <is>
          <t>2026-06-10</t>
        </is>
      </c>
      <c r="P35" t="n">
        <v>47</v>
      </c>
      <c r="Q35" t="inlineStr">
        <is>
          <t>https://gisweb.pwcva.gov/arcgis/rest/services/Planning/Build_Out_Analysis/MapServer/9/47?f=html</t>
        </is>
      </c>
      <c r="R35" t="inlineStr">
        <is>
          <t>Completed</t>
        </is>
      </c>
    </row>
    <row r="36">
      <c r="A36" t="n">
        <v>35</v>
      </c>
      <c r="B36" t="n">
        <v>35</v>
      </c>
      <c r="C36" t="inlineStr">
        <is>
          <t>Manassas Amazon AWS 139</t>
        </is>
      </c>
      <c r="D36" t="inlineStr">
        <is>
          <t>Completed</t>
        </is>
      </c>
      <c r="E36" t="inlineStr">
        <is>
          <t>Amazon Thomasson Barn</t>
        </is>
      </c>
      <c r="F36" t="inlineStr">
        <is>
          <t>PLN2007-00535</t>
        </is>
      </c>
      <c r="G36" t="inlineStr">
        <is>
          <t>7595-95-6147</t>
        </is>
      </c>
      <c r="H36" t="inlineStr">
        <is>
          <t>11200 THOMASSON BARN RD</t>
        </is>
      </c>
      <c r="I36" t="n">
        <v>149404</v>
      </c>
      <c r="J36" t="n">
        <v>2019</v>
      </c>
      <c r="L36" t="inlineStr">
        <is>
          <t>BLD2019-02581</t>
        </is>
      </c>
      <c r="M36" t="inlineStr">
        <is>
          <t>Finaled</t>
        </is>
      </c>
      <c r="N36" t="inlineStr">
        <is>
          <t>2019-11-14</t>
        </is>
      </c>
      <c r="O36" t="inlineStr">
        <is>
          <t>2026-10-02</t>
        </is>
      </c>
      <c r="P36" t="n">
        <v>35</v>
      </c>
      <c r="Q36" t="inlineStr">
        <is>
          <t>https://gisweb.pwcva.gov/arcgis/rest/services/Planning/Build_Out_Analysis/MapServer/9/35?f=html</t>
        </is>
      </c>
      <c r="R36" t="inlineStr">
        <is>
          <t>Completed</t>
        </is>
      </c>
    </row>
    <row r="37">
      <c r="A37" t="n">
        <v>36</v>
      </c>
      <c r="B37" t="n">
        <v>36</v>
      </c>
      <c r="C37" t="inlineStr">
        <is>
          <t>Manassas Amazon AWS 140</t>
        </is>
      </c>
      <c r="D37" t="inlineStr">
        <is>
          <t>Completed</t>
        </is>
      </c>
      <c r="E37" t="inlineStr">
        <is>
          <t>Amazon Thomasson Barn</t>
        </is>
      </c>
      <c r="F37" t="inlineStr">
        <is>
          <t>PLN2007-00535</t>
        </is>
      </c>
      <c r="G37" t="inlineStr">
        <is>
          <t>7595-95-6147</t>
        </is>
      </c>
      <c r="H37" t="inlineStr">
        <is>
          <t>11150 THOMASSON BARN RD</t>
        </is>
      </c>
      <c r="I37" t="n">
        <v>202626</v>
      </c>
      <c r="J37" t="n">
        <v>2020</v>
      </c>
      <c r="L37" t="inlineStr">
        <is>
          <t>BLD2019-01459</t>
        </is>
      </c>
      <c r="M37" t="inlineStr">
        <is>
          <t>Finaled</t>
        </is>
      </c>
      <c r="N37" t="inlineStr">
        <is>
          <t>2020-02-04</t>
        </is>
      </c>
      <c r="O37" t="inlineStr">
        <is>
          <t>2026-10-02</t>
        </is>
      </c>
      <c r="P37" t="n">
        <v>36</v>
      </c>
      <c r="Q37" t="inlineStr">
        <is>
          <t>https://gisweb.pwcva.gov/arcgis/rest/services/Planning/Build_Out_Analysis/MapServer/9/36?f=html</t>
        </is>
      </c>
      <c r="R37" t="inlineStr">
        <is>
          <t>Completed</t>
        </is>
      </c>
    </row>
    <row r="38">
      <c r="A38" t="n">
        <v>37</v>
      </c>
      <c r="B38" t="n">
        <v>37</v>
      </c>
      <c r="C38" t="inlineStr">
        <is>
          <t>Village Place Technology Park Bldg 1</t>
        </is>
      </c>
      <c r="D38" t="inlineStr">
        <is>
          <t>Under Construction</t>
        </is>
      </c>
      <c r="E38" t="inlineStr">
        <is>
          <t>Amazon Village Place Technology Park</t>
        </is>
      </c>
      <c r="F38" t="inlineStr">
        <is>
          <t>REZ2020-00024</t>
        </is>
      </c>
      <c r="G38" t="inlineStr">
        <is>
          <t>7397-35-8363</t>
        </is>
      </c>
      <c r="H38" t="inlineStr">
        <is>
          <t>14435 JOHN MARSHALL HWY</t>
        </is>
      </c>
      <c r="I38" t="n">
        <v>217917</v>
      </c>
      <c r="L38" t="inlineStr">
        <is>
          <t>BLD2024-03062</t>
        </is>
      </c>
      <c r="M38" t="inlineStr">
        <is>
          <t>Issued</t>
        </is>
      </c>
      <c r="O38" t="inlineStr">
        <is>
          <t>2026-08-06</t>
        </is>
      </c>
      <c r="P38" t="n">
        <v>100</v>
      </c>
      <c r="Q38" t="inlineStr">
        <is>
          <t>https://gisweb.pwcva.gov/arcgis/rest/services/Planning/Build_Out_Analysis/MapServer/9/100?f=html</t>
        </is>
      </c>
      <c r="R38" t="inlineStr">
        <is>
          <t>Under Construction</t>
        </is>
      </c>
    </row>
    <row r="39">
      <c r="A39" t="n">
        <v>38</v>
      </c>
      <c r="B39" t="n">
        <v>38</v>
      </c>
      <c r="C39" t="inlineStr">
        <is>
          <t>Village Place Technology Park Bldg 2</t>
        </is>
      </c>
      <c r="D39" t="inlineStr">
        <is>
          <t>Under Construction</t>
        </is>
      </c>
      <c r="E39" t="inlineStr">
        <is>
          <t>Amazon Village Place Technology Park</t>
        </is>
      </c>
      <c r="F39" t="inlineStr">
        <is>
          <t>REZ2020-00024</t>
        </is>
      </c>
      <c r="G39" t="inlineStr">
        <is>
          <t>7397-35-5597</t>
        </is>
      </c>
      <c r="H39" t="inlineStr">
        <is>
          <t>14455 JOHN MARSHALL HWY</t>
        </is>
      </c>
      <c r="I39" t="n">
        <v>0</v>
      </c>
      <c r="L39" t="inlineStr">
        <is>
          <t>BLD2023-07720</t>
        </is>
      </c>
      <c r="M39" t="inlineStr">
        <is>
          <t>Issued</t>
        </is>
      </c>
      <c r="O39" t="inlineStr">
        <is>
          <t>2026-02-01</t>
        </is>
      </c>
      <c r="P39" t="n">
        <v>99</v>
      </c>
      <c r="Q39" t="inlineStr">
        <is>
          <t>https://gisweb.pwcva.gov/arcgis/rest/services/Planning/Build_Out_Analysis/MapServer/9/99?f=html</t>
        </is>
      </c>
      <c r="R39" t="inlineStr">
        <is>
          <t>Under Construction</t>
        </is>
      </c>
    </row>
    <row r="40">
      <c r="A40" t="n">
        <v>39</v>
      </c>
      <c r="B40" t="n">
        <v>39</v>
      </c>
      <c r="C40" t="inlineStr">
        <is>
          <t>Village Place Technology Park Bldg 3</t>
        </is>
      </c>
      <c r="D40" t="inlineStr">
        <is>
          <t>Under Construction</t>
        </is>
      </c>
      <c r="E40" t="inlineStr">
        <is>
          <t>Amazon Village Place Technology Park</t>
        </is>
      </c>
      <c r="F40" t="inlineStr">
        <is>
          <t>REZ2020-00024</t>
        </is>
      </c>
      <c r="G40" t="inlineStr">
        <is>
          <t>7397-36-2834</t>
        </is>
      </c>
      <c r="H40" t="inlineStr">
        <is>
          <t>14475 JOHN MARSHALL HWY</t>
        </is>
      </c>
      <c r="I40" t="n">
        <v>0</v>
      </c>
      <c r="L40" t="inlineStr">
        <is>
          <t>BLD2023-04861</t>
        </is>
      </c>
      <c r="M40" t="inlineStr">
        <is>
          <t>Issued</t>
        </is>
      </c>
      <c r="O40" t="inlineStr">
        <is>
          <t>2026-02-01</t>
        </is>
      </c>
      <c r="P40" t="n">
        <v>98</v>
      </c>
      <c r="Q40" t="inlineStr">
        <is>
          <t>https://gisweb.pwcva.gov/arcgis/rest/services/Planning/Build_Out_Analysis/MapServer/9/98?f=html</t>
        </is>
      </c>
      <c r="R40" t="inlineStr">
        <is>
          <t>Under Construction</t>
        </is>
      </c>
    </row>
    <row r="41">
      <c r="A41" t="n">
        <v>40</v>
      </c>
      <c r="B41" t="n">
        <v>40</v>
      </c>
      <c r="C41" t="inlineStr">
        <is>
          <t>Village Place Technology Park Bldg 4</t>
        </is>
      </c>
      <c r="D41" t="inlineStr">
        <is>
          <t>Under Construction</t>
        </is>
      </c>
      <c r="E41" t="inlineStr">
        <is>
          <t>Amazon Village Place Technology Park</t>
        </is>
      </c>
      <c r="F41" t="inlineStr">
        <is>
          <t>REZ2020-00024</t>
        </is>
      </c>
      <c r="G41" t="inlineStr">
        <is>
          <t>7397-36-1468</t>
        </is>
      </c>
      <c r="H41" t="inlineStr">
        <is>
          <t>14495 JOHN MARSHALL HWY</t>
        </is>
      </c>
      <c r="I41" t="n">
        <v>0</v>
      </c>
      <c r="L41" t="inlineStr">
        <is>
          <t>BLD2023-01296</t>
        </is>
      </c>
      <c r="M41" t="inlineStr">
        <is>
          <t>Issued</t>
        </is>
      </c>
      <c r="O41" t="inlineStr">
        <is>
          <t>2026-02-01</t>
        </is>
      </c>
      <c r="P41" t="n">
        <v>97</v>
      </c>
      <c r="Q41" t="inlineStr">
        <is>
          <t>https://gisweb.pwcva.gov/arcgis/rest/services/Planning/Build_Out_Analysis/MapServer/9/97?f=html</t>
        </is>
      </c>
      <c r="R41" t="inlineStr">
        <is>
          <t>Under Construction</t>
        </is>
      </c>
    </row>
    <row r="42">
      <c r="A42" t="n">
        <v>41</v>
      </c>
      <c r="B42" t="n">
        <v>41</v>
      </c>
      <c r="C42" t="inlineStr">
        <is>
          <t>Amazon AWS IAD-73 Manassas</t>
        </is>
      </c>
      <c r="D42" t="inlineStr">
        <is>
          <t>Completed</t>
        </is>
      </c>
      <c r="E42" t="inlineStr">
        <is>
          <t>Amazon Wellington South</t>
        </is>
      </c>
      <c r="F42" t="inlineStr">
        <is>
          <t>REZ1989-0069</t>
        </is>
      </c>
      <c r="G42" t="inlineStr">
        <is>
          <t>7596-17-3979</t>
        </is>
      </c>
      <c r="H42" t="inlineStr">
        <is>
          <t>7060 WELLINGTON RD</t>
        </is>
      </c>
      <c r="I42" t="n">
        <v>148580</v>
      </c>
      <c r="J42" t="n">
        <v>2016</v>
      </c>
      <c r="L42" t="inlineStr">
        <is>
          <t>BLD2015-23921</t>
        </is>
      </c>
      <c r="M42" t="inlineStr">
        <is>
          <t>Finaled</t>
        </is>
      </c>
      <c r="N42" t="inlineStr">
        <is>
          <t>2016-07-21</t>
        </is>
      </c>
      <c r="O42" t="inlineStr">
        <is>
          <t>2026-08-21</t>
        </is>
      </c>
      <c r="P42" t="n">
        <v>10</v>
      </c>
      <c r="Q42" t="inlineStr">
        <is>
          <t>https://gisweb.pwcva.gov/arcgis/rest/services/Planning/Build_Out_Analysis/MapServer/9/10?f=html</t>
        </is>
      </c>
      <c r="R42" t="inlineStr">
        <is>
          <t>Completed</t>
        </is>
      </c>
    </row>
    <row r="43">
      <c r="A43" t="n">
        <v>42</v>
      </c>
      <c r="B43" t="n">
        <v>42</v>
      </c>
      <c r="C43" t="inlineStr">
        <is>
          <t>Amazon AWS IAD-74 Manassas</t>
        </is>
      </c>
      <c r="D43" t="inlineStr">
        <is>
          <t>Completed</t>
        </is>
      </c>
      <c r="E43" t="inlineStr">
        <is>
          <t>Amazon Wellington South</t>
        </is>
      </c>
      <c r="F43" t="inlineStr">
        <is>
          <t>REZ1989-0069</t>
        </is>
      </c>
      <c r="G43" t="inlineStr">
        <is>
          <t>7596-17-3979</t>
        </is>
      </c>
      <c r="H43" t="inlineStr">
        <is>
          <t>7070 WELLINGTON RD</t>
        </is>
      </c>
      <c r="I43" t="n">
        <v>148580</v>
      </c>
      <c r="J43" t="n">
        <v>2016</v>
      </c>
      <c r="L43" t="inlineStr">
        <is>
          <t>BLD2015-22325</t>
        </is>
      </c>
      <c r="M43" t="inlineStr">
        <is>
          <t>Finaled</t>
        </is>
      </c>
      <c r="N43" t="inlineStr">
        <is>
          <t>2016-01-21</t>
        </is>
      </c>
      <c r="O43" t="inlineStr">
        <is>
          <t>2026-08-21</t>
        </is>
      </c>
      <c r="P43" t="n">
        <v>9</v>
      </c>
      <c r="Q43" t="inlineStr">
        <is>
          <t>https://gisweb.pwcva.gov/arcgis/rest/services/Planning/Build_Out_Analysis/MapServer/9/9?f=html</t>
        </is>
      </c>
      <c r="R43" t="inlineStr">
        <is>
          <t>Completed</t>
        </is>
      </c>
    </row>
    <row r="44">
      <c r="A44" t="n">
        <v>43</v>
      </c>
      <c r="B44" t="n">
        <v>43</v>
      </c>
      <c r="C44" t="inlineStr">
        <is>
          <t>Ashton Data Center 1</t>
        </is>
      </c>
      <c r="D44" t="inlineStr">
        <is>
          <t>Pending</t>
        </is>
      </c>
      <c r="E44" t="inlineStr">
        <is>
          <t>Ashton Data Center</t>
        </is>
      </c>
      <c r="F44" t="inlineStr">
        <is>
          <t>REZ2022-00031</t>
        </is>
      </c>
      <c r="G44" t="inlineStr">
        <is>
          <t>7696-46-3403</t>
        </is>
      </c>
      <c r="H44" t="inlineStr">
        <is>
          <t>8552 ASHTON AVE</t>
        </is>
      </c>
      <c r="I44" t="n">
        <v>300000</v>
      </c>
      <c r="K44" t="inlineStr">
        <is>
          <t>REZ2022-00031</t>
        </is>
      </c>
      <c r="M44" t="inlineStr">
        <is>
          <t>Planned</t>
        </is>
      </c>
      <c r="O44" t="inlineStr">
        <is>
          <t>2026-04-21</t>
        </is>
      </c>
      <c r="P44" t="n">
        <v>141</v>
      </c>
      <c r="Q44" t="inlineStr">
        <is>
          <t>https://gisweb.pwcva.gov/arcgis/rest/services/Planning/Build_Out_Analysis/MapServer/9/141?f=html</t>
        </is>
      </c>
      <c r="R44" t="inlineStr">
        <is>
          <t>Pending</t>
        </is>
      </c>
    </row>
    <row r="45">
      <c r="A45" t="n">
        <v>44</v>
      </c>
      <c r="B45" t="n">
        <v>44</v>
      </c>
      <c r="C45" t="inlineStr">
        <is>
          <t>Ashton Data Center 2</t>
        </is>
      </c>
      <c r="D45" t="inlineStr">
        <is>
          <t>Pending</t>
        </is>
      </c>
      <c r="E45" t="inlineStr">
        <is>
          <t>Ashton Data Center</t>
        </is>
      </c>
      <c r="F45" t="inlineStr">
        <is>
          <t>REZ2022-00031</t>
        </is>
      </c>
      <c r="G45" t="inlineStr">
        <is>
          <t>7696-46-3403</t>
        </is>
      </c>
      <c r="H45" t="inlineStr">
        <is>
          <t>8552 ASHTON AVE</t>
        </is>
      </c>
      <c r="I45" t="n">
        <v>300000</v>
      </c>
      <c r="K45" t="inlineStr">
        <is>
          <t>REZ2022-00031</t>
        </is>
      </c>
      <c r="M45" t="inlineStr">
        <is>
          <t>Planned</t>
        </is>
      </c>
      <c r="O45" t="inlineStr">
        <is>
          <t>2026-04-21</t>
        </is>
      </c>
      <c r="P45" t="n">
        <v>162</v>
      </c>
      <c r="Q45" t="inlineStr">
        <is>
          <t>https://gisweb.pwcva.gov/arcgis/rest/services/Planning/Build_Out_Analysis/MapServer/9/162?f=html</t>
        </is>
      </c>
      <c r="R45" t="inlineStr">
        <is>
          <t>Pending</t>
        </is>
      </c>
    </row>
    <row r="46">
      <c r="A46" t="n">
        <v>45</v>
      </c>
      <c r="B46" t="n">
        <v>45</v>
      </c>
      <c r="C46" t="inlineStr">
        <is>
          <t>Astrid North</t>
        </is>
      </c>
      <c r="D46" t="inlineStr">
        <is>
          <t>Planned</t>
        </is>
      </c>
      <c r="E46" t="inlineStr">
        <is>
          <t>Astrid</t>
        </is>
      </c>
      <c r="F46" t="inlineStr">
        <is>
          <t>REZ1958-0021</t>
        </is>
      </c>
      <c r="G46" t="inlineStr">
        <is>
          <t>7497-61-8568</t>
        </is>
      </c>
      <c r="H46" t="inlineStr">
        <is>
          <t>6201 WELLINGTON RD</t>
        </is>
      </c>
      <c r="I46" t="n">
        <v>1700000</v>
      </c>
      <c r="K46" t="inlineStr">
        <is>
          <t>REZ1958-0021</t>
        </is>
      </c>
      <c r="M46" t="inlineStr">
        <is>
          <t>Planned</t>
        </is>
      </c>
      <c r="O46" t="inlineStr">
        <is>
          <t>2026-05-19</t>
        </is>
      </c>
      <c r="P46" t="n">
        <v>251</v>
      </c>
      <c r="Q46" t="inlineStr">
        <is>
          <t>https://gisweb.pwcva.gov/arcgis/rest/services/Planning/Build_Out_Analysis/MapServer/9/251?f=html</t>
        </is>
      </c>
      <c r="R46" t="inlineStr">
        <is>
          <t>Planned</t>
        </is>
      </c>
    </row>
    <row r="47">
      <c r="A47" t="n">
        <v>46</v>
      </c>
      <c r="B47" t="n">
        <v>46</v>
      </c>
      <c r="C47" t="inlineStr">
        <is>
          <t>Astrid South</t>
        </is>
      </c>
      <c r="D47" t="inlineStr">
        <is>
          <t>Planned</t>
        </is>
      </c>
      <c r="E47" t="inlineStr">
        <is>
          <t>Astrid</t>
        </is>
      </c>
      <c r="F47" t="inlineStr">
        <is>
          <t>REZ1958-0021</t>
        </is>
      </c>
      <c r="G47" t="inlineStr">
        <is>
          <t>7497-61-8568</t>
        </is>
      </c>
      <c r="H47" t="inlineStr">
        <is>
          <t>6201 WELLINGTON RD</t>
        </is>
      </c>
      <c r="I47" t="n">
        <v>1100000</v>
      </c>
      <c r="K47" t="inlineStr">
        <is>
          <t>REZ1958-0021</t>
        </is>
      </c>
      <c r="M47" t="inlineStr">
        <is>
          <t>Planned</t>
        </is>
      </c>
      <c r="O47" t="inlineStr">
        <is>
          <t>2026-05-19</t>
        </is>
      </c>
      <c r="P47" t="n">
        <v>252</v>
      </c>
      <c r="Q47" t="inlineStr">
        <is>
          <t>https://gisweb.pwcva.gov/arcgis/rest/services/Planning/Build_Out_Analysis/MapServer/9/252?f=html</t>
        </is>
      </c>
      <c r="R47" t="inlineStr">
        <is>
          <t>Planned</t>
        </is>
      </c>
    </row>
    <row r="48">
      <c r="A48" t="n">
        <v>47</v>
      </c>
      <c r="B48" t="n">
        <v>47</v>
      </c>
      <c r="C48" t="inlineStr">
        <is>
          <t>Atlantic Funding 1</t>
        </is>
      </c>
      <c r="D48" t="inlineStr">
        <is>
          <t>Pending</t>
        </is>
      </c>
      <c r="E48" t="inlineStr">
        <is>
          <t>Atlantic Funding</t>
        </is>
      </c>
      <c r="F48" t="inlineStr">
        <is>
          <t>REZ2026-00041</t>
        </is>
      </c>
      <c r="G48" t="inlineStr">
        <is>
          <t>8290-03-9812</t>
        </is>
      </c>
      <c r="H48" t="inlineStr">
        <is>
          <t>16251 DUMFRIES ROAD</t>
        </is>
      </c>
      <c r="I48" t="n">
        <v>200627</v>
      </c>
      <c r="K48" t="inlineStr">
        <is>
          <t>REZ2026-00041</t>
        </is>
      </c>
      <c r="M48" t="inlineStr">
        <is>
          <t>Planned</t>
        </is>
      </c>
      <c r="O48" t="inlineStr">
        <is>
          <t>2026-05-26</t>
        </is>
      </c>
      <c r="P48" t="n">
        <v>255</v>
      </c>
      <c r="Q48" t="inlineStr">
        <is>
          <t>https://gisweb.pwcva.gov/arcgis/rest/services/Planning/Build_Out_Analysis/MapServer/9/255?f=html</t>
        </is>
      </c>
      <c r="R48" t="inlineStr">
        <is>
          <t>Pending</t>
        </is>
      </c>
    </row>
    <row r="49">
      <c r="A49" t="n">
        <v>48</v>
      </c>
      <c r="B49" t="n">
        <v>48</v>
      </c>
      <c r="C49" t="inlineStr">
        <is>
          <t>Atlantic Funding 2</t>
        </is>
      </c>
      <c r="D49" t="inlineStr">
        <is>
          <t>Pending</t>
        </is>
      </c>
      <c r="E49" t="inlineStr">
        <is>
          <t>Atlantic Funding</t>
        </is>
      </c>
      <c r="F49" t="inlineStr">
        <is>
          <t>REZ2026-00041</t>
        </is>
      </c>
      <c r="G49" t="inlineStr">
        <is>
          <t>8290-03-9812</t>
        </is>
      </c>
      <c r="H49" t="inlineStr">
        <is>
          <t>16251 DUMFRIES ROAD</t>
        </is>
      </c>
      <c r="I49" t="n">
        <v>200627</v>
      </c>
      <c r="K49" t="inlineStr">
        <is>
          <t>REZ2026-00041</t>
        </is>
      </c>
      <c r="M49" t="inlineStr">
        <is>
          <t>Planned</t>
        </is>
      </c>
      <c r="O49" t="inlineStr">
        <is>
          <t>2026-05-26</t>
        </is>
      </c>
      <c r="P49" t="n">
        <v>254</v>
      </c>
      <c r="Q49" t="inlineStr">
        <is>
          <t>https://gisweb.pwcva.gov/arcgis/rest/services/Planning/Build_Out_Analysis/MapServer/9/254?f=html</t>
        </is>
      </c>
      <c r="R49" t="inlineStr">
        <is>
          <t>Pending</t>
        </is>
      </c>
    </row>
    <row r="50">
      <c r="A50" t="n">
        <v>49</v>
      </c>
      <c r="B50" t="n">
        <v>49</v>
      </c>
      <c r="C50" t="inlineStr">
        <is>
          <t>Atlantic Funding 3</t>
        </is>
      </c>
      <c r="D50" t="inlineStr">
        <is>
          <t>Pending</t>
        </is>
      </c>
      <c r="E50" t="inlineStr">
        <is>
          <t>Atlantic Funding</t>
        </is>
      </c>
      <c r="F50" t="inlineStr">
        <is>
          <t>REZ2026-00041</t>
        </is>
      </c>
      <c r="G50" t="inlineStr">
        <is>
          <t>8290-03-9812</t>
        </is>
      </c>
      <c r="H50" t="inlineStr">
        <is>
          <t>16251 DUMFRIES ROAD</t>
        </is>
      </c>
      <c r="I50" t="n">
        <v>200627</v>
      </c>
      <c r="K50" t="inlineStr">
        <is>
          <t>REZ2026-00041</t>
        </is>
      </c>
      <c r="M50" t="inlineStr">
        <is>
          <t>Planned</t>
        </is>
      </c>
      <c r="O50" t="inlineStr">
        <is>
          <t>2026-05-26</t>
        </is>
      </c>
      <c r="P50" t="n">
        <v>253</v>
      </c>
      <c r="Q50" t="inlineStr">
        <is>
          <t>https://gisweb.pwcva.gov/arcgis/rest/services/Planning/Build_Out_Analysis/MapServer/9/253?f=html</t>
        </is>
      </c>
      <c r="R50" t="inlineStr">
        <is>
          <t>Pending</t>
        </is>
      </c>
    </row>
    <row r="51">
      <c r="A51" t="n">
        <v>50</v>
      </c>
      <c r="B51" t="n">
        <v>50</v>
      </c>
      <c r="C51" t="inlineStr">
        <is>
          <t>Century Park - McLane Site</t>
        </is>
      </c>
      <c r="D51" t="inlineStr">
        <is>
          <t>Planned</t>
        </is>
      </c>
      <c r="E51" t="inlineStr">
        <is>
          <t>Century Park</t>
        </is>
      </c>
      <c r="F51" t="inlineStr">
        <is>
          <t>REZ1969-0021</t>
        </is>
      </c>
      <c r="G51" t="inlineStr">
        <is>
          <t>7597-53-0484</t>
        </is>
      </c>
      <c r="H51" t="inlineStr">
        <is>
          <t>7501 CENTURY PARK DR</t>
        </is>
      </c>
      <c r="I51" t="n">
        <v>620000</v>
      </c>
      <c r="K51" t="inlineStr">
        <is>
          <t>REZ1969-0021</t>
        </is>
      </c>
      <c r="M51" t="inlineStr">
        <is>
          <t>Planned</t>
        </is>
      </c>
      <c r="O51" t="inlineStr">
        <is>
          <t>2026-09-23</t>
        </is>
      </c>
      <c r="P51" t="n">
        <v>682</v>
      </c>
      <c r="Q51" t="inlineStr">
        <is>
          <t>https://gisweb.pwcva.gov/arcgis/rest/services/Planning/Build_Out_Analysis/MapServer/9/682?f=html</t>
        </is>
      </c>
      <c r="R51" t="inlineStr">
        <is>
          <t>Planned</t>
        </is>
      </c>
    </row>
    <row r="52">
      <c r="A52" t="n">
        <v>51</v>
      </c>
      <c r="B52" t="n">
        <v>51</v>
      </c>
      <c r="C52" t="inlineStr">
        <is>
          <t>Century Park 1</t>
        </is>
      </c>
      <c r="D52" t="inlineStr">
        <is>
          <t>Planned</t>
        </is>
      </c>
      <c r="E52" t="inlineStr">
        <is>
          <t>Century Park Phase 2 &amp; 3</t>
        </is>
      </c>
      <c r="F52" t="inlineStr">
        <is>
          <t>REZ1969-0021</t>
        </is>
      </c>
      <c r="G52" t="inlineStr">
        <is>
          <t>7597-54-1893.01</t>
        </is>
      </c>
      <c r="H52" t="inlineStr">
        <is>
          <t>7101 CENTURY PARK DR</t>
        </is>
      </c>
      <c r="I52" t="n">
        <v>252000</v>
      </c>
      <c r="K52" t="inlineStr">
        <is>
          <t>REZ1969-0021</t>
        </is>
      </c>
      <c r="M52" t="inlineStr">
        <is>
          <t>Planned</t>
        </is>
      </c>
      <c r="O52" t="inlineStr">
        <is>
          <t>2026-06-03</t>
        </is>
      </c>
      <c r="P52" t="n">
        <v>260</v>
      </c>
      <c r="Q52" t="inlineStr">
        <is>
          <t>https://gisweb.pwcva.gov/arcgis/rest/services/Planning/Build_Out_Analysis/MapServer/9/260?f=html</t>
        </is>
      </c>
      <c r="R52" t="inlineStr">
        <is>
          <t>Planned</t>
        </is>
      </c>
    </row>
    <row r="53">
      <c r="A53" t="n">
        <v>52</v>
      </c>
      <c r="B53" t="n">
        <v>52</v>
      </c>
      <c r="C53" t="inlineStr">
        <is>
          <t>Century Park 2</t>
        </is>
      </c>
      <c r="D53" t="inlineStr">
        <is>
          <t>Planned</t>
        </is>
      </c>
      <c r="E53" t="inlineStr">
        <is>
          <t>Century Park Phase 2 &amp; 3</t>
        </is>
      </c>
      <c r="F53" t="inlineStr">
        <is>
          <t>REZ1969-0021</t>
        </is>
      </c>
      <c r="G53" t="inlineStr">
        <is>
          <t>7597-54-9420.01</t>
        </is>
      </c>
      <c r="H53" t="inlineStr">
        <is>
          <t>7300 CENTURY PARK DR</t>
        </is>
      </c>
      <c r="I53" t="n">
        <v>164000</v>
      </c>
      <c r="K53" t="inlineStr">
        <is>
          <t>REZ1969-0021</t>
        </is>
      </c>
      <c r="M53" t="inlineStr">
        <is>
          <t>Planned</t>
        </is>
      </c>
      <c r="O53" t="inlineStr">
        <is>
          <t>2026-06-03</t>
        </is>
      </c>
      <c r="P53" t="n">
        <v>259</v>
      </c>
      <c r="Q53" t="inlineStr">
        <is>
          <t>https://gisweb.pwcva.gov/arcgis/rest/services/Planning/Build_Out_Analysis/MapServer/9/259?f=html</t>
        </is>
      </c>
      <c r="R53" t="inlineStr">
        <is>
          <t>Planned</t>
        </is>
      </c>
    </row>
    <row r="54">
      <c r="A54" t="n">
        <v>53</v>
      </c>
      <c r="B54" t="n">
        <v>53</v>
      </c>
      <c r="C54" t="inlineStr">
        <is>
          <t>CloudHQ Manassas Corporate Center 1</t>
        </is>
      </c>
      <c r="D54" t="inlineStr">
        <is>
          <t>Completed</t>
        </is>
      </c>
      <c r="E54" t="inlineStr">
        <is>
          <t>CloudHQ Manassas Corporate Center (MCC)</t>
        </is>
      </c>
      <c r="F54" t="inlineStr">
        <is>
          <t>PLN2011-00437</t>
        </is>
      </c>
      <c r="G54" t="inlineStr">
        <is>
          <t>7694-85-3066</t>
        </is>
      </c>
      <c r="H54" t="inlineStr">
        <is>
          <t>10880 AIRMAN AVE</t>
        </is>
      </c>
      <c r="I54" t="n">
        <v>460248</v>
      </c>
      <c r="J54" t="n">
        <v>2017</v>
      </c>
      <c r="L54" t="inlineStr">
        <is>
          <t>BLD2016-05888</t>
        </is>
      </c>
      <c r="M54" t="inlineStr">
        <is>
          <t>Finaled</t>
        </is>
      </c>
      <c r="N54" t="inlineStr">
        <is>
          <t>2017-09-13</t>
        </is>
      </c>
      <c r="O54" t="inlineStr">
        <is>
          <t>2026-08-21</t>
        </is>
      </c>
      <c r="P54" t="n">
        <v>51</v>
      </c>
      <c r="Q54" t="inlineStr">
        <is>
          <t>https://gisweb.pwcva.gov/arcgis/rest/services/Planning/Build_Out_Analysis/MapServer/9/51?f=html</t>
        </is>
      </c>
      <c r="R54" t="inlineStr">
        <is>
          <t>Completed</t>
        </is>
      </c>
    </row>
    <row r="55">
      <c r="A55" t="n">
        <v>54</v>
      </c>
      <c r="B55" t="n">
        <v>54</v>
      </c>
      <c r="C55" t="inlineStr">
        <is>
          <t>CloudHQ Manassas Corporate Center 2</t>
        </is>
      </c>
      <c r="D55" t="inlineStr">
        <is>
          <t>Completed</t>
        </is>
      </c>
      <c r="E55" t="inlineStr">
        <is>
          <t>CloudHQ Manassas Corporate Center (MCC)</t>
        </is>
      </c>
      <c r="F55" t="inlineStr">
        <is>
          <t>PLN2011-00437</t>
        </is>
      </c>
      <c r="G55" t="inlineStr">
        <is>
          <t>7694-87-3694</t>
        </is>
      </c>
      <c r="H55" t="inlineStr">
        <is>
          <t>10100 HARRY J PARRISH BLVD</t>
        </is>
      </c>
      <c r="I55" t="n">
        <v>392565</v>
      </c>
      <c r="J55" t="n">
        <v>2021</v>
      </c>
      <c r="L55" t="inlineStr">
        <is>
          <t>BLD2019-02023</t>
        </is>
      </c>
      <c r="M55" t="inlineStr">
        <is>
          <t>Finaled</t>
        </is>
      </c>
      <c r="N55" t="inlineStr">
        <is>
          <t>2021-01-04</t>
        </is>
      </c>
      <c r="O55" t="inlineStr">
        <is>
          <t>2026-08-21</t>
        </is>
      </c>
      <c r="P55" t="n">
        <v>50</v>
      </c>
      <c r="Q55" t="inlineStr">
        <is>
          <t>https://gisweb.pwcva.gov/arcgis/rest/services/Planning/Build_Out_Analysis/MapServer/9/50?f=html</t>
        </is>
      </c>
      <c r="R55" t="inlineStr">
        <is>
          <t>Completed</t>
        </is>
      </c>
    </row>
    <row r="56">
      <c r="A56" t="n">
        <v>55</v>
      </c>
      <c r="B56" t="n">
        <v>55</v>
      </c>
      <c r="C56" t="inlineStr">
        <is>
          <t>CloudHQ Manassas Corporate Center 3</t>
        </is>
      </c>
      <c r="D56" t="inlineStr">
        <is>
          <t>Planned</t>
        </is>
      </c>
      <c r="E56" t="inlineStr">
        <is>
          <t>CloudHQ Manassas Corporate Center (MCC)</t>
        </is>
      </c>
      <c r="F56" t="inlineStr">
        <is>
          <t>PLN2011-00437</t>
        </is>
      </c>
      <c r="G56" t="inlineStr">
        <is>
          <t>7794-06-4463</t>
        </is>
      </c>
      <c r="H56" t="inlineStr">
        <is>
          <t>10740 AIRMAN AVE</t>
        </is>
      </c>
      <c r="I56" t="n">
        <v>317944</v>
      </c>
      <c r="J56" t="n">
        <v>0</v>
      </c>
      <c r="M56" t="inlineStr">
        <is>
          <t>Planned</t>
        </is>
      </c>
      <c r="O56" t="inlineStr">
        <is>
          <t>2026-04-23</t>
        </is>
      </c>
      <c r="P56" t="n">
        <v>53</v>
      </c>
      <c r="Q56" t="inlineStr">
        <is>
          <t>https://gisweb.pwcva.gov/arcgis/rest/services/Planning/Build_Out_Analysis/MapServer/9/53?f=html</t>
        </is>
      </c>
      <c r="R56" t="inlineStr">
        <is>
          <t>Planned</t>
        </is>
      </c>
    </row>
    <row r="57">
      <c r="A57" t="n">
        <v>56</v>
      </c>
      <c r="B57" t="n">
        <v>56</v>
      </c>
      <c r="C57" t="inlineStr">
        <is>
          <t>CloudHQ Manassas Corporate Center 4</t>
        </is>
      </c>
      <c r="D57" t="inlineStr">
        <is>
          <t>Planned</t>
        </is>
      </c>
      <c r="E57" t="inlineStr">
        <is>
          <t>CloudHQ Manassas Corporate Center (MCC)</t>
        </is>
      </c>
      <c r="F57" t="inlineStr">
        <is>
          <t>PLN2011-00437</t>
        </is>
      </c>
      <c r="G57" t="inlineStr">
        <is>
          <t>7694-96-2732</t>
        </is>
      </c>
      <c r="H57" t="inlineStr">
        <is>
          <t>10849 AIRMAN AVE</t>
        </is>
      </c>
      <c r="I57" t="n">
        <v>252309</v>
      </c>
      <c r="J57" t="n">
        <v>0</v>
      </c>
      <c r="M57" t="inlineStr">
        <is>
          <t>Planned</t>
        </is>
      </c>
      <c r="O57" t="inlineStr">
        <is>
          <t>2026-04-23</t>
        </is>
      </c>
      <c r="P57" t="n">
        <v>54</v>
      </c>
      <c r="Q57" t="inlineStr">
        <is>
          <t>https://gisweb.pwcva.gov/arcgis/rest/services/Planning/Build_Out_Analysis/MapServer/9/54?f=html</t>
        </is>
      </c>
      <c r="R57" t="inlineStr">
        <is>
          <t>Planned</t>
        </is>
      </c>
    </row>
    <row r="58">
      <c r="A58" t="n">
        <v>57</v>
      </c>
      <c r="B58" t="n">
        <v>57</v>
      </c>
      <c r="C58" t="inlineStr">
        <is>
          <t>CloudHQ Manassas Corporate Center 5</t>
        </is>
      </c>
      <c r="D58" t="inlineStr">
        <is>
          <t>Planned</t>
        </is>
      </c>
      <c r="E58" t="inlineStr">
        <is>
          <t>CloudHQ Manassas Corporate Center (MCC)</t>
        </is>
      </c>
      <c r="F58" t="inlineStr">
        <is>
          <t>PLN2011-00437</t>
        </is>
      </c>
      <c r="G58" t="inlineStr">
        <is>
          <t>7694-84-2446</t>
        </is>
      </c>
      <c r="H58" t="inlineStr">
        <is>
          <t>10940 AIRMAN AVE</t>
        </is>
      </c>
      <c r="I58" t="n">
        <v>317944</v>
      </c>
      <c r="J58" t="n">
        <v>0</v>
      </c>
      <c r="M58" t="inlineStr">
        <is>
          <t>Planned</t>
        </is>
      </c>
      <c r="O58" t="inlineStr">
        <is>
          <t>2026-04-23</t>
        </is>
      </c>
      <c r="P58" t="n">
        <v>55</v>
      </c>
      <c r="Q58" t="inlineStr">
        <is>
          <t>https://gisweb.pwcva.gov/arcgis/rest/services/Planning/Build_Out_Analysis/MapServer/9/55?f=html</t>
        </is>
      </c>
      <c r="R58" t="inlineStr">
        <is>
          <t>Planned</t>
        </is>
      </c>
    </row>
    <row r="59">
      <c r="A59" t="n">
        <v>58</v>
      </c>
      <c r="B59" t="n">
        <v>58</v>
      </c>
      <c r="C59" t="inlineStr">
        <is>
          <t>CloudHQ Manassas Corporate Center 6A</t>
        </is>
      </c>
      <c r="D59" t="inlineStr">
        <is>
          <t>Under Construction</t>
        </is>
      </c>
      <c r="E59" t="inlineStr">
        <is>
          <t>CloudHQ Manassas Corporate Center (MCC)</t>
        </is>
      </c>
      <c r="F59" t="inlineStr">
        <is>
          <t>PLN2011-00437</t>
        </is>
      </c>
      <c r="G59" t="inlineStr">
        <is>
          <t>7694-95-7303.00</t>
        </is>
      </c>
      <c r="H59" t="inlineStr">
        <is>
          <t>10900 AIRMAN AVE</t>
        </is>
      </c>
      <c r="I59" t="n">
        <v>317944</v>
      </c>
      <c r="L59" t="inlineStr">
        <is>
          <t>BLD2020-04041</t>
        </is>
      </c>
      <c r="M59" t="inlineStr">
        <is>
          <t>Issued</t>
        </is>
      </c>
      <c r="O59" t="inlineStr">
        <is>
          <t>2026-02-02</t>
        </is>
      </c>
      <c r="P59" t="n">
        <v>52</v>
      </c>
      <c r="Q59" t="inlineStr">
        <is>
          <t>https://gisweb.pwcva.gov/arcgis/rest/services/Planning/Build_Out_Analysis/MapServer/9/52?f=html</t>
        </is>
      </c>
      <c r="R59" t="inlineStr">
        <is>
          <t>Under Construction</t>
        </is>
      </c>
    </row>
    <row r="60">
      <c r="A60" t="n">
        <v>59</v>
      </c>
      <c r="B60" t="n">
        <v>59</v>
      </c>
      <c r="C60" t="inlineStr">
        <is>
          <t>CloudHQ Manassas Corporate Center 6B</t>
        </is>
      </c>
      <c r="D60" t="inlineStr">
        <is>
          <t>Planned</t>
        </is>
      </c>
      <c r="E60" t="inlineStr">
        <is>
          <t>CloudHQ Manassas Corporate Center (MCC)</t>
        </is>
      </c>
      <c r="F60" t="inlineStr">
        <is>
          <t>PLN2011-00437</t>
        </is>
      </c>
      <c r="G60" t="inlineStr">
        <is>
          <t>7694-95-2326.00</t>
        </is>
      </c>
      <c r="H60" t="inlineStr">
        <is>
          <t>10910 AIRMAN AVE</t>
        </is>
      </c>
      <c r="I60" t="n">
        <v>317944</v>
      </c>
      <c r="J60" t="n">
        <v>0</v>
      </c>
      <c r="M60" t="inlineStr">
        <is>
          <t>Planned</t>
        </is>
      </c>
      <c r="O60" t="inlineStr">
        <is>
          <t>2026-04-23</t>
        </is>
      </c>
      <c r="P60" t="n">
        <v>130</v>
      </c>
      <c r="Q60" t="inlineStr">
        <is>
          <t>https://gisweb.pwcva.gov/arcgis/rest/services/Planning/Build_Out_Analysis/MapServer/9/130?f=html</t>
        </is>
      </c>
      <c r="R60" t="inlineStr">
        <is>
          <t>Planned</t>
        </is>
      </c>
    </row>
    <row r="61">
      <c r="A61" t="n">
        <v>60</v>
      </c>
      <c r="B61" t="n">
        <v>60</v>
      </c>
      <c r="C61" t="inlineStr">
        <is>
          <t>CloudHQ Manassas Corporate Center 6C</t>
        </is>
      </c>
      <c r="D61" t="inlineStr">
        <is>
          <t>Planned</t>
        </is>
      </c>
      <c r="E61" t="inlineStr">
        <is>
          <t>CloudHQ Manassas Corporate Center (MCC)</t>
        </is>
      </c>
      <c r="F61" t="inlineStr">
        <is>
          <t>PLN2011-00437</t>
        </is>
      </c>
      <c r="G61" t="inlineStr">
        <is>
          <t>7694-95-2326.00</t>
        </is>
      </c>
      <c r="H61" t="inlineStr">
        <is>
          <t>10910 AIRMAN AVE</t>
        </is>
      </c>
      <c r="I61" t="n">
        <v>317944</v>
      </c>
      <c r="J61" t="n">
        <v>0</v>
      </c>
      <c r="M61" t="inlineStr">
        <is>
          <t>Planned</t>
        </is>
      </c>
      <c r="O61" t="inlineStr">
        <is>
          <t>2026-04-23</t>
        </is>
      </c>
      <c r="P61" t="n">
        <v>131</v>
      </c>
      <c r="Q61" t="inlineStr">
        <is>
          <t>https://gisweb.pwcva.gov/arcgis/rest/services/Planning/Build_Out_Analysis/MapServer/9/131?f=html</t>
        </is>
      </c>
      <c r="R61" t="inlineStr">
        <is>
          <t>Planned</t>
        </is>
      </c>
    </row>
    <row r="62">
      <c r="A62" t="n">
        <v>61</v>
      </c>
      <c r="B62" t="n">
        <v>61</v>
      </c>
      <c r="C62" t="inlineStr">
        <is>
          <t>CloudHQ Manassas Corporate Center 7</t>
        </is>
      </c>
      <c r="D62" t="inlineStr">
        <is>
          <t>Under Construction</t>
        </is>
      </c>
      <c r="E62" t="inlineStr">
        <is>
          <t>CloudHQ Manassas Corporate Center (MCC)</t>
        </is>
      </c>
      <c r="F62" t="inlineStr">
        <is>
          <t>PLN2011-00437</t>
        </is>
      </c>
      <c r="G62" t="inlineStr">
        <is>
          <t>7694-87-2108</t>
        </is>
      </c>
      <c r="H62" t="inlineStr">
        <is>
          <t>10105 HARRY J PARRISH BLVD</t>
        </is>
      </c>
      <c r="I62" t="n">
        <v>235305</v>
      </c>
      <c r="K62" t="inlineStr">
        <is>
          <t>REZ2024-00025</t>
        </is>
      </c>
      <c r="L62" t="inlineStr">
        <is>
          <t>BLD2026-04432</t>
        </is>
      </c>
      <c r="M62" t="inlineStr">
        <is>
          <t>Issued</t>
        </is>
      </c>
      <c r="O62" t="inlineStr">
        <is>
          <t>2026-08-13</t>
        </is>
      </c>
      <c r="P62" t="n">
        <v>56</v>
      </c>
      <c r="Q62" t="inlineStr">
        <is>
          <t>https://gisweb.pwcva.gov/arcgis/rest/services/Planning/Build_Out_Analysis/MapServer/9/56?f=html</t>
        </is>
      </c>
      <c r="R62" t="inlineStr">
        <is>
          <t>Under Construction</t>
        </is>
      </c>
    </row>
    <row r="63">
      <c r="A63" t="n">
        <v>62</v>
      </c>
      <c r="B63" t="n">
        <v>62</v>
      </c>
      <c r="C63" t="inlineStr">
        <is>
          <t>CloudHQ Manassas Corporate Center 8</t>
        </is>
      </c>
      <c r="D63" t="inlineStr">
        <is>
          <t>Pending</t>
        </is>
      </c>
      <c r="E63" t="inlineStr">
        <is>
          <t>CloudHQ Manassas Corporate Center (MCC)</t>
        </is>
      </c>
      <c r="F63" t="inlineStr">
        <is>
          <t>REZ2026-00032</t>
        </is>
      </c>
      <c r="G63" t="inlineStr">
        <is>
          <t>7794-06-1635</t>
        </is>
      </c>
      <c r="H63" t="inlineStr">
        <is>
          <t>AIRMAN AVE</t>
        </is>
      </c>
      <c r="I63" t="n">
        <v>860788</v>
      </c>
      <c r="K63" t="inlineStr">
        <is>
          <t>REZ2026-00032</t>
        </is>
      </c>
      <c r="M63" t="inlineStr">
        <is>
          <t>Planned</t>
        </is>
      </c>
      <c r="O63" t="inlineStr">
        <is>
          <t>2026-04-21</t>
        </is>
      </c>
      <c r="P63" t="n">
        <v>205</v>
      </c>
      <c r="Q63" t="inlineStr">
        <is>
          <t>https://gisweb.pwcva.gov/arcgis/rest/services/Planning/Build_Out_Analysis/MapServer/9/205?f=html</t>
        </is>
      </c>
      <c r="R63" t="inlineStr">
        <is>
          <t>Pending</t>
        </is>
      </c>
    </row>
    <row r="64">
      <c r="A64" t="n">
        <v>63</v>
      </c>
      <c r="B64" t="n">
        <v>63</v>
      </c>
      <c r="C64" t="inlineStr">
        <is>
          <t>CloudHQ Manassas Data Center 1</t>
        </is>
      </c>
      <c r="D64" t="inlineStr">
        <is>
          <t>Under Construction</t>
        </is>
      </c>
      <c r="E64" t="inlineStr">
        <is>
          <t>CloudHQ Manassas Data Center (MDC)</t>
        </is>
      </c>
      <c r="F64" t="inlineStr">
        <is>
          <t>REZ2018-00001</t>
        </is>
      </c>
      <c r="G64" t="inlineStr">
        <is>
          <t>7695-50-9420</t>
        </is>
      </c>
      <c r="H64" t="inlineStr">
        <is>
          <t>10430 HARRY J PARRISH BLVD</t>
        </is>
      </c>
      <c r="I64" t="n">
        <v>597947</v>
      </c>
      <c r="K64" t="inlineStr">
        <is>
          <t>REZ2018-00001</t>
        </is>
      </c>
      <c r="L64" t="inlineStr">
        <is>
          <t>BLD2025-04928</t>
        </is>
      </c>
      <c r="M64" t="inlineStr">
        <is>
          <t>Issued</t>
        </is>
      </c>
      <c r="O64" t="inlineStr">
        <is>
          <t>2026-06-17</t>
        </is>
      </c>
      <c r="P64" t="n">
        <v>62</v>
      </c>
      <c r="Q64" t="inlineStr">
        <is>
          <t>https://gisweb.pwcva.gov/arcgis/rest/services/Planning/Build_Out_Analysis/MapServer/9/62?f=html</t>
        </is>
      </c>
      <c r="R64" t="inlineStr">
        <is>
          <t>Under Construction</t>
        </is>
      </c>
    </row>
    <row r="65">
      <c r="A65" t="n">
        <v>64</v>
      </c>
      <c r="B65" t="n">
        <v>64</v>
      </c>
      <c r="C65" t="inlineStr">
        <is>
          <t>CloudHQ Manassas Data Center 2</t>
        </is>
      </c>
      <c r="D65" t="inlineStr">
        <is>
          <t>Under Construction</t>
        </is>
      </c>
      <c r="E65" t="inlineStr">
        <is>
          <t>CloudHQ Manassas Data Center (MDC)</t>
        </is>
      </c>
      <c r="F65" t="inlineStr">
        <is>
          <t>REZ2018-00001</t>
        </is>
      </c>
      <c r="G65" t="inlineStr">
        <is>
          <t>7695-50-2882</t>
        </is>
      </c>
      <c r="H65" t="inlineStr">
        <is>
          <t>10450 HARRY J PARRISH BLVD</t>
        </is>
      </c>
      <c r="I65" t="n">
        <v>523151</v>
      </c>
      <c r="K65" t="inlineStr">
        <is>
          <t>REZ2018-00001</t>
        </is>
      </c>
      <c r="L65" t="inlineStr">
        <is>
          <t>BLD2026-01701</t>
        </is>
      </c>
      <c r="M65" t="inlineStr">
        <is>
          <t>Issued</t>
        </is>
      </c>
      <c r="O65" t="inlineStr">
        <is>
          <t>2026-06-17</t>
        </is>
      </c>
      <c r="P65" t="n">
        <v>61</v>
      </c>
      <c r="Q65" t="inlineStr">
        <is>
          <t>https://gisweb.pwcva.gov/arcgis/rest/services/Planning/Build_Out_Analysis/MapServer/9/61?f=html</t>
        </is>
      </c>
      <c r="R65" t="inlineStr">
        <is>
          <t>Under Construction</t>
        </is>
      </c>
    </row>
    <row r="66">
      <c r="A66" t="n">
        <v>65</v>
      </c>
      <c r="B66" t="n">
        <v>65</v>
      </c>
      <c r="C66" t="inlineStr">
        <is>
          <t>CloudHQ Manassas Data Center 3</t>
        </is>
      </c>
      <c r="D66" t="inlineStr">
        <is>
          <t>Under Construction</t>
        </is>
      </c>
      <c r="E66" t="inlineStr">
        <is>
          <t>CloudHQ Manassas Data Center (MDC)</t>
        </is>
      </c>
      <c r="F66" t="inlineStr">
        <is>
          <t>REZ2018-00001</t>
        </is>
      </c>
      <c r="G66" t="inlineStr">
        <is>
          <t>7695-41-6086</t>
        </is>
      </c>
      <c r="H66" t="inlineStr">
        <is>
          <t>10470 HARRY J PARRISH BLVD</t>
        </is>
      </c>
      <c r="I66" t="n">
        <v>523151</v>
      </c>
      <c r="K66" t="inlineStr">
        <is>
          <t>REZ2018-00001</t>
        </is>
      </c>
      <c r="L66" t="inlineStr">
        <is>
          <t>BLD2026-02951</t>
        </is>
      </c>
      <c r="M66" t="inlineStr">
        <is>
          <t>Issued</t>
        </is>
      </c>
      <c r="O66" t="inlineStr">
        <is>
          <t>2026-07-13</t>
        </is>
      </c>
      <c r="P66" t="n">
        <v>265</v>
      </c>
      <c r="Q66" t="inlineStr">
        <is>
          <t>https://gisweb.pwcva.gov/arcgis/rest/services/Planning/Build_Out_Analysis/MapServer/9/265?f=html</t>
        </is>
      </c>
      <c r="R66" t="inlineStr">
        <is>
          <t>Under Construction</t>
        </is>
      </c>
    </row>
    <row r="67">
      <c r="A67" t="n">
        <v>66</v>
      </c>
      <c r="B67" t="n">
        <v>66</v>
      </c>
      <c r="C67" t="inlineStr">
        <is>
          <t>Manassas Amazon AWS 004</t>
        </is>
      </c>
      <c r="D67" t="inlineStr">
        <is>
          <t>Completed</t>
        </is>
      </c>
      <c r="E67" t="inlineStr">
        <is>
          <t>CloudHQ Manassas Hornbaker</t>
        </is>
      </c>
      <c r="F67" t="inlineStr">
        <is>
          <t>PLN2007-00535</t>
        </is>
      </c>
      <c r="G67" t="inlineStr">
        <is>
          <t>7595-96-0662</t>
        </is>
      </c>
      <c r="H67" t="inlineStr">
        <is>
          <t>9651 HORNBAKER RD</t>
        </is>
      </c>
      <c r="I67" t="n">
        <v>247608</v>
      </c>
      <c r="J67" t="n">
        <v>2010</v>
      </c>
      <c r="K67" t="inlineStr">
        <is>
          <t>PLN2007-00535</t>
        </is>
      </c>
      <c r="L67" t="inlineStr">
        <is>
          <t>BLD2007-04468</t>
        </is>
      </c>
      <c r="M67" t="inlineStr">
        <is>
          <t>Finaled</t>
        </is>
      </c>
      <c r="N67" t="inlineStr">
        <is>
          <t>2010-04-19</t>
        </is>
      </c>
      <c r="O67" t="inlineStr">
        <is>
          <t>2026-10-02</t>
        </is>
      </c>
      <c r="P67" t="n">
        <v>34</v>
      </c>
      <c r="Q67" t="inlineStr">
        <is>
          <t>https://gisweb.pwcva.gov/arcgis/rest/services/Planning/Build_Out_Analysis/MapServer/9/34?f=html</t>
        </is>
      </c>
      <c r="R67" t="inlineStr">
        <is>
          <t>Completed</t>
        </is>
      </c>
    </row>
    <row r="68">
      <c r="A68" t="n">
        <v>67</v>
      </c>
      <c r="B68" t="n">
        <v>67</v>
      </c>
      <c r="C68" t="inlineStr">
        <is>
          <t>Compass Data Centers</t>
        </is>
      </c>
      <c r="D68" t="inlineStr">
        <is>
          <t>Denied</t>
        </is>
      </c>
      <c r="E68" t="inlineStr">
        <is>
          <t>Compass Data Centers</t>
        </is>
      </c>
      <c r="F68" t="inlineStr">
        <is>
          <t>REZ2022-00036</t>
        </is>
      </c>
      <c r="I68" t="n">
        <v>679718</v>
      </c>
      <c r="K68" t="inlineStr">
        <is>
          <t>REZ2022-00036</t>
        </is>
      </c>
      <c r="M68" t="inlineStr">
        <is>
          <t>Planned</t>
        </is>
      </c>
      <c r="O68" t="inlineStr">
        <is>
          <t>2026-08-04</t>
        </is>
      </c>
      <c r="P68" t="n">
        <v>297</v>
      </c>
      <c r="Q68" t="inlineStr">
        <is>
          <t>https://gisweb.pwcva.gov/arcgis/rest/services/Planning/Build_Out_Analysis/MapServer/9/297?f=html</t>
        </is>
      </c>
      <c r="R68" t="inlineStr">
        <is>
          <t>Pending</t>
        </is>
      </c>
    </row>
    <row r="69">
      <c r="A69" t="n">
        <v>68</v>
      </c>
      <c r="B69" t="n">
        <v>68</v>
      </c>
      <c r="C69" t="inlineStr">
        <is>
          <t>Compass Data Centers</t>
        </is>
      </c>
      <c r="D69" t="inlineStr">
        <is>
          <t>Denied</t>
        </is>
      </c>
      <c r="E69" t="inlineStr">
        <is>
          <t>Compass Data Centers</t>
        </is>
      </c>
      <c r="F69" t="inlineStr">
        <is>
          <t>REZ2022-00036</t>
        </is>
      </c>
      <c r="I69" t="n">
        <v>679718</v>
      </c>
      <c r="K69" t="inlineStr">
        <is>
          <t>REZ2022-00036</t>
        </is>
      </c>
      <c r="M69" t="inlineStr">
        <is>
          <t>Planned</t>
        </is>
      </c>
      <c r="O69" t="inlineStr">
        <is>
          <t>2026-08-04</t>
        </is>
      </c>
      <c r="P69" t="n">
        <v>298</v>
      </c>
      <c r="Q69" t="inlineStr">
        <is>
          <t>https://gisweb.pwcva.gov/arcgis/rest/services/Planning/Build_Out_Analysis/MapServer/9/298?f=html</t>
        </is>
      </c>
      <c r="R69" t="inlineStr">
        <is>
          <t>Pending</t>
        </is>
      </c>
    </row>
    <row r="70">
      <c r="A70" t="n">
        <v>69</v>
      </c>
      <c r="B70" t="n">
        <v>69</v>
      </c>
      <c r="C70" t="inlineStr">
        <is>
          <t>Compass Data Centers</t>
        </is>
      </c>
      <c r="D70" t="inlineStr">
        <is>
          <t>Denied</t>
        </is>
      </c>
      <c r="E70" t="inlineStr">
        <is>
          <t>Compass Data Centers</t>
        </is>
      </c>
      <c r="F70" t="inlineStr">
        <is>
          <t>REZ2022-00036</t>
        </is>
      </c>
      <c r="I70" t="n">
        <v>679718</v>
      </c>
      <c r="K70" t="inlineStr">
        <is>
          <t>REZ2022-00036</t>
        </is>
      </c>
      <c r="M70" t="inlineStr">
        <is>
          <t>Planned</t>
        </is>
      </c>
      <c r="O70" t="inlineStr">
        <is>
          <t>2026-08-04</t>
        </is>
      </c>
      <c r="P70" t="n">
        <v>299</v>
      </c>
      <c r="Q70" t="inlineStr">
        <is>
          <t>https://gisweb.pwcva.gov/arcgis/rest/services/Planning/Build_Out_Analysis/MapServer/9/299?f=html</t>
        </is>
      </c>
      <c r="R70" t="inlineStr">
        <is>
          <t>Pending</t>
        </is>
      </c>
    </row>
    <row r="71">
      <c r="A71" t="n">
        <v>70</v>
      </c>
      <c r="B71" t="n">
        <v>70</v>
      </c>
      <c r="C71" t="inlineStr">
        <is>
          <t>Compass Data Centers</t>
        </is>
      </c>
      <c r="D71" t="inlineStr">
        <is>
          <t>Denied</t>
        </is>
      </c>
      <c r="E71" t="inlineStr">
        <is>
          <t>Compass Data Centers</t>
        </is>
      </c>
      <c r="F71" t="inlineStr">
        <is>
          <t>REZ2022-00036</t>
        </is>
      </c>
      <c r="I71" t="n">
        <v>679718</v>
      </c>
      <c r="K71" t="inlineStr">
        <is>
          <t>REZ2022-00036</t>
        </is>
      </c>
      <c r="M71" t="inlineStr">
        <is>
          <t>Planned</t>
        </is>
      </c>
      <c r="O71" t="inlineStr">
        <is>
          <t>2026-08-04</t>
        </is>
      </c>
      <c r="P71" t="n">
        <v>300</v>
      </c>
      <c r="Q71" t="inlineStr">
        <is>
          <t>https://gisweb.pwcva.gov/arcgis/rest/services/Planning/Build_Out_Analysis/MapServer/9/300?f=html</t>
        </is>
      </c>
      <c r="R71" t="inlineStr">
        <is>
          <t>Pending</t>
        </is>
      </c>
    </row>
    <row r="72">
      <c r="A72" t="n">
        <v>71</v>
      </c>
      <c r="B72" t="n">
        <v>71</v>
      </c>
      <c r="C72" t="inlineStr">
        <is>
          <t>Compass Data Centers</t>
        </is>
      </c>
      <c r="D72" t="inlineStr">
        <is>
          <t>Denied</t>
        </is>
      </c>
      <c r="E72" t="inlineStr">
        <is>
          <t>Compass Data Centers</t>
        </is>
      </c>
      <c r="F72" t="inlineStr">
        <is>
          <t>REZ2022-00036</t>
        </is>
      </c>
      <c r="I72" t="n">
        <v>679718</v>
      </c>
      <c r="K72" t="inlineStr">
        <is>
          <t>REZ2022-00036</t>
        </is>
      </c>
      <c r="M72" t="inlineStr">
        <is>
          <t>Planned</t>
        </is>
      </c>
      <c r="O72" t="inlineStr">
        <is>
          <t>2026-08-04</t>
        </is>
      </c>
      <c r="P72" t="n">
        <v>301</v>
      </c>
      <c r="Q72" t="inlineStr">
        <is>
          <t>https://gisweb.pwcva.gov/arcgis/rest/services/Planning/Build_Out_Analysis/MapServer/9/301?f=html</t>
        </is>
      </c>
      <c r="R72" t="inlineStr">
        <is>
          <t>Pending</t>
        </is>
      </c>
    </row>
    <row r="73">
      <c r="A73" t="n">
        <v>72</v>
      </c>
      <c r="B73" t="n">
        <v>72</v>
      </c>
      <c r="C73" t="inlineStr">
        <is>
          <t>Compass Data Centers</t>
        </is>
      </c>
      <c r="D73" t="inlineStr">
        <is>
          <t>Denied</t>
        </is>
      </c>
      <c r="E73" t="inlineStr">
        <is>
          <t>Compass Data Centers</t>
        </is>
      </c>
      <c r="F73" t="inlineStr">
        <is>
          <t>REZ2022-00036</t>
        </is>
      </c>
      <c r="I73" t="n">
        <v>679718</v>
      </c>
      <c r="K73" t="inlineStr">
        <is>
          <t>REZ2022-00036</t>
        </is>
      </c>
      <c r="M73" t="inlineStr">
        <is>
          <t>Planned</t>
        </is>
      </c>
      <c r="O73" t="inlineStr">
        <is>
          <t>2026-08-04</t>
        </is>
      </c>
      <c r="P73" t="n">
        <v>302</v>
      </c>
      <c r="Q73" t="inlineStr">
        <is>
          <t>https://gisweb.pwcva.gov/arcgis/rest/services/Planning/Build_Out_Analysis/MapServer/9/302?f=html</t>
        </is>
      </c>
      <c r="R73" t="inlineStr">
        <is>
          <t>Pending</t>
        </is>
      </c>
    </row>
    <row r="74">
      <c r="A74" t="n">
        <v>73</v>
      </c>
      <c r="B74" t="n">
        <v>73</v>
      </c>
      <c r="C74" t="inlineStr">
        <is>
          <t>Compass Data Centers</t>
        </is>
      </c>
      <c r="D74" t="inlineStr">
        <is>
          <t>Denied</t>
        </is>
      </c>
      <c r="E74" t="inlineStr">
        <is>
          <t>Compass Data Centers</t>
        </is>
      </c>
      <c r="F74" t="inlineStr">
        <is>
          <t>REZ2022-00036</t>
        </is>
      </c>
      <c r="I74" t="n">
        <v>679718</v>
      </c>
      <c r="K74" t="inlineStr">
        <is>
          <t>REZ2022-00036</t>
        </is>
      </c>
      <c r="M74" t="inlineStr">
        <is>
          <t>Planned</t>
        </is>
      </c>
      <c r="O74" t="inlineStr">
        <is>
          <t>2026-08-04</t>
        </is>
      </c>
      <c r="P74" t="n">
        <v>303</v>
      </c>
      <c r="Q74" t="inlineStr">
        <is>
          <t>https://gisweb.pwcva.gov/arcgis/rest/services/Planning/Build_Out_Analysis/MapServer/9/303?f=html</t>
        </is>
      </c>
      <c r="R74" t="inlineStr">
        <is>
          <t>Pending</t>
        </is>
      </c>
    </row>
    <row r="75">
      <c r="A75" t="n">
        <v>74</v>
      </c>
      <c r="B75" t="n">
        <v>74</v>
      </c>
      <c r="C75" t="inlineStr">
        <is>
          <t>Compass Data Centers</t>
        </is>
      </c>
      <c r="D75" t="inlineStr">
        <is>
          <t>Denied</t>
        </is>
      </c>
      <c r="E75" t="inlineStr">
        <is>
          <t>Compass Data Centers</t>
        </is>
      </c>
      <c r="F75" t="inlineStr">
        <is>
          <t>REZ2022-00036</t>
        </is>
      </c>
      <c r="I75" t="n">
        <v>679718</v>
      </c>
      <c r="K75" t="inlineStr">
        <is>
          <t>REZ2022-00036</t>
        </is>
      </c>
      <c r="M75" t="inlineStr">
        <is>
          <t>Planned</t>
        </is>
      </c>
      <c r="O75" t="inlineStr">
        <is>
          <t>2026-08-04</t>
        </is>
      </c>
      <c r="P75" t="n">
        <v>304</v>
      </c>
      <c r="Q75" t="inlineStr">
        <is>
          <t>https://gisweb.pwcva.gov/arcgis/rest/services/Planning/Build_Out_Analysis/MapServer/9/304?f=html</t>
        </is>
      </c>
      <c r="R75" t="inlineStr">
        <is>
          <t>Pending</t>
        </is>
      </c>
    </row>
    <row r="76">
      <c r="A76" t="n">
        <v>75</v>
      </c>
      <c r="B76" t="n">
        <v>75</v>
      </c>
      <c r="C76" t="inlineStr">
        <is>
          <t>Compass Data Centers</t>
        </is>
      </c>
      <c r="D76" t="inlineStr">
        <is>
          <t>Denied</t>
        </is>
      </c>
      <c r="E76" t="inlineStr">
        <is>
          <t>Compass Data Centers</t>
        </is>
      </c>
      <c r="F76" t="inlineStr">
        <is>
          <t>REZ2022-00036</t>
        </is>
      </c>
      <c r="I76" t="n">
        <v>679718</v>
      </c>
      <c r="K76" t="inlineStr">
        <is>
          <t>REZ2022-00036</t>
        </is>
      </c>
      <c r="M76" t="inlineStr">
        <is>
          <t>Planned</t>
        </is>
      </c>
      <c r="O76" t="inlineStr">
        <is>
          <t>2026-08-04</t>
        </is>
      </c>
      <c r="P76" t="n">
        <v>305</v>
      </c>
      <c r="Q76" t="inlineStr">
        <is>
          <t>https://gisweb.pwcva.gov/arcgis/rest/services/Planning/Build_Out_Analysis/MapServer/9/305?f=html</t>
        </is>
      </c>
      <c r="R76" t="inlineStr">
        <is>
          <t>Pending</t>
        </is>
      </c>
    </row>
    <row r="77">
      <c r="A77" t="n">
        <v>76</v>
      </c>
      <c r="B77" t="n">
        <v>76</v>
      </c>
      <c r="C77" t="inlineStr">
        <is>
          <t>Compass Data Centers</t>
        </is>
      </c>
      <c r="D77" t="inlineStr">
        <is>
          <t>Denied</t>
        </is>
      </c>
      <c r="E77" t="inlineStr">
        <is>
          <t>Compass Data Centers</t>
        </is>
      </c>
      <c r="F77" t="inlineStr">
        <is>
          <t>REZ2022-00036</t>
        </is>
      </c>
      <c r="I77" t="n">
        <v>679718</v>
      </c>
      <c r="K77" t="inlineStr">
        <is>
          <t>REZ2022-00036</t>
        </is>
      </c>
      <c r="M77" t="inlineStr">
        <is>
          <t>Planned</t>
        </is>
      </c>
      <c r="O77" t="inlineStr">
        <is>
          <t>2026-08-04</t>
        </is>
      </c>
      <c r="P77" t="n">
        <v>306</v>
      </c>
      <c r="Q77" t="inlineStr">
        <is>
          <t>https://gisweb.pwcva.gov/arcgis/rest/services/Planning/Build_Out_Analysis/MapServer/9/306?f=html</t>
        </is>
      </c>
      <c r="R77" t="inlineStr">
        <is>
          <t>Pending</t>
        </is>
      </c>
    </row>
    <row r="78">
      <c r="A78" t="n">
        <v>77</v>
      </c>
      <c r="B78" t="n">
        <v>77</v>
      </c>
      <c r="C78" t="inlineStr">
        <is>
          <t>Compass Data Centers</t>
        </is>
      </c>
      <c r="D78" t="inlineStr">
        <is>
          <t>Denied</t>
        </is>
      </c>
      <c r="E78" t="inlineStr">
        <is>
          <t>Compass Data Centers</t>
        </is>
      </c>
      <c r="F78" t="inlineStr">
        <is>
          <t>REZ2022-00036</t>
        </is>
      </c>
      <c r="I78" t="n">
        <v>679718</v>
      </c>
      <c r="K78" t="inlineStr">
        <is>
          <t>REZ2022-00036</t>
        </is>
      </c>
      <c r="M78" t="inlineStr">
        <is>
          <t>Planned</t>
        </is>
      </c>
      <c r="O78" t="inlineStr">
        <is>
          <t>2026-08-04</t>
        </is>
      </c>
      <c r="P78" t="n">
        <v>307</v>
      </c>
      <c r="Q78" t="inlineStr">
        <is>
          <t>https://gisweb.pwcva.gov/arcgis/rest/services/Planning/Build_Out_Analysis/MapServer/9/307?f=html</t>
        </is>
      </c>
      <c r="R78" t="inlineStr">
        <is>
          <t>Pending</t>
        </is>
      </c>
    </row>
    <row r="79">
      <c r="A79" t="n">
        <v>78</v>
      </c>
      <c r="B79" t="n">
        <v>78</v>
      </c>
      <c r="C79" t="inlineStr">
        <is>
          <t>Compass Data Centers</t>
        </is>
      </c>
      <c r="D79" t="inlineStr">
        <is>
          <t>Denied</t>
        </is>
      </c>
      <c r="E79" t="inlineStr">
        <is>
          <t>Compass Data Centers</t>
        </is>
      </c>
      <c r="F79" t="inlineStr">
        <is>
          <t>REZ2022-00036</t>
        </is>
      </c>
      <c r="I79" t="n">
        <v>679718</v>
      </c>
      <c r="K79" t="inlineStr">
        <is>
          <t>REZ2022-00036</t>
        </is>
      </c>
      <c r="M79" t="inlineStr">
        <is>
          <t>Planned</t>
        </is>
      </c>
      <c r="O79" t="inlineStr">
        <is>
          <t>2026-08-04</t>
        </is>
      </c>
      <c r="P79" t="n">
        <v>308</v>
      </c>
      <c r="Q79" t="inlineStr">
        <is>
          <t>https://gisweb.pwcva.gov/arcgis/rest/services/Planning/Build_Out_Analysis/MapServer/9/308?f=html</t>
        </is>
      </c>
      <c r="R79" t="inlineStr">
        <is>
          <t>Pending</t>
        </is>
      </c>
    </row>
    <row r="80">
      <c r="A80" t="n">
        <v>79</v>
      </c>
      <c r="B80" t="n">
        <v>79</v>
      </c>
      <c r="C80" t="inlineStr">
        <is>
          <t>Compass Data Centers</t>
        </is>
      </c>
      <c r="D80" t="inlineStr">
        <is>
          <t>Denied</t>
        </is>
      </c>
      <c r="E80" t="inlineStr">
        <is>
          <t>Compass Data Centers</t>
        </is>
      </c>
      <c r="F80" t="inlineStr">
        <is>
          <t>REZ2022-00036</t>
        </is>
      </c>
      <c r="I80" t="n">
        <v>679718</v>
      </c>
      <c r="K80" t="inlineStr">
        <is>
          <t>REZ2022-00036</t>
        </is>
      </c>
      <c r="M80" t="inlineStr">
        <is>
          <t>Planned</t>
        </is>
      </c>
      <c r="O80" t="inlineStr">
        <is>
          <t>2026-08-04</t>
        </is>
      </c>
      <c r="P80" t="n">
        <v>309</v>
      </c>
      <c r="Q80" t="inlineStr">
        <is>
          <t>https://gisweb.pwcva.gov/arcgis/rest/services/Planning/Build_Out_Analysis/MapServer/9/309?f=html</t>
        </is>
      </c>
      <c r="R80" t="inlineStr">
        <is>
          <t>Pending</t>
        </is>
      </c>
    </row>
    <row r="81">
      <c r="A81" t="n">
        <v>80</v>
      </c>
      <c r="B81" t="n">
        <v>80</v>
      </c>
      <c r="C81" t="inlineStr">
        <is>
          <t>Compass Data Centers</t>
        </is>
      </c>
      <c r="D81" t="inlineStr">
        <is>
          <t>Denied</t>
        </is>
      </c>
      <c r="E81" t="inlineStr">
        <is>
          <t>Compass Data Centers</t>
        </is>
      </c>
      <c r="F81" t="inlineStr">
        <is>
          <t>REZ2022-00036</t>
        </is>
      </c>
      <c r="I81" t="n">
        <v>679718</v>
      </c>
      <c r="K81" t="inlineStr">
        <is>
          <t>REZ2022-00036</t>
        </is>
      </c>
      <c r="M81" t="inlineStr">
        <is>
          <t>Planned</t>
        </is>
      </c>
      <c r="O81" t="inlineStr">
        <is>
          <t>2026-08-04</t>
        </is>
      </c>
      <c r="P81" t="n">
        <v>310</v>
      </c>
      <c r="Q81" t="inlineStr">
        <is>
          <t>https://gisweb.pwcva.gov/arcgis/rest/services/Planning/Build_Out_Analysis/MapServer/9/310?f=html</t>
        </is>
      </c>
      <c r="R81" t="inlineStr">
        <is>
          <t>Pending</t>
        </is>
      </c>
    </row>
    <row r="82">
      <c r="A82" t="n">
        <v>81</v>
      </c>
      <c r="B82" t="n">
        <v>81</v>
      </c>
      <c r="C82" t="inlineStr">
        <is>
          <t>Compass Data Centers</t>
        </is>
      </c>
      <c r="D82" t="inlineStr">
        <is>
          <t>Denied</t>
        </is>
      </c>
      <c r="E82" t="inlineStr">
        <is>
          <t>Compass Data Centers</t>
        </is>
      </c>
      <c r="F82" t="inlineStr">
        <is>
          <t>REZ2022-00036</t>
        </is>
      </c>
      <c r="I82" t="n">
        <v>679718</v>
      </c>
      <c r="K82" t="inlineStr">
        <is>
          <t>REZ2022-00036</t>
        </is>
      </c>
      <c r="M82" t="inlineStr">
        <is>
          <t>Planned</t>
        </is>
      </c>
      <c r="O82" t="inlineStr">
        <is>
          <t>2026-08-04</t>
        </is>
      </c>
      <c r="P82" t="n">
        <v>311</v>
      </c>
      <c r="Q82" t="inlineStr">
        <is>
          <t>https://gisweb.pwcva.gov/arcgis/rest/services/Planning/Build_Out_Analysis/MapServer/9/311?f=html</t>
        </is>
      </c>
      <c r="R82" t="inlineStr">
        <is>
          <t>Pending</t>
        </is>
      </c>
    </row>
    <row r="83">
      <c r="A83" t="n">
        <v>82</v>
      </c>
      <c r="B83" t="n">
        <v>82</v>
      </c>
      <c r="C83" t="inlineStr">
        <is>
          <t>Compass Data Centers</t>
        </is>
      </c>
      <c r="D83" t="inlineStr">
        <is>
          <t>Denied</t>
        </is>
      </c>
      <c r="E83" t="inlineStr">
        <is>
          <t>Compass Data Centers</t>
        </is>
      </c>
      <c r="F83" t="inlineStr">
        <is>
          <t>REZ2022-00036</t>
        </is>
      </c>
      <c r="I83" t="n">
        <v>679718</v>
      </c>
      <c r="K83" t="inlineStr">
        <is>
          <t>REZ2022-00036</t>
        </is>
      </c>
      <c r="M83" t="inlineStr">
        <is>
          <t>Planned</t>
        </is>
      </c>
      <c r="O83" t="inlineStr">
        <is>
          <t>2026-08-04</t>
        </is>
      </c>
      <c r="P83" t="n">
        <v>312</v>
      </c>
      <c r="Q83" t="inlineStr">
        <is>
          <t>https://gisweb.pwcva.gov/arcgis/rest/services/Planning/Build_Out_Analysis/MapServer/9/312?f=html</t>
        </is>
      </c>
      <c r="R83" t="inlineStr">
        <is>
          <t>Pending</t>
        </is>
      </c>
    </row>
    <row r="84">
      <c r="A84" t="n">
        <v>83</v>
      </c>
      <c r="B84" t="n">
        <v>83</v>
      </c>
      <c r="C84" t="inlineStr">
        <is>
          <t>Compass Data Centers</t>
        </is>
      </c>
      <c r="D84" t="inlineStr">
        <is>
          <t>Denied</t>
        </is>
      </c>
      <c r="E84" t="inlineStr">
        <is>
          <t>Compass Data Centers</t>
        </is>
      </c>
      <c r="F84" t="inlineStr">
        <is>
          <t>REZ2022-00036</t>
        </is>
      </c>
      <c r="I84" t="n">
        <v>679718</v>
      </c>
      <c r="K84" t="inlineStr">
        <is>
          <t>REZ2022-00036</t>
        </is>
      </c>
      <c r="M84" t="inlineStr">
        <is>
          <t>Planned</t>
        </is>
      </c>
      <c r="O84" t="inlineStr">
        <is>
          <t>2026-08-04</t>
        </is>
      </c>
      <c r="P84" t="n">
        <v>313</v>
      </c>
      <c r="Q84" t="inlineStr">
        <is>
          <t>https://gisweb.pwcva.gov/arcgis/rest/services/Planning/Build_Out_Analysis/MapServer/9/313?f=html</t>
        </is>
      </c>
      <c r="R84" t="inlineStr">
        <is>
          <t>Pending</t>
        </is>
      </c>
    </row>
    <row r="85">
      <c r="A85" t="n">
        <v>84</v>
      </c>
      <c r="B85" t="n">
        <v>84</v>
      </c>
      <c r="C85" t="inlineStr">
        <is>
          <t>Corscale Gainesville Crossing 1</t>
        </is>
      </c>
      <c r="D85" t="inlineStr">
        <is>
          <t>Completed</t>
        </is>
      </c>
      <c r="E85" t="inlineStr">
        <is>
          <t>CorScale Gainesville Crossing</t>
        </is>
      </c>
      <c r="F85" t="inlineStr">
        <is>
          <t>REZ2018-00008</t>
        </is>
      </c>
      <c r="G85" t="inlineStr">
        <is>
          <t>7497-46-2858</t>
        </is>
      </c>
      <c r="H85" t="inlineStr">
        <is>
          <t>13760 UNIVERSITY BLVD</t>
        </is>
      </c>
      <c r="I85" t="n">
        <v>482223</v>
      </c>
      <c r="J85" t="n">
        <v>2024</v>
      </c>
      <c r="K85" t="inlineStr">
        <is>
          <t>REZ2018-00008</t>
        </is>
      </c>
      <c r="L85" t="inlineStr">
        <is>
          <t>BLD2021-08185</t>
        </is>
      </c>
      <c r="M85" t="inlineStr">
        <is>
          <t>Finaled</t>
        </is>
      </c>
      <c r="N85" t="inlineStr">
        <is>
          <t>2024-05-23</t>
        </is>
      </c>
      <c r="O85" t="inlineStr">
        <is>
          <t>2026-09-25</t>
        </is>
      </c>
      <c r="P85" t="n">
        <v>83</v>
      </c>
      <c r="Q85" t="inlineStr">
        <is>
          <t>https://gisweb.pwcva.gov/arcgis/rest/services/Planning/Build_Out_Analysis/MapServer/9/83?f=html</t>
        </is>
      </c>
      <c r="R85" t="inlineStr">
        <is>
          <t>Completed</t>
        </is>
      </c>
    </row>
    <row r="86">
      <c r="A86" t="n">
        <v>85</v>
      </c>
      <c r="B86" t="n">
        <v>85</v>
      </c>
      <c r="C86" t="inlineStr">
        <is>
          <t>Corscale Gainesville Crossing 2</t>
        </is>
      </c>
      <c r="D86" t="inlineStr">
        <is>
          <t>Completed</t>
        </is>
      </c>
      <c r="E86" t="inlineStr">
        <is>
          <t>CorScale Gainesville Crossing</t>
        </is>
      </c>
      <c r="F86" t="inlineStr">
        <is>
          <t>REZ2018-00008</t>
        </is>
      </c>
      <c r="G86" t="inlineStr">
        <is>
          <t>7497-45-3874</t>
        </is>
      </c>
      <c r="H86" t="inlineStr">
        <is>
          <t>13710 UNIVERSITY BLVD</t>
        </is>
      </c>
      <c r="I86" t="n">
        <v>480200</v>
      </c>
      <c r="J86" t="n">
        <v>2026</v>
      </c>
      <c r="K86" t="inlineStr">
        <is>
          <t>REZ2018-00008</t>
        </is>
      </c>
      <c r="L86" t="inlineStr">
        <is>
          <t>BLD2023-02498</t>
        </is>
      </c>
      <c r="M86" t="inlineStr">
        <is>
          <t>Finaled</t>
        </is>
      </c>
      <c r="N86" t="inlineStr">
        <is>
          <t>2026-02-10</t>
        </is>
      </c>
      <c r="O86" t="inlineStr">
        <is>
          <t>2026-09-25</t>
        </is>
      </c>
      <c r="P86" t="n">
        <v>87</v>
      </c>
      <c r="Q86" t="inlineStr">
        <is>
          <t>https://gisweb.pwcva.gov/arcgis/rest/services/Planning/Build_Out_Analysis/MapServer/9/87?f=html</t>
        </is>
      </c>
      <c r="R86" t="inlineStr">
        <is>
          <t>Completed</t>
        </is>
      </c>
    </row>
    <row r="87">
      <c r="A87" t="n">
        <v>86</v>
      </c>
      <c r="B87" t="n">
        <v>86</v>
      </c>
      <c r="C87" t="inlineStr">
        <is>
          <t>Corscale Gainesville Crossing 3</t>
        </is>
      </c>
      <c r="D87" t="inlineStr">
        <is>
          <t>Completed</t>
        </is>
      </c>
      <c r="E87" t="inlineStr">
        <is>
          <t>CorScale Gainesville Crossing</t>
        </is>
      </c>
      <c r="F87" t="inlineStr">
        <is>
          <t>REZ2018-00008</t>
        </is>
      </c>
      <c r="G87" t="inlineStr">
        <is>
          <t>7497-45-9757</t>
        </is>
      </c>
      <c r="H87" t="inlineStr">
        <is>
          <t>13720 UNIVERSITY BLVD</t>
        </is>
      </c>
      <c r="I87" t="n">
        <v>363220</v>
      </c>
      <c r="J87" t="n">
        <v>2026</v>
      </c>
      <c r="K87" t="inlineStr">
        <is>
          <t>REZ2018-00008</t>
        </is>
      </c>
      <c r="L87" t="inlineStr">
        <is>
          <t>BLD2024-07030</t>
        </is>
      </c>
      <c r="M87" t="inlineStr">
        <is>
          <t>Finaled</t>
        </is>
      </c>
      <c r="N87" t="inlineStr">
        <is>
          <t>2026-06-30</t>
        </is>
      </c>
      <c r="O87" t="inlineStr">
        <is>
          <t>2026-10-01</t>
        </is>
      </c>
      <c r="P87" t="n">
        <v>84</v>
      </c>
      <c r="Q87" t="inlineStr">
        <is>
          <t>https://gisweb.pwcva.gov/arcgis/rest/services/Planning/Build_Out_Analysis/MapServer/9/84?f=html</t>
        </is>
      </c>
      <c r="R87" t="inlineStr">
        <is>
          <t>Completed</t>
        </is>
      </c>
    </row>
    <row r="88">
      <c r="A88" t="n">
        <v>87</v>
      </c>
      <c r="B88" t="n">
        <v>87</v>
      </c>
      <c r="C88" t="inlineStr">
        <is>
          <t>Corscale Gainesville Crossing 4</t>
        </is>
      </c>
      <c r="D88" t="inlineStr">
        <is>
          <t>Planned</t>
        </is>
      </c>
      <c r="E88" t="inlineStr">
        <is>
          <t>CorScale Gainesville Crossing</t>
        </is>
      </c>
      <c r="F88" t="inlineStr">
        <is>
          <t>REZ2018-00008</t>
        </is>
      </c>
      <c r="G88" t="inlineStr">
        <is>
          <t>7497-55-7796</t>
        </is>
      </c>
      <c r="H88" t="inlineStr">
        <is>
          <t>13746 UNIVERSITY BLVD</t>
        </is>
      </c>
      <c r="I88" t="n">
        <v>326208</v>
      </c>
      <c r="K88" t="inlineStr">
        <is>
          <t>REZ2018-00008</t>
        </is>
      </c>
      <c r="L88" t="inlineStr">
        <is>
          <t>BLD2026-04211</t>
        </is>
      </c>
      <c r="M88" t="inlineStr">
        <is>
          <t>Pending</t>
        </is>
      </c>
      <c r="O88" t="inlineStr">
        <is>
          <t>2026-09-25</t>
        </is>
      </c>
      <c r="P88" t="n">
        <v>86</v>
      </c>
      <c r="Q88" t="inlineStr">
        <is>
          <t>https://gisweb.pwcva.gov/arcgis/rest/services/Planning/Build_Out_Analysis/MapServer/9/86?f=html</t>
        </is>
      </c>
      <c r="R88" t="inlineStr">
        <is>
          <t>Planned</t>
        </is>
      </c>
    </row>
    <row r="89">
      <c r="A89" t="n">
        <v>88</v>
      </c>
      <c r="B89" t="n">
        <v>88</v>
      </c>
      <c r="C89" t="inlineStr">
        <is>
          <t>Corscale Gainesville Crossing 5</t>
        </is>
      </c>
      <c r="D89" t="inlineStr">
        <is>
          <t>Planned</t>
        </is>
      </c>
      <c r="E89" t="inlineStr">
        <is>
          <t>CorScale Gainesville Crossing</t>
        </is>
      </c>
      <c r="F89" t="inlineStr">
        <is>
          <t>REZ2018-00008</t>
        </is>
      </c>
      <c r="G89" t="inlineStr">
        <is>
          <t>7497-57-7904</t>
        </is>
      </c>
      <c r="H89" t="inlineStr">
        <is>
          <t>13750 UNIVERSITY BLVD</t>
        </is>
      </c>
      <c r="I89" t="n">
        <v>600000</v>
      </c>
      <c r="K89" t="inlineStr">
        <is>
          <t>REZ2018-00008</t>
        </is>
      </c>
      <c r="M89" t="inlineStr">
        <is>
          <t>Planned</t>
        </is>
      </c>
      <c r="O89" t="inlineStr">
        <is>
          <t>2026-09-25</t>
        </is>
      </c>
      <c r="P89" t="n">
        <v>85</v>
      </c>
      <c r="Q89" t="inlineStr">
        <is>
          <t>https://gisweb.pwcva.gov/arcgis/rest/services/Planning/Build_Out_Analysis/MapServer/9/85?f=html</t>
        </is>
      </c>
      <c r="R89" t="inlineStr">
        <is>
          <t>Planned</t>
        </is>
      </c>
    </row>
    <row r="90">
      <c r="A90" t="n">
        <v>89</v>
      </c>
      <c r="B90" t="n">
        <v>89</v>
      </c>
      <c r="C90" t="inlineStr">
        <is>
          <t>DOANE DRIVE - DULLES GLASS</t>
        </is>
      </c>
      <c r="D90" t="inlineStr">
        <is>
          <t>Planned</t>
        </is>
      </c>
      <c r="E90" t="inlineStr">
        <is>
          <t>DOANE DRIVE - DULLES GLASS</t>
        </is>
      </c>
      <c r="F90" t="inlineStr">
        <is>
          <t>REZ1969-0021</t>
        </is>
      </c>
      <c r="G90" t="inlineStr">
        <is>
          <t>7597-42-8878</t>
        </is>
      </c>
      <c r="H90" t="inlineStr">
        <is>
          <t>7610 DOANE DR</t>
        </is>
      </c>
      <c r="I90" t="n">
        <v>242530</v>
      </c>
      <c r="K90" t="inlineStr">
        <is>
          <t>REZ1969-0021</t>
        </is>
      </c>
      <c r="M90" t="inlineStr">
        <is>
          <t>Planned</t>
        </is>
      </c>
      <c r="O90" t="inlineStr">
        <is>
          <t>2026-09-01</t>
        </is>
      </c>
      <c r="P90" t="n">
        <v>678</v>
      </c>
      <c r="Q90" t="inlineStr">
        <is>
          <t>https://gisweb.pwcva.gov/arcgis/rest/services/Planning/Build_Out_Analysis/MapServer/9/678?f=html</t>
        </is>
      </c>
      <c r="R90" t="inlineStr">
        <is>
          <t>Planned</t>
        </is>
      </c>
    </row>
    <row r="91">
      <c r="A91" t="n">
        <v>90</v>
      </c>
      <c r="B91" t="n">
        <v>90</v>
      </c>
      <c r="C91" t="inlineStr">
        <is>
          <t>Devlin Technology Park A</t>
        </is>
      </c>
      <c r="D91" t="inlineStr">
        <is>
          <t>Planned</t>
        </is>
      </c>
      <c r="E91" t="inlineStr">
        <is>
          <t>Devlin Technology Park</t>
        </is>
      </c>
      <c r="F91" t="inlineStr">
        <is>
          <t>REZ2022-00022</t>
        </is>
      </c>
      <c r="G91" t="inlineStr">
        <is>
          <t>7496-63-4453</t>
        </is>
      </c>
      <c r="H91" t="inlineStr">
        <is>
          <t>9000 DEVLIN RD</t>
        </is>
      </c>
      <c r="I91" t="n">
        <v>222950</v>
      </c>
      <c r="M91" t="inlineStr">
        <is>
          <t>Planned</t>
        </is>
      </c>
      <c r="O91" t="inlineStr">
        <is>
          <t>2026-04-29</t>
        </is>
      </c>
      <c r="P91" t="n">
        <v>127</v>
      </c>
      <c r="Q91" t="inlineStr">
        <is>
          <t>https://gisweb.pwcva.gov/arcgis/rest/services/Planning/Build_Out_Analysis/MapServer/9/127?f=html</t>
        </is>
      </c>
      <c r="R91" t="inlineStr">
        <is>
          <t>Planned</t>
        </is>
      </c>
    </row>
    <row r="92">
      <c r="A92" t="n">
        <v>91</v>
      </c>
      <c r="B92" t="n">
        <v>91</v>
      </c>
      <c r="C92" t="inlineStr">
        <is>
          <t>Devlin Technology Park B</t>
        </is>
      </c>
      <c r="D92" t="inlineStr">
        <is>
          <t>Planned</t>
        </is>
      </c>
      <c r="E92" t="inlineStr">
        <is>
          <t>Devlin Technology Park</t>
        </is>
      </c>
      <c r="F92" t="inlineStr">
        <is>
          <t>REZ2022-00022</t>
        </is>
      </c>
      <c r="G92" t="inlineStr">
        <is>
          <t>7496-63-4453</t>
        </is>
      </c>
      <c r="H92" t="inlineStr">
        <is>
          <t>9000 DEVLIN RD</t>
        </is>
      </c>
      <c r="I92" t="n">
        <v>222950</v>
      </c>
      <c r="M92" t="inlineStr">
        <is>
          <t>Planned</t>
        </is>
      </c>
      <c r="O92" t="inlineStr">
        <is>
          <t>2026-04-29</t>
        </is>
      </c>
      <c r="P92" t="n">
        <v>126</v>
      </c>
      <c r="Q92" t="inlineStr">
        <is>
          <t>https://gisweb.pwcva.gov/arcgis/rest/services/Planning/Build_Out_Analysis/MapServer/9/126?f=html</t>
        </is>
      </c>
      <c r="R92" t="inlineStr">
        <is>
          <t>Planned</t>
        </is>
      </c>
    </row>
    <row r="93">
      <c r="A93" t="n">
        <v>92</v>
      </c>
      <c r="B93" t="n">
        <v>92</v>
      </c>
      <c r="C93" t="inlineStr">
        <is>
          <t>Devlin Technology Park C</t>
        </is>
      </c>
      <c r="D93" t="inlineStr">
        <is>
          <t>Planned</t>
        </is>
      </c>
      <c r="E93" t="inlineStr">
        <is>
          <t>Devlin Technology Park</t>
        </is>
      </c>
      <c r="F93" t="inlineStr">
        <is>
          <t>REZ2022-00022</t>
        </is>
      </c>
      <c r="G93" t="inlineStr">
        <is>
          <t>7496-63-4453</t>
        </is>
      </c>
      <c r="H93" t="inlineStr">
        <is>
          <t>9000 DEVLIN RD</t>
        </is>
      </c>
      <c r="I93" t="n">
        <v>222950</v>
      </c>
      <c r="M93" t="inlineStr">
        <is>
          <t>Planned</t>
        </is>
      </c>
      <c r="O93" t="inlineStr">
        <is>
          <t>2026-04-29</t>
        </is>
      </c>
      <c r="P93" t="n">
        <v>124</v>
      </c>
      <c r="Q93" t="inlineStr">
        <is>
          <t>https://gisweb.pwcva.gov/arcgis/rest/services/Planning/Build_Out_Analysis/MapServer/9/124?f=html</t>
        </is>
      </c>
      <c r="R93" t="inlineStr">
        <is>
          <t>Planned</t>
        </is>
      </c>
    </row>
    <row r="94">
      <c r="A94" t="n">
        <v>93</v>
      </c>
      <c r="B94" t="n">
        <v>93</v>
      </c>
      <c r="C94" t="inlineStr">
        <is>
          <t>Devlin Technology Park D</t>
        </is>
      </c>
      <c r="D94" t="inlineStr">
        <is>
          <t>Planned</t>
        </is>
      </c>
      <c r="E94" t="inlineStr">
        <is>
          <t>Devlin Technology Park</t>
        </is>
      </c>
      <c r="F94" t="inlineStr">
        <is>
          <t>REZ2022-00022</t>
        </is>
      </c>
      <c r="G94" t="inlineStr">
        <is>
          <t>7496-63-4453</t>
        </is>
      </c>
      <c r="H94" t="inlineStr">
        <is>
          <t>9000 DEVLIN RD</t>
        </is>
      </c>
      <c r="I94" t="n">
        <v>222950</v>
      </c>
      <c r="M94" t="inlineStr">
        <is>
          <t>Planned</t>
        </is>
      </c>
      <c r="O94" t="inlineStr">
        <is>
          <t>2026-04-29</t>
        </is>
      </c>
      <c r="P94" t="n">
        <v>122</v>
      </c>
      <c r="Q94" t="inlineStr">
        <is>
          <t>https://gisweb.pwcva.gov/arcgis/rest/services/Planning/Build_Out_Analysis/MapServer/9/122?f=html</t>
        </is>
      </c>
      <c r="R94" t="inlineStr">
        <is>
          <t>Planned</t>
        </is>
      </c>
    </row>
    <row r="95">
      <c r="A95" t="n">
        <v>94</v>
      </c>
      <c r="B95" t="n">
        <v>94</v>
      </c>
      <c r="C95" t="inlineStr">
        <is>
          <t>Devlin Technology Park E</t>
        </is>
      </c>
      <c r="D95" t="inlineStr">
        <is>
          <t>Planned</t>
        </is>
      </c>
      <c r="E95" t="inlineStr">
        <is>
          <t>Devlin Technology Park</t>
        </is>
      </c>
      <c r="F95" t="inlineStr">
        <is>
          <t>REZ2022-00022</t>
        </is>
      </c>
      <c r="G95" t="inlineStr">
        <is>
          <t>7496-63-4453</t>
        </is>
      </c>
      <c r="H95" t="inlineStr">
        <is>
          <t>9000 DEVLIN RD</t>
        </is>
      </c>
      <c r="I95" t="n">
        <v>222950</v>
      </c>
      <c r="M95" t="inlineStr">
        <is>
          <t>Planned</t>
        </is>
      </c>
      <c r="O95" t="inlineStr">
        <is>
          <t>2026-04-29</t>
        </is>
      </c>
      <c r="P95" t="n">
        <v>125</v>
      </c>
      <c r="Q95" t="inlineStr">
        <is>
          <t>https://gisweb.pwcva.gov/arcgis/rest/services/Planning/Build_Out_Analysis/MapServer/9/125?f=html</t>
        </is>
      </c>
      <c r="R95" t="inlineStr">
        <is>
          <t>Planned</t>
        </is>
      </c>
    </row>
    <row r="96">
      <c r="A96" t="n">
        <v>95</v>
      </c>
      <c r="B96" t="n">
        <v>95</v>
      </c>
      <c r="C96" t="inlineStr">
        <is>
          <t>Devlin Technology Park F</t>
        </is>
      </c>
      <c r="D96" t="inlineStr">
        <is>
          <t>Planned</t>
        </is>
      </c>
      <c r="E96" t="inlineStr">
        <is>
          <t>Devlin Technology Park</t>
        </is>
      </c>
      <c r="F96" t="inlineStr">
        <is>
          <t>REZ2022-00022</t>
        </is>
      </c>
      <c r="G96" t="inlineStr">
        <is>
          <t>7496-63-4453</t>
        </is>
      </c>
      <c r="H96" t="inlineStr">
        <is>
          <t>9000 DEVLIN RD</t>
        </is>
      </c>
      <c r="I96" t="n">
        <v>222950</v>
      </c>
      <c r="M96" t="inlineStr">
        <is>
          <t>Planned</t>
        </is>
      </c>
      <c r="O96" t="inlineStr">
        <is>
          <t>2026-04-29</t>
        </is>
      </c>
      <c r="P96" t="n">
        <v>123</v>
      </c>
      <c r="Q96" t="inlineStr">
        <is>
          <t>https://gisweb.pwcva.gov/arcgis/rest/services/Planning/Build_Out_Analysis/MapServer/9/123?f=html</t>
        </is>
      </c>
      <c r="R96" t="inlineStr">
        <is>
          <t>Planned</t>
        </is>
      </c>
    </row>
    <row r="97">
      <c r="A97" t="n">
        <v>96</v>
      </c>
      <c r="B97" t="n">
        <v>96</v>
      </c>
      <c r="C97" t="inlineStr">
        <is>
          <t>Devlin Technology Park G</t>
        </is>
      </c>
      <c r="D97" t="inlineStr">
        <is>
          <t>Planned</t>
        </is>
      </c>
      <c r="E97" t="inlineStr">
        <is>
          <t>Devlin Technology Park</t>
        </is>
      </c>
      <c r="F97" t="inlineStr">
        <is>
          <t>REZ2022-00022</t>
        </is>
      </c>
      <c r="G97" t="inlineStr">
        <is>
          <t>7496-63-4453</t>
        </is>
      </c>
      <c r="H97" t="inlineStr">
        <is>
          <t>9000 DEVLIN RD</t>
        </is>
      </c>
      <c r="I97" t="n">
        <v>222950</v>
      </c>
      <c r="M97" t="inlineStr">
        <is>
          <t>Planned</t>
        </is>
      </c>
      <c r="O97" t="inlineStr">
        <is>
          <t>2026-04-29</t>
        </is>
      </c>
      <c r="P97" t="n">
        <v>121</v>
      </c>
      <c r="Q97" t="inlineStr">
        <is>
          <t>https://gisweb.pwcva.gov/arcgis/rest/services/Planning/Build_Out_Analysis/MapServer/9/121?f=html</t>
        </is>
      </c>
      <c r="R97" t="inlineStr">
        <is>
          <t>Planned</t>
        </is>
      </c>
    </row>
    <row r="98">
      <c r="A98" t="n">
        <v>97</v>
      </c>
      <c r="B98" t="n">
        <v>97</v>
      </c>
      <c r="C98" t="inlineStr">
        <is>
          <t>Devlin Technology Park H</t>
        </is>
      </c>
      <c r="D98" t="inlineStr">
        <is>
          <t>Planned</t>
        </is>
      </c>
      <c r="E98" t="inlineStr">
        <is>
          <t>Devlin Technology Park</t>
        </is>
      </c>
      <c r="F98" t="inlineStr">
        <is>
          <t>REZ2022-00022</t>
        </is>
      </c>
      <c r="G98" t="inlineStr">
        <is>
          <t>7496-63-4453</t>
        </is>
      </c>
      <c r="H98" t="inlineStr">
        <is>
          <t>9000 DEVLIN RD</t>
        </is>
      </c>
      <c r="I98" t="n">
        <v>222950</v>
      </c>
      <c r="M98" t="inlineStr">
        <is>
          <t>Planned</t>
        </is>
      </c>
      <c r="O98" t="inlineStr">
        <is>
          <t>2026-04-29</t>
        </is>
      </c>
      <c r="P98" t="n">
        <v>128</v>
      </c>
      <c r="Q98" t="inlineStr">
        <is>
          <t>https://gisweb.pwcva.gov/arcgis/rest/services/Planning/Build_Out_Analysis/MapServer/9/128?f=html</t>
        </is>
      </c>
      <c r="R98" t="inlineStr">
        <is>
          <t>Planned</t>
        </is>
      </c>
    </row>
    <row r="99">
      <c r="A99" t="n">
        <v>98</v>
      </c>
      <c r="B99" t="n">
        <v>98</v>
      </c>
      <c r="C99" t="inlineStr">
        <is>
          <t>Digital Gateway North</t>
        </is>
      </c>
      <c r="D99" t="inlineStr">
        <is>
          <t>Denied</t>
        </is>
      </c>
      <c r="E99" t="inlineStr">
        <is>
          <t>Digital Gateway North</t>
        </is>
      </c>
      <c r="F99" t="inlineStr">
        <is>
          <t>REZ2022-00032</t>
        </is>
      </c>
      <c r="I99" t="n">
        <v>583333</v>
      </c>
      <c r="K99" t="inlineStr">
        <is>
          <t>REZ2022-00032</t>
        </is>
      </c>
      <c r="M99" t="inlineStr">
        <is>
          <t>Planned</t>
        </is>
      </c>
      <c r="O99" t="inlineStr">
        <is>
          <t>2026-08-04</t>
        </is>
      </c>
      <c r="P99" t="n">
        <v>277</v>
      </c>
      <c r="Q99" t="inlineStr">
        <is>
          <t>https://gisweb.pwcva.gov/arcgis/rest/services/Planning/Build_Out_Analysis/MapServer/9/277?f=html</t>
        </is>
      </c>
      <c r="R99" t="inlineStr">
        <is>
          <t>Pending</t>
        </is>
      </c>
    </row>
    <row r="100">
      <c r="A100" t="n">
        <v>99</v>
      </c>
      <c r="B100" t="n">
        <v>99</v>
      </c>
      <c r="C100" t="inlineStr">
        <is>
          <t>Digital Gateway North</t>
        </is>
      </c>
      <c r="D100" t="inlineStr">
        <is>
          <t>Denied</t>
        </is>
      </c>
      <c r="E100" t="inlineStr">
        <is>
          <t>Digital Gateway North</t>
        </is>
      </c>
      <c r="F100" t="inlineStr">
        <is>
          <t>REZ2022-00032</t>
        </is>
      </c>
      <c r="I100" t="n">
        <v>583333</v>
      </c>
      <c r="K100" t="inlineStr">
        <is>
          <t>REZ2022-00032</t>
        </is>
      </c>
      <c r="M100" t="inlineStr">
        <is>
          <t>Planned</t>
        </is>
      </c>
      <c r="O100" t="inlineStr">
        <is>
          <t>2026-08-04</t>
        </is>
      </c>
      <c r="P100" t="n">
        <v>278</v>
      </c>
      <c r="Q100" t="inlineStr">
        <is>
          <t>https://gisweb.pwcva.gov/arcgis/rest/services/Planning/Build_Out_Analysis/MapServer/9/278?f=html</t>
        </is>
      </c>
      <c r="R100" t="inlineStr">
        <is>
          <t>Pending</t>
        </is>
      </c>
    </row>
    <row r="101">
      <c r="A101" t="n">
        <v>100</v>
      </c>
      <c r="B101" t="n">
        <v>100</v>
      </c>
      <c r="C101" t="inlineStr">
        <is>
          <t>Digital Gateway North</t>
        </is>
      </c>
      <c r="D101" t="inlineStr">
        <is>
          <t>Denied</t>
        </is>
      </c>
      <c r="E101" t="inlineStr">
        <is>
          <t>Digital Gateway North</t>
        </is>
      </c>
      <c r="F101" t="inlineStr">
        <is>
          <t>REZ2022-00032</t>
        </is>
      </c>
      <c r="I101" t="n">
        <v>583333</v>
      </c>
      <c r="K101" t="inlineStr">
        <is>
          <t>REZ2022-00032</t>
        </is>
      </c>
      <c r="M101" t="inlineStr">
        <is>
          <t>Planned</t>
        </is>
      </c>
      <c r="O101" t="inlineStr">
        <is>
          <t>2026-08-04</t>
        </is>
      </c>
      <c r="P101" t="n">
        <v>279</v>
      </c>
      <c r="Q101" t="inlineStr">
        <is>
          <t>https://gisweb.pwcva.gov/arcgis/rest/services/Planning/Build_Out_Analysis/MapServer/9/279?f=html</t>
        </is>
      </c>
      <c r="R101" t="inlineStr">
        <is>
          <t>Pending</t>
        </is>
      </c>
    </row>
    <row r="102">
      <c r="A102" t="n">
        <v>101</v>
      </c>
      <c r="B102" t="n">
        <v>101</v>
      </c>
      <c r="C102" t="inlineStr">
        <is>
          <t>Digital Gateway North</t>
        </is>
      </c>
      <c r="D102" t="inlineStr">
        <is>
          <t>Denied</t>
        </is>
      </c>
      <c r="E102" t="inlineStr">
        <is>
          <t>Digital Gateway North</t>
        </is>
      </c>
      <c r="F102" t="inlineStr">
        <is>
          <t>REZ2022-00032</t>
        </is>
      </c>
      <c r="I102" t="n">
        <v>583333</v>
      </c>
      <c r="K102" t="inlineStr">
        <is>
          <t>REZ2022-00032</t>
        </is>
      </c>
      <c r="M102" t="inlineStr">
        <is>
          <t>Planned</t>
        </is>
      </c>
      <c r="O102" t="inlineStr">
        <is>
          <t>2026-08-04</t>
        </is>
      </c>
      <c r="P102" t="n">
        <v>280</v>
      </c>
      <c r="Q102" t="inlineStr">
        <is>
          <t>https://gisweb.pwcva.gov/arcgis/rest/services/Planning/Build_Out_Analysis/MapServer/9/280?f=html</t>
        </is>
      </c>
      <c r="R102" t="inlineStr">
        <is>
          <t>Pending</t>
        </is>
      </c>
    </row>
    <row r="103">
      <c r="A103" t="n">
        <v>102</v>
      </c>
      <c r="B103" t="n">
        <v>102</v>
      </c>
      <c r="C103" t="inlineStr">
        <is>
          <t>Digital Gateway North</t>
        </is>
      </c>
      <c r="D103" t="inlineStr">
        <is>
          <t>Denied</t>
        </is>
      </c>
      <c r="E103" t="inlineStr">
        <is>
          <t>Digital Gateway North</t>
        </is>
      </c>
      <c r="F103" t="inlineStr">
        <is>
          <t>REZ2022-00032</t>
        </is>
      </c>
      <c r="I103" t="n">
        <v>583333</v>
      </c>
      <c r="K103" t="inlineStr">
        <is>
          <t>REZ2022-00032</t>
        </is>
      </c>
      <c r="M103" t="inlineStr">
        <is>
          <t>Planned</t>
        </is>
      </c>
      <c r="O103" t="inlineStr">
        <is>
          <t>2026-08-04</t>
        </is>
      </c>
      <c r="P103" t="n">
        <v>281</v>
      </c>
      <c r="Q103" t="inlineStr">
        <is>
          <t>https://gisweb.pwcva.gov/arcgis/rest/services/Planning/Build_Out_Analysis/MapServer/9/281?f=html</t>
        </is>
      </c>
      <c r="R103" t="inlineStr">
        <is>
          <t>Pending</t>
        </is>
      </c>
    </row>
    <row r="104">
      <c r="A104" t="n">
        <v>103</v>
      </c>
      <c r="B104" t="n">
        <v>103</v>
      </c>
      <c r="C104" t="inlineStr">
        <is>
          <t>Digital Gateway North</t>
        </is>
      </c>
      <c r="D104" t="inlineStr">
        <is>
          <t>Denied</t>
        </is>
      </c>
      <c r="E104" t="inlineStr">
        <is>
          <t>Digital Gateway North</t>
        </is>
      </c>
      <c r="F104" t="inlineStr">
        <is>
          <t>REZ2022-00032</t>
        </is>
      </c>
      <c r="I104" t="n">
        <v>583333</v>
      </c>
      <c r="K104" t="inlineStr">
        <is>
          <t>REZ2022-00032</t>
        </is>
      </c>
      <c r="M104" t="inlineStr">
        <is>
          <t>Planned</t>
        </is>
      </c>
      <c r="O104" t="inlineStr">
        <is>
          <t>2026-08-04</t>
        </is>
      </c>
      <c r="P104" t="n">
        <v>290</v>
      </c>
      <c r="Q104" t="inlineStr">
        <is>
          <t>https://gisweb.pwcva.gov/arcgis/rest/services/Planning/Build_Out_Analysis/MapServer/9/290?f=html</t>
        </is>
      </c>
      <c r="R104" t="inlineStr">
        <is>
          <t>Pending</t>
        </is>
      </c>
    </row>
    <row r="105">
      <c r="A105" t="n">
        <v>104</v>
      </c>
      <c r="B105" t="n">
        <v>104</v>
      </c>
      <c r="C105" t="inlineStr">
        <is>
          <t>Digital Gateway North</t>
        </is>
      </c>
      <c r="D105" t="inlineStr">
        <is>
          <t>Denied</t>
        </is>
      </c>
      <c r="E105" t="inlineStr">
        <is>
          <t>Digital Gateway North</t>
        </is>
      </c>
      <c r="F105" t="inlineStr">
        <is>
          <t>REZ2022-00032</t>
        </is>
      </c>
      <c r="I105" t="n">
        <v>583333</v>
      </c>
      <c r="K105" t="inlineStr">
        <is>
          <t>REZ2022-00032</t>
        </is>
      </c>
      <c r="M105" t="inlineStr">
        <is>
          <t>Planned</t>
        </is>
      </c>
      <c r="O105" t="inlineStr">
        <is>
          <t>2026-08-04</t>
        </is>
      </c>
      <c r="P105" t="n">
        <v>291</v>
      </c>
      <c r="Q105" t="inlineStr">
        <is>
          <t>https://gisweb.pwcva.gov/arcgis/rest/services/Planning/Build_Out_Analysis/MapServer/9/291?f=html</t>
        </is>
      </c>
      <c r="R105" t="inlineStr">
        <is>
          <t>Pending</t>
        </is>
      </c>
    </row>
    <row r="106">
      <c r="A106" t="n">
        <v>105</v>
      </c>
      <c r="B106" t="n">
        <v>105</v>
      </c>
      <c r="C106" t="inlineStr">
        <is>
          <t>Digital Gateway North</t>
        </is>
      </c>
      <c r="D106" t="inlineStr">
        <is>
          <t>Denied</t>
        </is>
      </c>
      <c r="E106" t="inlineStr">
        <is>
          <t>Digital Gateway North</t>
        </is>
      </c>
      <c r="F106" t="inlineStr">
        <is>
          <t>REZ2022-00032</t>
        </is>
      </c>
      <c r="I106" t="n">
        <v>583333</v>
      </c>
      <c r="K106" t="inlineStr">
        <is>
          <t>REZ2022-00032</t>
        </is>
      </c>
      <c r="M106" t="inlineStr">
        <is>
          <t>Planned</t>
        </is>
      </c>
      <c r="O106" t="inlineStr">
        <is>
          <t>2026-08-04</t>
        </is>
      </c>
      <c r="P106" t="n">
        <v>292</v>
      </c>
      <c r="Q106" t="inlineStr">
        <is>
          <t>https://gisweb.pwcva.gov/arcgis/rest/services/Planning/Build_Out_Analysis/MapServer/9/292?f=html</t>
        </is>
      </c>
      <c r="R106" t="inlineStr">
        <is>
          <t>Pending</t>
        </is>
      </c>
    </row>
    <row r="107">
      <c r="A107" t="n">
        <v>106</v>
      </c>
      <c r="B107" t="n">
        <v>106</v>
      </c>
      <c r="C107" t="inlineStr">
        <is>
          <t>Digital Gateway North</t>
        </is>
      </c>
      <c r="D107" t="inlineStr">
        <is>
          <t>Denied</t>
        </is>
      </c>
      <c r="E107" t="inlineStr">
        <is>
          <t>Digital Gateway North</t>
        </is>
      </c>
      <c r="F107" t="inlineStr">
        <is>
          <t>REZ2022-00032</t>
        </is>
      </c>
      <c r="I107" t="n">
        <v>583333</v>
      </c>
      <c r="K107" t="inlineStr">
        <is>
          <t>REZ2022-00032</t>
        </is>
      </c>
      <c r="M107" t="inlineStr">
        <is>
          <t>Planned</t>
        </is>
      </c>
      <c r="O107" t="inlineStr">
        <is>
          <t>2026-08-04</t>
        </is>
      </c>
      <c r="P107" t="n">
        <v>293</v>
      </c>
      <c r="Q107" t="inlineStr">
        <is>
          <t>https://gisweb.pwcva.gov/arcgis/rest/services/Planning/Build_Out_Analysis/MapServer/9/293?f=html</t>
        </is>
      </c>
      <c r="R107" t="inlineStr">
        <is>
          <t>Pending</t>
        </is>
      </c>
    </row>
    <row r="108">
      <c r="A108" t="n">
        <v>107</v>
      </c>
      <c r="B108" t="n">
        <v>107</v>
      </c>
      <c r="C108" t="inlineStr">
        <is>
          <t>Digital Gateway North</t>
        </is>
      </c>
      <c r="D108" t="inlineStr">
        <is>
          <t>Denied</t>
        </is>
      </c>
      <c r="E108" t="inlineStr">
        <is>
          <t>Digital Gateway North</t>
        </is>
      </c>
      <c r="F108" t="inlineStr">
        <is>
          <t>REZ2022-00032</t>
        </is>
      </c>
      <c r="I108" t="n">
        <v>583333</v>
      </c>
      <c r="K108" t="inlineStr">
        <is>
          <t>REZ2022-00032</t>
        </is>
      </c>
      <c r="M108" t="inlineStr">
        <is>
          <t>Planned</t>
        </is>
      </c>
      <c r="O108" t="inlineStr">
        <is>
          <t>2026-08-04</t>
        </is>
      </c>
      <c r="P108" t="n">
        <v>294</v>
      </c>
      <c r="Q108" t="inlineStr">
        <is>
          <t>https://gisweb.pwcva.gov/arcgis/rest/services/Planning/Build_Out_Analysis/MapServer/9/294?f=html</t>
        </is>
      </c>
      <c r="R108" t="inlineStr">
        <is>
          <t>Pending</t>
        </is>
      </c>
    </row>
    <row r="109">
      <c r="A109" t="n">
        <v>108</v>
      </c>
      <c r="B109" t="n">
        <v>108</v>
      </c>
      <c r="C109" t="inlineStr">
        <is>
          <t>Digital Gateway North</t>
        </is>
      </c>
      <c r="D109" t="inlineStr">
        <is>
          <t>Denied</t>
        </is>
      </c>
      <c r="E109" t="inlineStr">
        <is>
          <t>Digital Gateway North</t>
        </is>
      </c>
      <c r="F109" t="inlineStr">
        <is>
          <t>REZ2022-00032</t>
        </is>
      </c>
      <c r="I109" t="n">
        <v>583333</v>
      </c>
      <c r="K109" t="inlineStr">
        <is>
          <t>REZ2022-00032</t>
        </is>
      </c>
      <c r="M109" t="inlineStr">
        <is>
          <t>Planned</t>
        </is>
      </c>
      <c r="O109" t="inlineStr">
        <is>
          <t>2026-08-04</t>
        </is>
      </c>
      <c r="P109" t="n">
        <v>295</v>
      </c>
      <c r="Q109" t="inlineStr">
        <is>
          <t>https://gisweb.pwcva.gov/arcgis/rest/services/Planning/Build_Out_Analysis/MapServer/9/295?f=html</t>
        </is>
      </c>
      <c r="R109" t="inlineStr">
        <is>
          <t>Pending</t>
        </is>
      </c>
    </row>
    <row r="110">
      <c r="A110" t="n">
        <v>109</v>
      </c>
      <c r="B110" t="n">
        <v>109</v>
      </c>
      <c r="C110" t="inlineStr">
        <is>
          <t>Digital Gateway North</t>
        </is>
      </c>
      <c r="D110" t="inlineStr">
        <is>
          <t>Denied</t>
        </is>
      </c>
      <c r="E110" t="inlineStr">
        <is>
          <t>Digital Gateway North</t>
        </is>
      </c>
      <c r="F110" t="inlineStr">
        <is>
          <t>REZ2022-00032</t>
        </is>
      </c>
      <c r="I110" t="n">
        <v>583333</v>
      </c>
      <c r="K110" t="inlineStr">
        <is>
          <t>REZ2022-00032</t>
        </is>
      </c>
      <c r="M110" t="inlineStr">
        <is>
          <t>Planned</t>
        </is>
      </c>
      <c r="O110" t="inlineStr">
        <is>
          <t>2026-08-04</t>
        </is>
      </c>
      <c r="P110" t="n">
        <v>296</v>
      </c>
      <c r="Q110" t="inlineStr">
        <is>
          <t>https://gisweb.pwcva.gov/arcgis/rest/services/Planning/Build_Out_Analysis/MapServer/9/296?f=html</t>
        </is>
      </c>
      <c r="R110" t="inlineStr">
        <is>
          <t>Pending</t>
        </is>
      </c>
    </row>
    <row r="111">
      <c r="A111" t="n">
        <v>110</v>
      </c>
      <c r="B111" t="n">
        <v>110</v>
      </c>
      <c r="C111" t="inlineStr">
        <is>
          <t>Digital Gateway South</t>
        </is>
      </c>
      <c r="D111" t="inlineStr">
        <is>
          <t>Denied</t>
        </is>
      </c>
      <c r="E111" t="inlineStr">
        <is>
          <t>Digital Gateway South</t>
        </is>
      </c>
      <c r="F111" t="inlineStr">
        <is>
          <t>REZ2022-00033</t>
        </is>
      </c>
      <c r="I111" t="n">
        <v>462500</v>
      </c>
      <c r="K111" t="inlineStr">
        <is>
          <t>REZ2022-00033</t>
        </is>
      </c>
      <c r="M111" t="inlineStr">
        <is>
          <t>Planned</t>
        </is>
      </c>
      <c r="O111" t="inlineStr">
        <is>
          <t>2026-08-04</t>
        </is>
      </c>
      <c r="P111" t="n">
        <v>282</v>
      </c>
      <c r="Q111" t="inlineStr">
        <is>
          <t>https://gisweb.pwcva.gov/arcgis/rest/services/Planning/Build_Out_Analysis/MapServer/9/282?f=html</t>
        </is>
      </c>
      <c r="R111" t="inlineStr">
        <is>
          <t>Pending</t>
        </is>
      </c>
    </row>
    <row r="112">
      <c r="A112" t="n">
        <v>111</v>
      </c>
      <c r="B112" t="n">
        <v>111</v>
      </c>
      <c r="C112" t="inlineStr">
        <is>
          <t>Digital Gateway South</t>
        </is>
      </c>
      <c r="D112" t="inlineStr">
        <is>
          <t>Denied</t>
        </is>
      </c>
      <c r="E112" t="inlineStr">
        <is>
          <t>Digital Gateway South</t>
        </is>
      </c>
      <c r="F112" t="inlineStr">
        <is>
          <t>REZ2022-00033</t>
        </is>
      </c>
      <c r="I112" t="n">
        <v>462500</v>
      </c>
      <c r="K112" t="inlineStr">
        <is>
          <t>REZ2022-00033</t>
        </is>
      </c>
      <c r="M112" t="inlineStr">
        <is>
          <t>Planned</t>
        </is>
      </c>
      <c r="O112" t="inlineStr">
        <is>
          <t>2026-08-04</t>
        </is>
      </c>
      <c r="P112" t="n">
        <v>283</v>
      </c>
      <c r="Q112" t="inlineStr">
        <is>
          <t>https://gisweb.pwcva.gov/arcgis/rest/services/Planning/Build_Out_Analysis/MapServer/9/283?f=html</t>
        </is>
      </c>
      <c r="R112" t="inlineStr">
        <is>
          <t>Pending</t>
        </is>
      </c>
    </row>
    <row r="113">
      <c r="A113" t="n">
        <v>112</v>
      </c>
      <c r="B113" t="n">
        <v>112</v>
      </c>
      <c r="C113" t="inlineStr">
        <is>
          <t>Digital Gateway South</t>
        </is>
      </c>
      <c r="D113" t="inlineStr">
        <is>
          <t>Denied</t>
        </is>
      </c>
      <c r="E113" t="inlineStr">
        <is>
          <t>Digital Gateway South</t>
        </is>
      </c>
      <c r="F113" t="inlineStr">
        <is>
          <t>REZ2022-00033</t>
        </is>
      </c>
      <c r="I113" t="n">
        <v>462500</v>
      </c>
      <c r="K113" t="inlineStr">
        <is>
          <t>REZ2022-00033</t>
        </is>
      </c>
      <c r="M113" t="inlineStr">
        <is>
          <t>Planned</t>
        </is>
      </c>
      <c r="O113" t="inlineStr">
        <is>
          <t>2026-08-04</t>
        </is>
      </c>
      <c r="P113" t="n">
        <v>284</v>
      </c>
      <c r="Q113" t="inlineStr">
        <is>
          <t>https://gisweb.pwcva.gov/arcgis/rest/services/Planning/Build_Out_Analysis/MapServer/9/284?f=html</t>
        </is>
      </c>
      <c r="R113" t="inlineStr">
        <is>
          <t>Pending</t>
        </is>
      </c>
    </row>
    <row r="114">
      <c r="A114" t="n">
        <v>113</v>
      </c>
      <c r="B114" t="n">
        <v>113</v>
      </c>
      <c r="C114" t="inlineStr">
        <is>
          <t>Digital Gateway South</t>
        </is>
      </c>
      <c r="D114" t="inlineStr">
        <is>
          <t>Denied</t>
        </is>
      </c>
      <c r="E114" t="inlineStr">
        <is>
          <t>Digital Gateway South</t>
        </is>
      </c>
      <c r="F114" t="inlineStr">
        <is>
          <t>REZ2022-00033</t>
        </is>
      </c>
      <c r="I114" t="n">
        <v>462500</v>
      </c>
      <c r="K114" t="inlineStr">
        <is>
          <t>REZ2022-00033</t>
        </is>
      </c>
      <c r="M114" t="inlineStr">
        <is>
          <t>Planned</t>
        </is>
      </c>
      <c r="O114" t="inlineStr">
        <is>
          <t>2026-08-04</t>
        </is>
      </c>
      <c r="P114" t="n">
        <v>285</v>
      </c>
      <c r="Q114" t="inlineStr">
        <is>
          <t>https://gisweb.pwcva.gov/arcgis/rest/services/Planning/Build_Out_Analysis/MapServer/9/285?f=html</t>
        </is>
      </c>
      <c r="R114" t="inlineStr">
        <is>
          <t>Pending</t>
        </is>
      </c>
    </row>
    <row r="115">
      <c r="A115" t="n">
        <v>114</v>
      </c>
      <c r="B115" t="n">
        <v>114</v>
      </c>
      <c r="C115" t="inlineStr">
        <is>
          <t>Digital Gateway South</t>
        </is>
      </c>
      <c r="D115" t="inlineStr">
        <is>
          <t>Denied</t>
        </is>
      </c>
      <c r="E115" t="inlineStr">
        <is>
          <t>Digital Gateway South</t>
        </is>
      </c>
      <c r="F115" t="inlineStr">
        <is>
          <t>REZ2022-00033</t>
        </is>
      </c>
      <c r="I115" t="n">
        <v>462500</v>
      </c>
      <c r="K115" t="inlineStr">
        <is>
          <t>REZ2022-00033</t>
        </is>
      </c>
      <c r="M115" t="inlineStr">
        <is>
          <t>Planned</t>
        </is>
      </c>
      <c r="O115" t="inlineStr">
        <is>
          <t>2026-08-04</t>
        </is>
      </c>
      <c r="P115" t="n">
        <v>286</v>
      </c>
      <c r="Q115" t="inlineStr">
        <is>
          <t>https://gisweb.pwcva.gov/arcgis/rest/services/Planning/Build_Out_Analysis/MapServer/9/286?f=html</t>
        </is>
      </c>
      <c r="R115" t="inlineStr">
        <is>
          <t>Pending</t>
        </is>
      </c>
    </row>
    <row r="116">
      <c r="A116" t="n">
        <v>115</v>
      </c>
      <c r="B116" t="n">
        <v>115</v>
      </c>
      <c r="C116" t="inlineStr">
        <is>
          <t>Digital Gateway South</t>
        </is>
      </c>
      <c r="D116" t="inlineStr">
        <is>
          <t>Denied</t>
        </is>
      </c>
      <c r="E116" t="inlineStr">
        <is>
          <t>Digital Gateway South</t>
        </is>
      </c>
      <c r="F116" t="inlineStr">
        <is>
          <t>REZ2022-00033</t>
        </is>
      </c>
      <c r="I116" t="n">
        <v>462500</v>
      </c>
      <c r="K116" t="inlineStr">
        <is>
          <t>REZ2022-00033</t>
        </is>
      </c>
      <c r="M116" t="inlineStr">
        <is>
          <t>Planned</t>
        </is>
      </c>
      <c r="O116" t="inlineStr">
        <is>
          <t>2026-08-04</t>
        </is>
      </c>
      <c r="P116" t="n">
        <v>287</v>
      </c>
      <c r="Q116" t="inlineStr">
        <is>
          <t>https://gisweb.pwcva.gov/arcgis/rest/services/Planning/Build_Out_Analysis/MapServer/9/287?f=html</t>
        </is>
      </c>
      <c r="R116" t="inlineStr">
        <is>
          <t>Pending</t>
        </is>
      </c>
    </row>
    <row r="117">
      <c r="A117" t="n">
        <v>116</v>
      </c>
      <c r="B117" t="n">
        <v>116</v>
      </c>
      <c r="C117" t="inlineStr">
        <is>
          <t>Digital Gateway South</t>
        </is>
      </c>
      <c r="D117" t="inlineStr">
        <is>
          <t>Denied</t>
        </is>
      </c>
      <c r="E117" t="inlineStr">
        <is>
          <t>Digital Gateway South</t>
        </is>
      </c>
      <c r="F117" t="inlineStr">
        <is>
          <t>REZ2022-00033</t>
        </is>
      </c>
      <c r="I117" t="n">
        <v>462500</v>
      </c>
      <c r="K117" t="inlineStr">
        <is>
          <t>REZ2022-00033</t>
        </is>
      </c>
      <c r="M117" t="inlineStr">
        <is>
          <t>Planned</t>
        </is>
      </c>
      <c r="O117" t="inlineStr">
        <is>
          <t>2026-08-04</t>
        </is>
      </c>
      <c r="P117" t="n">
        <v>288</v>
      </c>
      <c r="Q117" t="inlineStr">
        <is>
          <t>https://gisweb.pwcva.gov/arcgis/rest/services/Planning/Build_Out_Analysis/MapServer/9/288?f=html</t>
        </is>
      </c>
      <c r="R117" t="inlineStr">
        <is>
          <t>Pending</t>
        </is>
      </c>
    </row>
    <row r="118">
      <c r="A118" t="n">
        <v>117</v>
      </c>
      <c r="B118" t="n">
        <v>117</v>
      </c>
      <c r="C118" t="inlineStr">
        <is>
          <t>Digital Gateway South</t>
        </is>
      </c>
      <c r="D118" t="inlineStr">
        <is>
          <t>Denied</t>
        </is>
      </c>
      <c r="E118" t="inlineStr">
        <is>
          <t>Digital Gateway South</t>
        </is>
      </c>
      <c r="F118" t="inlineStr">
        <is>
          <t>REZ2022-00033</t>
        </is>
      </c>
      <c r="I118" t="n">
        <v>462500</v>
      </c>
      <c r="K118" t="inlineStr">
        <is>
          <t>REZ2022-00033</t>
        </is>
      </c>
      <c r="M118" t="inlineStr">
        <is>
          <t>Planned</t>
        </is>
      </c>
      <c r="O118" t="inlineStr">
        <is>
          <t>2026-08-04</t>
        </is>
      </c>
      <c r="P118" t="n">
        <v>289</v>
      </c>
      <c r="Q118" t="inlineStr">
        <is>
          <t>https://gisweb.pwcva.gov/arcgis/rest/services/Planning/Build_Out_Analysis/MapServer/9/289?f=html</t>
        </is>
      </c>
      <c r="R118" t="inlineStr">
        <is>
          <t>Pending</t>
        </is>
      </c>
    </row>
    <row r="119">
      <c r="A119" t="n">
        <v>118</v>
      </c>
      <c r="B119" t="n">
        <v>118</v>
      </c>
      <c r="C119" t="inlineStr">
        <is>
          <t>DLR IAD-50</t>
        </is>
      </c>
      <c r="D119" t="inlineStr">
        <is>
          <t>Under Construction</t>
        </is>
      </c>
      <c r="E119" t="inlineStr">
        <is>
          <t>Digital Realty</t>
        </is>
      </c>
      <c r="F119" t="inlineStr">
        <is>
          <t>REZ2018-00002</t>
        </is>
      </c>
      <c r="G119" t="inlineStr">
        <is>
          <t>7695-53-6537.00</t>
        </is>
      </c>
      <c r="H119" t="inlineStr">
        <is>
          <t>10050 BRICKYARD WAY</t>
        </is>
      </c>
      <c r="I119" t="n">
        <v>816374</v>
      </c>
      <c r="K119" t="inlineStr">
        <is>
          <t>REZ2018-00002</t>
        </is>
      </c>
      <c r="L119" t="inlineStr">
        <is>
          <t>BLD2025-02545</t>
        </is>
      </c>
      <c r="M119" t="inlineStr">
        <is>
          <t>Issued</t>
        </is>
      </c>
      <c r="O119" t="inlineStr">
        <is>
          <t>2026-07-29</t>
        </is>
      </c>
      <c r="P119" t="n">
        <v>59</v>
      </c>
      <c r="Q119" t="inlineStr">
        <is>
          <t>https://gisweb.pwcva.gov/arcgis/rest/services/Planning/Build_Out_Analysis/MapServer/9/59?f=html</t>
        </is>
      </c>
      <c r="R119" t="inlineStr">
        <is>
          <t>Under Construction</t>
        </is>
      </c>
    </row>
    <row r="120">
      <c r="A120" t="n">
        <v>119</v>
      </c>
      <c r="B120" t="n">
        <v>119</v>
      </c>
      <c r="C120" t="inlineStr">
        <is>
          <t>DLR IAD-51</t>
        </is>
      </c>
      <c r="D120" t="inlineStr">
        <is>
          <t>Completed</t>
        </is>
      </c>
      <c r="E120" t="inlineStr">
        <is>
          <t>Digital Realty</t>
        </is>
      </c>
      <c r="F120" t="inlineStr">
        <is>
          <t>REZ2018-00002</t>
        </is>
      </c>
      <c r="G120" t="inlineStr">
        <is>
          <t>7695-53-9602.00</t>
        </is>
      </c>
      <c r="H120" t="inlineStr">
        <is>
          <t>10051 BRICKYARD WAY</t>
        </is>
      </c>
      <c r="I120" t="n">
        <v>801246</v>
      </c>
      <c r="J120" t="n">
        <v>2026</v>
      </c>
      <c r="K120" t="inlineStr">
        <is>
          <t>REZ2018-00002</t>
        </is>
      </c>
      <c r="L120" t="inlineStr">
        <is>
          <t>BLD2024-02491</t>
        </is>
      </c>
      <c r="M120" t="inlineStr">
        <is>
          <t>Finaled</t>
        </is>
      </c>
      <c r="O120" t="inlineStr">
        <is>
          <t>2026-07-29</t>
        </is>
      </c>
      <c r="P120" t="n">
        <v>58</v>
      </c>
      <c r="Q120" t="inlineStr">
        <is>
          <t>https://gisweb.pwcva.gov/arcgis/rest/services/Planning/Build_Out_Analysis/MapServer/9/58?f=html</t>
        </is>
      </c>
      <c r="R120" t="inlineStr">
        <is>
          <t>Completed</t>
        </is>
      </c>
    </row>
    <row r="121">
      <c r="A121" t="n">
        <v>120</v>
      </c>
      <c r="B121" t="n">
        <v>120</v>
      </c>
      <c r="C121" t="inlineStr">
        <is>
          <t>Digital Realty VA4</t>
        </is>
      </c>
      <c r="D121" t="inlineStr">
        <is>
          <t>Completed</t>
        </is>
      </c>
      <c r="E121" t="inlineStr">
        <is>
          <t>Digital Realty</t>
        </is>
      </c>
      <c r="F121" t="inlineStr">
        <is>
          <t>REZ1958-0021</t>
        </is>
      </c>
      <c r="G121" t="inlineStr">
        <is>
          <t>7496-07-8757</t>
        </is>
      </c>
      <c r="H121" t="inlineStr">
        <is>
          <t>8217 LINTON HALL RD</t>
        </is>
      </c>
      <c r="I121" t="n">
        <v>227465</v>
      </c>
      <c r="J121" t="n">
        <v>2002</v>
      </c>
      <c r="K121" t="inlineStr">
        <is>
          <t>REZ1958-0021</t>
        </is>
      </c>
      <c r="L121" t="inlineStr">
        <is>
          <t>BLD2001-04142</t>
        </is>
      </c>
      <c r="M121" t="inlineStr">
        <is>
          <t>Finaled</t>
        </is>
      </c>
      <c r="N121" t="inlineStr">
        <is>
          <t>2002-11-05</t>
        </is>
      </c>
      <c r="O121" t="inlineStr">
        <is>
          <t>2026-04-30</t>
        </is>
      </c>
      <c r="P121" t="n">
        <v>96</v>
      </c>
      <c r="Q121" t="inlineStr">
        <is>
          <t>https://gisweb.pwcva.gov/arcgis/rest/services/Planning/Build_Out_Analysis/MapServer/9/96?f=html</t>
        </is>
      </c>
      <c r="R121" t="inlineStr">
        <is>
          <t>Completed</t>
        </is>
      </c>
    </row>
    <row r="122">
      <c r="A122" t="n">
        <v>121</v>
      </c>
      <c r="B122" t="n">
        <v>121</v>
      </c>
      <c r="C122" t="inlineStr">
        <is>
          <t>Digital Realty VA5</t>
        </is>
      </c>
      <c r="D122" t="inlineStr">
        <is>
          <t>Planned</t>
        </is>
      </c>
      <c r="E122" t="inlineStr">
        <is>
          <t>Digital Realty</t>
        </is>
      </c>
      <c r="F122" t="inlineStr">
        <is>
          <t>REZ1958-0021</t>
        </is>
      </c>
      <c r="G122" t="inlineStr">
        <is>
          <t>7496-07-8757</t>
        </is>
      </c>
      <c r="H122" t="inlineStr">
        <is>
          <t>8217 LINTON HALL RD</t>
        </is>
      </c>
      <c r="I122" t="n">
        <v>155427</v>
      </c>
      <c r="K122" t="inlineStr">
        <is>
          <t>REZ1958-0021</t>
        </is>
      </c>
      <c r="M122" t="inlineStr">
        <is>
          <t>Planned</t>
        </is>
      </c>
      <c r="O122" t="inlineStr">
        <is>
          <t>2026-08-21</t>
        </is>
      </c>
      <c r="P122" t="n">
        <v>243</v>
      </c>
      <c r="Q122" t="inlineStr">
        <is>
          <t>https://gisweb.pwcva.gov/arcgis/rest/services/Planning/Build_Out_Analysis/MapServer/9/243?f=html</t>
        </is>
      </c>
      <c r="R122" t="inlineStr">
        <is>
          <t>Planned</t>
        </is>
      </c>
    </row>
    <row r="123">
      <c r="A123" t="n">
        <v>122</v>
      </c>
      <c r="B123" t="n">
        <v>122</v>
      </c>
      <c r="C123" t="inlineStr">
        <is>
          <t>Equinix Manassas DC14</t>
        </is>
      </c>
      <c r="D123" t="inlineStr">
        <is>
          <t>Completed</t>
        </is>
      </c>
      <c r="E123" t="inlineStr">
        <is>
          <t>Equinix Manassas</t>
        </is>
      </c>
      <c r="F123" t="inlineStr">
        <is>
          <t>REZ1999-0038</t>
        </is>
      </c>
      <c r="G123" t="inlineStr">
        <is>
          <t>7697-47-7005</t>
        </is>
      </c>
      <c r="H123" t="inlineStr">
        <is>
          <t>7400 INFANTRY RIDGE RD</t>
        </is>
      </c>
      <c r="I123" t="n">
        <v>109800</v>
      </c>
      <c r="J123" t="n">
        <v>2009</v>
      </c>
      <c r="K123" t="inlineStr">
        <is>
          <t>REZ1999-0038</t>
        </is>
      </c>
      <c r="L123" t="inlineStr">
        <is>
          <t>BLD2006-05319</t>
        </is>
      </c>
      <c r="M123" t="inlineStr">
        <is>
          <t>Finaled</t>
        </is>
      </c>
      <c r="N123" t="inlineStr">
        <is>
          <t>2009-10-22</t>
        </is>
      </c>
      <c r="O123" t="inlineStr">
        <is>
          <t>2026-08-14</t>
        </is>
      </c>
      <c r="P123" t="n">
        <v>154</v>
      </c>
      <c r="Q123" t="inlineStr">
        <is>
          <t>https://gisweb.pwcva.gov/arcgis/rest/services/Planning/Build_Out_Analysis/MapServer/9/154?f=html</t>
        </is>
      </c>
      <c r="R123" t="inlineStr">
        <is>
          <t>Completed</t>
        </is>
      </c>
    </row>
    <row r="124">
      <c r="A124" t="n">
        <v>123</v>
      </c>
      <c r="B124" t="n">
        <v>123</v>
      </c>
      <c r="C124" t="inlineStr">
        <is>
          <t>Equinix Manassas DC19</t>
        </is>
      </c>
      <c r="D124" t="inlineStr">
        <is>
          <t>Planned</t>
        </is>
      </c>
      <c r="E124" t="inlineStr">
        <is>
          <t>Equinix Manassas</t>
        </is>
      </c>
      <c r="F124" t="inlineStr">
        <is>
          <t>REZ1999-0038</t>
        </is>
      </c>
      <c r="G124" t="inlineStr">
        <is>
          <t>7697-47-2201</t>
        </is>
      </c>
      <c r="H124" t="inlineStr">
        <is>
          <t>7200 INFANTRY RIDGE RD</t>
        </is>
      </c>
      <c r="I124" t="n">
        <v>174672</v>
      </c>
      <c r="K124" t="inlineStr">
        <is>
          <t>REZ1998-0027</t>
        </is>
      </c>
      <c r="L124" t="inlineStr">
        <is>
          <t>BLD2027-00758</t>
        </is>
      </c>
      <c r="M124" t="inlineStr">
        <is>
          <t>Planned</t>
        </is>
      </c>
      <c r="O124" t="inlineStr">
        <is>
          <t>2026-08-14</t>
        </is>
      </c>
      <c r="P124" t="n">
        <v>272</v>
      </c>
      <c r="Q124" t="inlineStr">
        <is>
          <t>https://gisweb.pwcva.gov/arcgis/rest/services/Planning/Build_Out_Analysis/MapServer/9/272?f=html</t>
        </is>
      </c>
      <c r="R124" t="inlineStr">
        <is>
          <t>Planned</t>
        </is>
      </c>
    </row>
    <row r="125">
      <c r="A125" t="n">
        <v>124</v>
      </c>
      <c r="B125" t="n">
        <v>124</v>
      </c>
      <c r="C125" t="inlineStr">
        <is>
          <t>Gainesville RLC</t>
        </is>
      </c>
      <c r="D125" t="inlineStr">
        <is>
          <t>Planned</t>
        </is>
      </c>
      <c r="E125" t="inlineStr">
        <is>
          <t>Gainesville RLC Data Center</t>
        </is>
      </c>
      <c r="F125" t="inlineStr">
        <is>
          <t>REZ1958-0021</t>
        </is>
      </c>
      <c r="G125" t="inlineStr">
        <is>
          <t>7497-14-5061</t>
        </is>
      </c>
      <c r="H125" t="inlineStr">
        <is>
          <t>5547 WELLINGTON RD</t>
        </is>
      </c>
      <c r="I125" t="n">
        <v>989867</v>
      </c>
      <c r="J125" t="n">
        <v>0</v>
      </c>
      <c r="K125" t="inlineStr">
        <is>
          <t>REZ1958-0021</t>
        </is>
      </c>
      <c r="M125" t="inlineStr">
        <is>
          <t>Planned</t>
        </is>
      </c>
      <c r="O125" t="inlineStr">
        <is>
          <t>2026-04-23</t>
        </is>
      </c>
      <c r="P125" t="n">
        <v>215</v>
      </c>
      <c r="Q125" t="inlineStr">
        <is>
          <t>https://gisweb.pwcva.gov/arcgis/rest/services/Planning/Build_Out_Analysis/MapServer/9/215?f=html</t>
        </is>
      </c>
      <c r="R125" t="inlineStr">
        <is>
          <t>Planned</t>
        </is>
      </c>
    </row>
    <row r="126">
      <c r="A126" t="n">
        <v>125</v>
      </c>
      <c r="B126" t="n">
        <v>125</v>
      </c>
      <c r="C126" t="inlineStr">
        <is>
          <t>Piney Branch 1</t>
        </is>
      </c>
      <c r="D126" t="inlineStr">
        <is>
          <t>Planned</t>
        </is>
      </c>
      <c r="E126" t="inlineStr">
        <is>
          <t>Gainesville Tech Park Piney Branch</t>
        </is>
      </c>
      <c r="F126" t="inlineStr">
        <is>
          <t>REZ2020-00011</t>
        </is>
      </c>
      <c r="G126" t="inlineStr">
        <is>
          <t>7496-68-8838</t>
        </is>
      </c>
      <c r="H126" t="inlineStr">
        <is>
          <t>8101 PINEY BRANCH LN</t>
        </is>
      </c>
      <c r="I126" t="n">
        <v>495709</v>
      </c>
      <c r="M126" t="inlineStr">
        <is>
          <t>Planned</t>
        </is>
      </c>
      <c r="O126" t="inlineStr">
        <is>
          <t>2026-02-02</t>
        </is>
      </c>
      <c r="P126" t="n">
        <v>143</v>
      </c>
      <c r="Q126" t="inlineStr">
        <is>
          <t>https://gisweb.pwcva.gov/arcgis/rest/services/Planning/Build_Out_Analysis/MapServer/9/143?f=html</t>
        </is>
      </c>
      <c r="R126" t="inlineStr">
        <is>
          <t>Planned</t>
        </is>
      </c>
    </row>
    <row r="127">
      <c r="A127" t="n">
        <v>126</v>
      </c>
      <c r="B127" t="n">
        <v>126</v>
      </c>
      <c r="C127" t="inlineStr">
        <is>
          <t>Piney Branch 2</t>
        </is>
      </c>
      <c r="D127" t="inlineStr">
        <is>
          <t>Planned</t>
        </is>
      </c>
      <c r="E127" t="inlineStr">
        <is>
          <t>Gainesville Tech Park Piney Branch</t>
        </is>
      </c>
      <c r="F127" t="inlineStr">
        <is>
          <t>REZ2020-00011</t>
        </is>
      </c>
      <c r="G127" t="inlineStr">
        <is>
          <t>7496-68-8838</t>
        </is>
      </c>
      <c r="H127" t="inlineStr">
        <is>
          <t>8121 PINEY BRANCH LN</t>
        </is>
      </c>
      <c r="I127" t="n">
        <v>495709</v>
      </c>
      <c r="M127" t="inlineStr">
        <is>
          <t>Planned</t>
        </is>
      </c>
      <c r="O127" t="inlineStr">
        <is>
          <t>2026-04-16</t>
        </is>
      </c>
      <c r="P127" t="n">
        <v>144</v>
      </c>
      <c r="Q127" t="inlineStr">
        <is>
          <t>https://gisweb.pwcva.gov/arcgis/rest/services/Planning/Build_Out_Analysis/MapServer/9/144?f=html</t>
        </is>
      </c>
      <c r="R127" t="inlineStr">
        <is>
          <t>Planned</t>
        </is>
      </c>
    </row>
    <row r="128">
      <c r="A128" t="n">
        <v>127</v>
      </c>
      <c r="B128" t="n">
        <v>127</v>
      </c>
      <c r="C128" t="inlineStr">
        <is>
          <t>Amazon AWS IAD A</t>
        </is>
      </c>
      <c r="D128" t="inlineStr">
        <is>
          <t>Planned</t>
        </is>
      </c>
      <c r="E128" t="inlineStr">
        <is>
          <t>Gainesville West</t>
        </is>
      </c>
      <c r="F128" t="inlineStr">
        <is>
          <t>REZ1958-0021</t>
        </is>
      </c>
      <c r="G128" t="inlineStr">
        <is>
          <t>7497-32-5305</t>
        </is>
      </c>
      <c r="H128" t="inlineStr">
        <is>
          <t>13235 SKYLARK VIEW WAY</t>
        </is>
      </c>
      <c r="I128" t="n">
        <v>244166</v>
      </c>
      <c r="K128" t="inlineStr">
        <is>
          <t>REZ1958-0021</t>
        </is>
      </c>
      <c r="L128" t="inlineStr">
        <is>
          <t>BLD2026-05277</t>
        </is>
      </c>
      <c r="M128" t="inlineStr">
        <is>
          <t>Pending</t>
        </is>
      </c>
      <c r="O128" t="inlineStr">
        <is>
          <t>2026-09-21</t>
        </is>
      </c>
      <c r="P128" t="n">
        <v>114</v>
      </c>
      <c r="Q128" t="inlineStr">
        <is>
          <t>https://gisweb.pwcva.gov/arcgis/rest/services/Planning/Build_Out_Analysis/MapServer/9/114?f=html</t>
        </is>
      </c>
      <c r="R128" t="inlineStr">
        <is>
          <t>Planned</t>
        </is>
      </c>
    </row>
    <row r="129">
      <c r="A129" t="n">
        <v>128</v>
      </c>
      <c r="B129" t="n">
        <v>128</v>
      </c>
      <c r="C129" t="inlineStr">
        <is>
          <t>Amazon AWS IAD B</t>
        </is>
      </c>
      <c r="D129" t="inlineStr">
        <is>
          <t>Planned</t>
        </is>
      </c>
      <c r="E129" t="inlineStr">
        <is>
          <t>Gainesville West</t>
        </is>
      </c>
      <c r="F129" t="inlineStr">
        <is>
          <t>REZ1958-0021</t>
        </is>
      </c>
      <c r="G129" t="inlineStr">
        <is>
          <t>7497-32-5305</t>
        </is>
      </c>
      <c r="H129" t="inlineStr">
        <is>
          <t>13225 SKYLARK VIEW WAY</t>
        </is>
      </c>
      <c r="I129" t="n">
        <v>194729</v>
      </c>
      <c r="K129" t="inlineStr">
        <is>
          <t>REZ1958-0021</t>
        </is>
      </c>
      <c r="L129" t="inlineStr">
        <is>
          <t>BLD2027-01391</t>
        </is>
      </c>
      <c r="M129" t="inlineStr">
        <is>
          <t>Planned</t>
        </is>
      </c>
      <c r="O129" t="inlineStr">
        <is>
          <t>2026-09-21</t>
        </is>
      </c>
      <c r="P129" t="n">
        <v>78</v>
      </c>
      <c r="Q129" t="inlineStr">
        <is>
          <t>https://gisweb.pwcva.gov/arcgis/rest/services/Planning/Build_Out_Analysis/MapServer/9/78?f=html</t>
        </is>
      </c>
      <c r="R129" t="inlineStr">
        <is>
          <t>Planned</t>
        </is>
      </c>
    </row>
    <row r="130">
      <c r="A130" t="n">
        <v>129</v>
      </c>
      <c r="B130" t="n">
        <v>129</v>
      </c>
      <c r="C130" t="inlineStr">
        <is>
          <t>Gardner Property A</t>
        </is>
      </c>
      <c r="D130" t="inlineStr">
        <is>
          <t>Pending</t>
        </is>
      </c>
      <c r="E130" t="inlineStr">
        <is>
          <t>Gardner Property</t>
        </is>
      </c>
      <c r="F130" t="inlineStr">
        <is>
          <t>REZ2023-00018</t>
        </is>
      </c>
      <c r="G130" t="inlineStr">
        <is>
          <t>7397-34-3968</t>
        </is>
      </c>
      <c r="H130" t="inlineStr">
        <is>
          <t>14414 MCGRAWS CORNER DR</t>
        </is>
      </c>
      <c r="I130" t="n">
        <v>616620</v>
      </c>
      <c r="M130" t="inlineStr">
        <is>
          <t>Planned</t>
        </is>
      </c>
      <c r="O130" t="inlineStr">
        <is>
          <t>2026-09-25</t>
        </is>
      </c>
      <c r="P130" t="n">
        <v>140</v>
      </c>
      <c r="Q130" t="inlineStr">
        <is>
          <t>https://gisweb.pwcva.gov/arcgis/rest/services/Planning/Build_Out_Analysis/MapServer/9/140?f=html</t>
        </is>
      </c>
      <c r="R130" t="inlineStr">
        <is>
          <t>Pending</t>
        </is>
      </c>
    </row>
    <row r="131">
      <c r="A131" t="n">
        <v>130</v>
      </c>
      <c r="B131" t="n">
        <v>130</v>
      </c>
      <c r="C131" t="inlineStr">
        <is>
          <t>Gardner Property B</t>
        </is>
      </c>
      <c r="D131" t="inlineStr">
        <is>
          <t>Pending</t>
        </is>
      </c>
      <c r="E131" t="inlineStr">
        <is>
          <t>Gardner Property</t>
        </is>
      </c>
      <c r="F131" t="inlineStr">
        <is>
          <t>REZ2023-00018</t>
        </is>
      </c>
      <c r="G131" t="inlineStr">
        <is>
          <t>7397-34-3968</t>
        </is>
      </c>
      <c r="H131" t="inlineStr">
        <is>
          <t>14414 MCGRAWS CORNER DR</t>
        </is>
      </c>
      <c r="I131" t="n">
        <v>350000</v>
      </c>
      <c r="M131" t="inlineStr">
        <is>
          <t>Planned</t>
        </is>
      </c>
      <c r="O131" t="inlineStr">
        <is>
          <t>2026-09-25</t>
        </is>
      </c>
      <c r="P131" t="n">
        <v>155</v>
      </c>
      <c r="Q131" t="inlineStr">
        <is>
          <t>https://gisweb.pwcva.gov/arcgis/rest/services/Planning/Build_Out_Analysis/MapServer/9/155?f=html</t>
        </is>
      </c>
      <c r="R131" t="inlineStr">
        <is>
          <t>Pending</t>
        </is>
      </c>
    </row>
    <row r="132">
      <c r="A132" t="n">
        <v>131</v>
      </c>
      <c r="B132" t="n">
        <v>131</v>
      </c>
      <c r="C132" t="inlineStr">
        <is>
          <t>Gardner Property C</t>
        </is>
      </c>
      <c r="D132" t="inlineStr">
        <is>
          <t>Pending</t>
        </is>
      </c>
      <c r="E132" t="inlineStr">
        <is>
          <t>Gardner Property</t>
        </is>
      </c>
      <c r="F132" t="inlineStr">
        <is>
          <t>REZ2023-00018</t>
        </is>
      </c>
      <c r="G132" t="inlineStr">
        <is>
          <t>7397-34-3968</t>
        </is>
      </c>
      <c r="H132" t="inlineStr">
        <is>
          <t>14414 MCGRAWS CORNER DR</t>
        </is>
      </c>
      <c r="I132" t="n">
        <v>500000</v>
      </c>
      <c r="M132" t="inlineStr">
        <is>
          <t>Planned</t>
        </is>
      </c>
      <c r="O132" t="inlineStr">
        <is>
          <t>2026-09-25</t>
        </is>
      </c>
      <c r="P132" t="n">
        <v>156</v>
      </c>
      <c r="Q132" t="inlineStr">
        <is>
          <t>https://gisweb.pwcva.gov/arcgis/rest/services/Planning/Build_Out_Analysis/MapServer/9/156?f=html</t>
        </is>
      </c>
      <c r="R132" t="inlineStr">
        <is>
          <t>Pending</t>
        </is>
      </c>
    </row>
    <row r="133">
      <c r="A133" t="n">
        <v>132</v>
      </c>
      <c r="B133" t="n">
        <v>132</v>
      </c>
      <c r="C133" t="inlineStr">
        <is>
          <t>Gardner Property D</t>
        </is>
      </c>
      <c r="D133" t="inlineStr">
        <is>
          <t>Pending</t>
        </is>
      </c>
      <c r="E133" t="inlineStr">
        <is>
          <t>Gardner Property</t>
        </is>
      </c>
      <c r="F133" t="inlineStr">
        <is>
          <t>REZ2023-00018</t>
        </is>
      </c>
      <c r="G133" t="inlineStr">
        <is>
          <t>7397-34-3968</t>
        </is>
      </c>
      <c r="H133" t="inlineStr">
        <is>
          <t>14414 MCGRAWS CORNER DR</t>
        </is>
      </c>
      <c r="I133" t="n">
        <v>350000</v>
      </c>
      <c r="M133" t="inlineStr">
        <is>
          <t>Planned</t>
        </is>
      </c>
      <c r="O133" t="inlineStr">
        <is>
          <t>2026-09-25</t>
        </is>
      </c>
      <c r="P133" t="n">
        <v>157</v>
      </c>
      <c r="Q133" t="inlineStr">
        <is>
          <t>https://gisweb.pwcva.gov/arcgis/rest/services/Planning/Build_Out_Analysis/MapServer/9/157?f=html</t>
        </is>
      </c>
      <c r="R133" t="inlineStr">
        <is>
          <t>Pending</t>
        </is>
      </c>
    </row>
    <row r="134">
      <c r="A134" t="n">
        <v>133</v>
      </c>
      <c r="B134" t="n">
        <v>133</v>
      </c>
      <c r="C134" t="inlineStr">
        <is>
          <t>Gardner Property E</t>
        </is>
      </c>
      <c r="D134" t="inlineStr">
        <is>
          <t>Pending</t>
        </is>
      </c>
      <c r="E134" t="inlineStr">
        <is>
          <t>Gardner Property</t>
        </is>
      </c>
      <c r="F134" t="inlineStr">
        <is>
          <t>REZ2023-00018</t>
        </is>
      </c>
      <c r="G134" t="inlineStr">
        <is>
          <t>7397-34-3968</t>
        </is>
      </c>
      <c r="H134" t="inlineStr">
        <is>
          <t>14414 MCGRAWS CORNER DR</t>
        </is>
      </c>
      <c r="I134" t="n">
        <v>200480</v>
      </c>
      <c r="M134" t="inlineStr">
        <is>
          <t>Planned</t>
        </is>
      </c>
      <c r="O134" t="inlineStr">
        <is>
          <t>2026-09-25</t>
        </is>
      </c>
      <c r="P134" t="n">
        <v>158</v>
      </c>
      <c r="Q134" t="inlineStr">
        <is>
          <t>https://gisweb.pwcva.gov/arcgis/rest/services/Planning/Build_Out_Analysis/MapServer/9/158?f=html</t>
        </is>
      </c>
      <c r="R134" t="inlineStr">
        <is>
          <t>Pending</t>
        </is>
      </c>
    </row>
    <row r="135">
      <c r="A135" t="n">
        <v>134</v>
      </c>
      <c r="B135" t="n">
        <v>134</v>
      </c>
      <c r="C135" t="inlineStr">
        <is>
          <t>Stack Northern Virginia NVA05A</t>
        </is>
      </c>
      <c r="D135" t="inlineStr">
        <is>
          <t>Completed</t>
        </is>
      </c>
      <c r="E135" t="inlineStr">
        <is>
          <t>George Mason Research Park</t>
        </is>
      </c>
      <c r="F135" t="inlineStr">
        <is>
          <t>REZ2024-00009</t>
        </is>
      </c>
      <c r="G135" t="inlineStr">
        <is>
          <t>7696-30-4783</t>
        </is>
      </c>
      <c r="H135" t="inlineStr">
        <is>
          <t>9101 FREEDOM CENTER BLVD</t>
        </is>
      </c>
      <c r="I135" t="n">
        <v>270540</v>
      </c>
      <c r="J135" t="n">
        <v>2025</v>
      </c>
      <c r="K135" t="inlineStr">
        <is>
          <t>REZ2024-00009</t>
        </is>
      </c>
      <c r="L135" t="inlineStr">
        <is>
          <t>BLD2023-00562</t>
        </is>
      </c>
      <c r="M135" t="inlineStr">
        <is>
          <t>Finaled</t>
        </is>
      </c>
      <c r="N135" t="inlineStr">
        <is>
          <t>2025-07-06</t>
        </is>
      </c>
      <c r="O135" t="inlineStr">
        <is>
          <t>2026-04-21</t>
        </is>
      </c>
      <c r="P135" t="n">
        <v>32</v>
      </c>
      <c r="Q135" t="inlineStr">
        <is>
          <t>https://gisweb.pwcva.gov/arcgis/rest/services/Planning/Build_Out_Analysis/MapServer/9/32?f=html</t>
        </is>
      </c>
      <c r="R135" t="inlineStr">
        <is>
          <t>Completed</t>
        </is>
      </c>
    </row>
    <row r="136">
      <c r="A136" t="n">
        <v>135</v>
      </c>
      <c r="B136" t="n">
        <v>135</v>
      </c>
      <c r="C136" t="inlineStr">
        <is>
          <t>Stack Northern Virginia NVA05B</t>
        </is>
      </c>
      <c r="D136" t="inlineStr">
        <is>
          <t>Under Construction</t>
        </is>
      </c>
      <c r="E136" t="inlineStr">
        <is>
          <t>George Mason Research Park</t>
        </is>
      </c>
      <c r="F136" t="inlineStr">
        <is>
          <t>REZ2024-00009</t>
        </is>
      </c>
      <c r="G136" t="inlineStr">
        <is>
          <t>7696-31-9262</t>
        </is>
      </c>
      <c r="H136" t="inlineStr">
        <is>
          <t>9001 FREEDOM CENTER BLVD</t>
        </is>
      </c>
      <c r="I136" t="n">
        <v>261558</v>
      </c>
      <c r="K136" t="inlineStr">
        <is>
          <t>REZ2024-00009</t>
        </is>
      </c>
      <c r="L136" t="inlineStr">
        <is>
          <t>BLD2025-03129</t>
        </is>
      </c>
      <c r="M136" t="inlineStr">
        <is>
          <t>Issued</t>
        </is>
      </c>
      <c r="N136" t="inlineStr">
        <is>
          <t>2025-05-08</t>
        </is>
      </c>
      <c r="O136" t="inlineStr">
        <is>
          <t>2026-04-21</t>
        </is>
      </c>
      <c r="P136" t="n">
        <v>30</v>
      </c>
      <c r="Q136" t="inlineStr">
        <is>
          <t>https://gisweb.pwcva.gov/arcgis/rest/services/Planning/Build_Out_Analysis/MapServer/9/30?f=html</t>
        </is>
      </c>
      <c r="R136" t="inlineStr">
        <is>
          <t>Under Construction</t>
        </is>
      </c>
    </row>
    <row r="137">
      <c r="A137" t="n">
        <v>136</v>
      </c>
      <c r="B137" t="n">
        <v>136</v>
      </c>
      <c r="C137" t="inlineStr">
        <is>
          <t>Stack Northern Virginia NVA05C</t>
        </is>
      </c>
      <c r="D137" t="inlineStr">
        <is>
          <t>Under Construction</t>
        </is>
      </c>
      <c r="E137" t="inlineStr">
        <is>
          <t>George Mason Research Park</t>
        </is>
      </c>
      <c r="F137" t="inlineStr">
        <is>
          <t>REZ2024-00009</t>
        </is>
      </c>
      <c r="G137" t="inlineStr">
        <is>
          <t>7696-41-6854</t>
        </is>
      </c>
      <c r="H137" t="inlineStr">
        <is>
          <t>8930 WELLINGTON RD</t>
        </is>
      </c>
      <c r="I137" t="n">
        <v>179320</v>
      </c>
      <c r="K137" t="inlineStr">
        <is>
          <t>REZ2024-00042</t>
        </is>
      </c>
      <c r="L137" t="inlineStr">
        <is>
          <t>BLD2025-03019</t>
        </is>
      </c>
      <c r="M137" t="inlineStr">
        <is>
          <t>Issued</t>
        </is>
      </c>
      <c r="O137" t="inlineStr">
        <is>
          <t>2026-04-21</t>
        </is>
      </c>
      <c r="P137" t="n">
        <v>31</v>
      </c>
      <c r="Q137" t="inlineStr">
        <is>
          <t>https://gisweb.pwcva.gov/arcgis/rest/services/Planning/Build_Out_Analysis/MapServer/9/31?f=html</t>
        </is>
      </c>
      <c r="R137" t="inlineStr">
        <is>
          <t>Under Construction</t>
        </is>
      </c>
    </row>
    <row r="138">
      <c r="A138" t="n">
        <v>137</v>
      </c>
      <c r="B138" t="n">
        <v>137</v>
      </c>
      <c r="C138" t="inlineStr">
        <is>
          <t>Hansen Farm North</t>
        </is>
      </c>
      <c r="D138" t="inlineStr">
        <is>
          <t>Planned</t>
        </is>
      </c>
      <c r="E138" t="inlineStr">
        <is>
          <t>Hansen Farm North</t>
        </is>
      </c>
      <c r="F138" t="inlineStr">
        <is>
          <t>REZ1958-0034</t>
        </is>
      </c>
      <c r="G138" t="inlineStr">
        <is>
          <t>7597-11-2534</t>
        </is>
      </c>
      <c r="H138" t="inlineStr">
        <is>
          <t>7751 WELLINGFORD DR</t>
        </is>
      </c>
      <c r="I138" t="n">
        <v>224900</v>
      </c>
      <c r="K138" t="inlineStr">
        <is>
          <t>REZ1958-0034</t>
        </is>
      </c>
      <c r="M138" t="inlineStr">
        <is>
          <t>Planned</t>
        </is>
      </c>
      <c r="O138" t="inlineStr">
        <is>
          <t>2026-08-03</t>
        </is>
      </c>
      <c r="P138" t="n">
        <v>216</v>
      </c>
      <c r="Q138" t="inlineStr">
        <is>
          <t>https://gisweb.pwcva.gov/arcgis/rest/services/Planning/Build_Out_Analysis/MapServer/9/216?f=html</t>
        </is>
      </c>
      <c r="R138" t="inlineStr">
        <is>
          <t>Planned</t>
        </is>
      </c>
    </row>
    <row r="139">
      <c r="A139" t="n">
        <v>138</v>
      </c>
      <c r="B139" t="n">
        <v>138</v>
      </c>
      <c r="C139" t="inlineStr">
        <is>
          <t>Hansen Farm South</t>
        </is>
      </c>
      <c r="D139" t="inlineStr">
        <is>
          <t>Planned</t>
        </is>
      </c>
      <c r="E139" t="inlineStr">
        <is>
          <t>Hansen Farm South</t>
        </is>
      </c>
      <c r="F139" t="inlineStr">
        <is>
          <t>REZ1990-0076</t>
        </is>
      </c>
      <c r="G139" t="inlineStr">
        <is>
          <t>7497-80-5986</t>
        </is>
      </c>
      <c r="H139" t="inlineStr">
        <is>
          <t>7800 PINEY BRANCH LN BRISTOW, VA 20136</t>
        </is>
      </c>
      <c r="I139" t="n">
        <v>228140</v>
      </c>
      <c r="K139" t="inlineStr">
        <is>
          <t>REZ1990-0076</t>
        </is>
      </c>
      <c r="M139" t="inlineStr">
        <is>
          <t>Planned</t>
        </is>
      </c>
      <c r="O139" t="inlineStr">
        <is>
          <t>2026-04-17</t>
        </is>
      </c>
      <c r="P139" t="n">
        <v>220</v>
      </c>
      <c r="Q139" t="inlineStr">
        <is>
          <t>https://gisweb.pwcva.gov/arcgis/rest/services/Planning/Build_Out_Analysis/MapServer/9/220?f=html</t>
        </is>
      </c>
      <c r="R139" t="inlineStr">
        <is>
          <t>Planned</t>
        </is>
      </c>
    </row>
    <row r="140">
      <c r="A140" t="n">
        <v>139</v>
      </c>
      <c r="B140" t="n">
        <v>139</v>
      </c>
      <c r="C140" t="inlineStr">
        <is>
          <t>Hornbaker Road 2</t>
        </is>
      </c>
      <c r="D140" t="inlineStr">
        <is>
          <t>Planned</t>
        </is>
      </c>
      <c r="E140" t="inlineStr">
        <is>
          <t>Hornbaker Road</t>
        </is>
      </c>
      <c r="F140" t="inlineStr">
        <is>
          <t>REZ2025-00014</t>
        </is>
      </c>
      <c r="G140" t="inlineStr">
        <is>
          <t>7596-81-5396</t>
        </is>
      </c>
      <c r="H140" t="inlineStr">
        <is>
          <t>9001 HORNBAKER RD</t>
        </is>
      </c>
      <c r="I140" t="n">
        <v>435760</v>
      </c>
      <c r="K140" t="inlineStr">
        <is>
          <t>REZ2025-00014</t>
        </is>
      </c>
      <c r="M140" t="inlineStr">
        <is>
          <t>Planned</t>
        </is>
      </c>
      <c r="O140" t="inlineStr">
        <is>
          <t>2026-04-13</t>
        </is>
      </c>
      <c r="P140" t="n">
        <v>204</v>
      </c>
      <c r="Q140" t="inlineStr">
        <is>
          <t>https://gisweb.pwcva.gov/arcgis/rest/services/Planning/Build_Out_Analysis/MapServer/9/204?f=html</t>
        </is>
      </c>
      <c r="R140" t="inlineStr">
        <is>
          <t>Planned</t>
        </is>
      </c>
    </row>
    <row r="141">
      <c r="A141" t="n">
        <v>140</v>
      </c>
      <c r="B141" t="n">
        <v>140</v>
      </c>
      <c r="C141" t="inlineStr">
        <is>
          <t>Hunter Property 1</t>
        </is>
      </c>
      <c r="D141" t="inlineStr">
        <is>
          <t>Pending</t>
        </is>
      </c>
      <c r="E141" t="inlineStr">
        <is>
          <t>Hunter Property</t>
        </is>
      </c>
      <c r="F141" t="inlineStr">
        <is>
          <t>REZ2022-00019</t>
        </is>
      </c>
      <c r="G141" t="inlineStr">
        <is>
          <t>7496-25-7319</t>
        </is>
      </c>
      <c r="H141" t="inlineStr">
        <is>
          <t>8510 NIMBUS PL</t>
        </is>
      </c>
      <c r="I141" t="n">
        <v>401000</v>
      </c>
      <c r="M141" t="inlineStr">
        <is>
          <t>Planned</t>
        </is>
      </c>
      <c r="O141" t="inlineStr">
        <is>
          <t>2026-06-09</t>
        </is>
      </c>
      <c r="P141" t="n">
        <v>163</v>
      </c>
      <c r="Q141" t="inlineStr">
        <is>
          <t>https://gisweb.pwcva.gov/arcgis/rest/services/Planning/Build_Out_Analysis/MapServer/9/163?f=html</t>
        </is>
      </c>
      <c r="R141" t="inlineStr">
        <is>
          <t>Pending</t>
        </is>
      </c>
    </row>
    <row r="142">
      <c r="A142" t="n">
        <v>141</v>
      </c>
      <c r="B142" t="n">
        <v>141</v>
      </c>
      <c r="C142" t="inlineStr">
        <is>
          <t>Hunter Property 10</t>
        </is>
      </c>
      <c r="D142" t="inlineStr">
        <is>
          <t>Pending</t>
        </is>
      </c>
      <c r="E142" t="inlineStr">
        <is>
          <t>Hunter Property</t>
        </is>
      </c>
      <c r="F142" t="inlineStr">
        <is>
          <t>REZ2022-00019</t>
        </is>
      </c>
      <c r="G142" t="inlineStr">
        <is>
          <t>7496-43-8199</t>
        </is>
      </c>
      <c r="H142" t="inlineStr">
        <is>
          <t>8675 NIMBUS PL</t>
        </is>
      </c>
      <c r="I142" t="n">
        <v>401000</v>
      </c>
      <c r="M142" t="inlineStr">
        <is>
          <t>Planned</t>
        </is>
      </c>
      <c r="O142" t="inlineStr">
        <is>
          <t>2026-06-09</t>
        </is>
      </c>
      <c r="P142" t="n">
        <v>172</v>
      </c>
      <c r="Q142" t="inlineStr">
        <is>
          <t>https://gisweb.pwcva.gov/arcgis/rest/services/Planning/Build_Out_Analysis/MapServer/9/172?f=html</t>
        </is>
      </c>
      <c r="R142" t="inlineStr">
        <is>
          <t>Pending</t>
        </is>
      </c>
    </row>
    <row r="143">
      <c r="A143" t="n">
        <v>142</v>
      </c>
      <c r="B143" t="n">
        <v>142</v>
      </c>
      <c r="C143" t="inlineStr">
        <is>
          <t>Hunter Property 2</t>
        </is>
      </c>
      <c r="D143" t="inlineStr">
        <is>
          <t>Pending</t>
        </is>
      </c>
      <c r="E143" t="inlineStr">
        <is>
          <t>Hunter Property</t>
        </is>
      </c>
      <c r="F143" t="inlineStr">
        <is>
          <t>REZ2022-00019</t>
        </is>
      </c>
      <c r="G143" t="inlineStr">
        <is>
          <t>7496-25-7319</t>
        </is>
      </c>
      <c r="H143" t="inlineStr">
        <is>
          <t>8505 NIMBUS PL</t>
        </is>
      </c>
      <c r="I143" t="n">
        <v>401000</v>
      </c>
      <c r="M143" t="inlineStr">
        <is>
          <t>Planned</t>
        </is>
      </c>
      <c r="O143" t="inlineStr">
        <is>
          <t>2026-06-09</t>
        </is>
      </c>
      <c r="P143" t="n">
        <v>164</v>
      </c>
      <c r="Q143" t="inlineStr">
        <is>
          <t>https://gisweb.pwcva.gov/arcgis/rest/services/Planning/Build_Out_Analysis/MapServer/9/164?f=html</t>
        </is>
      </c>
      <c r="R143" t="inlineStr">
        <is>
          <t>Pending</t>
        </is>
      </c>
    </row>
    <row r="144">
      <c r="A144" t="n">
        <v>143</v>
      </c>
      <c r="B144" t="n">
        <v>143</v>
      </c>
      <c r="C144" t="inlineStr">
        <is>
          <t>Hunter Property 3</t>
        </is>
      </c>
      <c r="D144" t="inlineStr">
        <is>
          <t>Pending</t>
        </is>
      </c>
      <c r="E144" t="inlineStr">
        <is>
          <t>Hunter Property</t>
        </is>
      </c>
      <c r="F144" t="inlineStr">
        <is>
          <t>REZ2022-00019</t>
        </is>
      </c>
      <c r="G144" t="inlineStr">
        <is>
          <t>7496-25-7319</t>
        </is>
      </c>
      <c r="H144" t="inlineStr">
        <is>
          <t>8570 NIMBUS PL</t>
        </is>
      </c>
      <c r="I144" t="n">
        <v>401000</v>
      </c>
      <c r="M144" t="inlineStr">
        <is>
          <t>Planned</t>
        </is>
      </c>
      <c r="O144" t="inlineStr">
        <is>
          <t>2026-06-09</t>
        </is>
      </c>
      <c r="P144" t="n">
        <v>169</v>
      </c>
      <c r="Q144" t="inlineStr">
        <is>
          <t>https://gisweb.pwcva.gov/arcgis/rest/services/Planning/Build_Out_Analysis/MapServer/9/169?f=html</t>
        </is>
      </c>
      <c r="R144" t="inlineStr">
        <is>
          <t>Pending</t>
        </is>
      </c>
    </row>
    <row r="145">
      <c r="A145" t="n">
        <v>144</v>
      </c>
      <c r="B145" t="n">
        <v>144</v>
      </c>
      <c r="C145" t="inlineStr">
        <is>
          <t>Hunter Property 4</t>
        </is>
      </c>
      <c r="D145" t="inlineStr">
        <is>
          <t>Pending</t>
        </is>
      </c>
      <c r="E145" t="inlineStr">
        <is>
          <t>Hunter Property</t>
        </is>
      </c>
      <c r="F145" t="inlineStr">
        <is>
          <t>REZ2022-00019</t>
        </is>
      </c>
      <c r="G145" t="inlineStr">
        <is>
          <t>7496-25-7319</t>
        </is>
      </c>
      <c r="H145" t="inlineStr">
        <is>
          <t>8550 NIMBUS PL</t>
        </is>
      </c>
      <c r="I145" t="n">
        <v>401000</v>
      </c>
      <c r="M145" t="inlineStr">
        <is>
          <t>Planned</t>
        </is>
      </c>
      <c r="O145" t="inlineStr">
        <is>
          <t>2026-06-09</t>
        </is>
      </c>
      <c r="P145" t="n">
        <v>168</v>
      </c>
      <c r="Q145" t="inlineStr">
        <is>
          <t>https://gisweb.pwcva.gov/arcgis/rest/services/Planning/Build_Out_Analysis/MapServer/9/168?f=html</t>
        </is>
      </c>
      <c r="R145" t="inlineStr">
        <is>
          <t>Pending</t>
        </is>
      </c>
    </row>
    <row r="146">
      <c r="A146" t="n">
        <v>145</v>
      </c>
      <c r="B146" t="n">
        <v>145</v>
      </c>
      <c r="C146" t="inlineStr">
        <is>
          <t>Hunter Property 5</t>
        </is>
      </c>
      <c r="D146" t="inlineStr">
        <is>
          <t>Pending</t>
        </is>
      </c>
      <c r="E146" t="inlineStr">
        <is>
          <t>Hunter Property</t>
        </is>
      </c>
      <c r="F146" t="inlineStr">
        <is>
          <t>REZ2022-00019</t>
        </is>
      </c>
      <c r="G146" t="inlineStr">
        <is>
          <t>7496-25-7319</t>
        </is>
      </c>
      <c r="H146" t="inlineStr">
        <is>
          <t>8530 NIMBUS PL</t>
        </is>
      </c>
      <c r="I146" t="n">
        <v>401000</v>
      </c>
      <c r="M146" t="inlineStr">
        <is>
          <t>Planned</t>
        </is>
      </c>
      <c r="O146" t="inlineStr">
        <is>
          <t>2026-06-09</t>
        </is>
      </c>
      <c r="P146" t="n">
        <v>167</v>
      </c>
      <c r="Q146" t="inlineStr">
        <is>
          <t>https://gisweb.pwcva.gov/arcgis/rest/services/Planning/Build_Out_Analysis/MapServer/9/167?f=html</t>
        </is>
      </c>
      <c r="R146" t="inlineStr">
        <is>
          <t>Pending</t>
        </is>
      </c>
    </row>
    <row r="147">
      <c r="A147" t="n">
        <v>146</v>
      </c>
      <c r="B147" t="n">
        <v>146</v>
      </c>
      <c r="C147" t="inlineStr">
        <is>
          <t>Hunter Property 6</t>
        </is>
      </c>
      <c r="D147" t="inlineStr">
        <is>
          <t>Pending</t>
        </is>
      </c>
      <c r="E147" t="inlineStr">
        <is>
          <t>Hunter Property</t>
        </is>
      </c>
      <c r="F147" t="inlineStr">
        <is>
          <t>REZ2022-00019</t>
        </is>
      </c>
      <c r="G147" t="inlineStr">
        <is>
          <t>7496-25-7319</t>
        </is>
      </c>
      <c r="H147" t="inlineStr">
        <is>
          <t>8525 NIMBUS PL</t>
        </is>
      </c>
      <c r="I147" t="n">
        <v>401000</v>
      </c>
      <c r="M147" t="inlineStr">
        <is>
          <t>Planned</t>
        </is>
      </c>
      <c r="O147" t="inlineStr">
        <is>
          <t>2026-06-09</t>
        </is>
      </c>
      <c r="P147" t="n">
        <v>166</v>
      </c>
      <c r="Q147" t="inlineStr">
        <is>
          <t>https://gisweb.pwcva.gov/arcgis/rest/services/Planning/Build_Out_Analysis/MapServer/9/166?f=html</t>
        </is>
      </c>
      <c r="R147" t="inlineStr">
        <is>
          <t>Pending</t>
        </is>
      </c>
    </row>
    <row r="148">
      <c r="A148" t="n">
        <v>147</v>
      </c>
      <c r="B148" t="n">
        <v>147</v>
      </c>
      <c r="C148" t="inlineStr">
        <is>
          <t>Hunter Property 7</t>
        </is>
      </c>
      <c r="D148" t="inlineStr">
        <is>
          <t>Pending</t>
        </is>
      </c>
      <c r="E148" t="inlineStr">
        <is>
          <t>Hunter Property</t>
        </is>
      </c>
      <c r="F148" t="inlineStr">
        <is>
          <t>REZ2022-00019</t>
        </is>
      </c>
      <c r="G148" t="inlineStr">
        <is>
          <t>7496-25-7319</t>
        </is>
      </c>
      <c r="H148" t="inlineStr">
        <is>
          <t>8545 NIMBUS PL</t>
        </is>
      </c>
      <c r="I148" t="n">
        <v>401000</v>
      </c>
      <c r="M148" t="inlineStr">
        <is>
          <t>Planned</t>
        </is>
      </c>
      <c r="O148" t="inlineStr">
        <is>
          <t>2026-06-09</t>
        </is>
      </c>
      <c r="P148" t="n">
        <v>165</v>
      </c>
      <c r="Q148" t="inlineStr">
        <is>
          <t>https://gisweb.pwcva.gov/arcgis/rest/services/Planning/Build_Out_Analysis/MapServer/9/165?f=html</t>
        </is>
      </c>
      <c r="R148" t="inlineStr">
        <is>
          <t>Pending</t>
        </is>
      </c>
    </row>
    <row r="149">
      <c r="A149" t="n">
        <v>148</v>
      </c>
      <c r="B149" t="n">
        <v>148</v>
      </c>
      <c r="C149" t="inlineStr">
        <is>
          <t>Hunter Property 8</t>
        </is>
      </c>
      <c r="D149" t="inlineStr">
        <is>
          <t>Pending</t>
        </is>
      </c>
      <c r="E149" t="inlineStr">
        <is>
          <t>Hunter Property</t>
        </is>
      </c>
      <c r="F149" t="inlineStr">
        <is>
          <t>REZ2022-00019</t>
        </is>
      </c>
      <c r="G149" t="inlineStr">
        <is>
          <t>7496-43-8199</t>
        </is>
      </c>
      <c r="H149" t="inlineStr">
        <is>
          <t>8650 NIMBUS PL</t>
        </is>
      </c>
      <c r="I149" t="n">
        <v>401000</v>
      </c>
      <c r="M149" t="inlineStr">
        <is>
          <t>Planned</t>
        </is>
      </c>
      <c r="O149" t="inlineStr">
        <is>
          <t>2026-06-09</t>
        </is>
      </c>
      <c r="P149" t="n">
        <v>170</v>
      </c>
      <c r="Q149" t="inlineStr">
        <is>
          <t>https://gisweb.pwcva.gov/arcgis/rest/services/Planning/Build_Out_Analysis/MapServer/9/170?f=html</t>
        </is>
      </c>
      <c r="R149" t="inlineStr">
        <is>
          <t>Pending</t>
        </is>
      </c>
    </row>
    <row r="150">
      <c r="A150" t="n">
        <v>149</v>
      </c>
      <c r="B150" t="n">
        <v>149</v>
      </c>
      <c r="C150" t="inlineStr">
        <is>
          <t>Hunter Property 9</t>
        </is>
      </c>
      <c r="D150" t="inlineStr">
        <is>
          <t>Pending</t>
        </is>
      </c>
      <c r="E150" t="inlineStr">
        <is>
          <t>Hunter Property</t>
        </is>
      </c>
      <c r="F150" t="inlineStr">
        <is>
          <t>REZ2022-00019</t>
        </is>
      </c>
      <c r="G150" t="inlineStr">
        <is>
          <t>7496-43-8199</t>
        </is>
      </c>
      <c r="H150" t="inlineStr">
        <is>
          <t>8670 NIMBUS PL</t>
        </is>
      </c>
      <c r="I150" t="n">
        <v>401000</v>
      </c>
      <c r="M150" t="inlineStr">
        <is>
          <t>Planned</t>
        </is>
      </c>
      <c r="O150" t="inlineStr">
        <is>
          <t>2026-06-09</t>
        </is>
      </c>
      <c r="P150" t="n">
        <v>171</v>
      </c>
      <c r="Q150" t="inlineStr">
        <is>
          <t>https://gisweb.pwcva.gov/arcgis/rest/services/Planning/Build_Out_Analysis/MapServer/9/171?f=html</t>
        </is>
      </c>
      <c r="R150" t="inlineStr">
        <is>
          <t>Pending</t>
        </is>
      </c>
    </row>
    <row r="151">
      <c r="A151" t="n">
        <v>150</v>
      </c>
      <c r="B151" t="n">
        <v>150</v>
      </c>
      <c r="C151" t="inlineStr">
        <is>
          <t>Innovation on the Parkway</t>
        </is>
      </c>
      <c r="D151" t="inlineStr">
        <is>
          <t>Planned</t>
        </is>
      </c>
      <c r="E151" t="inlineStr">
        <is>
          <t>Innovation on the Parkway</t>
        </is>
      </c>
      <c r="F151" t="inlineStr">
        <is>
          <t>REZ2023-00001</t>
        </is>
      </c>
      <c r="G151" t="inlineStr">
        <is>
          <t>7695-09-7902</t>
        </is>
      </c>
      <c r="H151" t="inlineStr">
        <is>
          <t>11101 UNIVERSITY BLVD</t>
        </is>
      </c>
      <c r="I151" t="n">
        <v>576952</v>
      </c>
      <c r="M151" t="inlineStr">
        <is>
          <t>Planned</t>
        </is>
      </c>
      <c r="O151" t="inlineStr">
        <is>
          <t>2026-01-22</t>
        </is>
      </c>
      <c r="P151" t="n">
        <v>129</v>
      </c>
      <c r="Q151" t="inlineStr">
        <is>
          <t>https://gisweb.pwcva.gov/arcgis/rest/services/Planning/Build_Out_Analysis/MapServer/9/129?f=html</t>
        </is>
      </c>
      <c r="R151" t="inlineStr">
        <is>
          <t>Planned</t>
        </is>
      </c>
    </row>
    <row r="152">
      <c r="A152" t="n">
        <v>151</v>
      </c>
      <c r="B152" t="n">
        <v>151</v>
      </c>
      <c r="C152" t="inlineStr">
        <is>
          <t>Iron Mountain Data Center VA-1</t>
        </is>
      </c>
      <c r="D152" t="inlineStr">
        <is>
          <t>Completed</t>
        </is>
      </c>
      <c r="E152" t="inlineStr">
        <is>
          <t>Iron Mountain</t>
        </is>
      </c>
      <c r="F152" t="inlineStr">
        <is>
          <t>REZ2021-00022</t>
        </is>
      </c>
      <c r="G152" t="inlineStr">
        <is>
          <t>7596-47-5780</t>
        </is>
      </c>
      <c r="H152" t="inlineStr">
        <is>
          <t>11680 HAYDEN RD</t>
        </is>
      </c>
      <c r="I152" t="n">
        <v>165230</v>
      </c>
      <c r="J152" t="n">
        <v>2017</v>
      </c>
      <c r="L152" t="inlineStr">
        <is>
          <t>BLD2017-00581</t>
        </is>
      </c>
      <c r="M152" t="inlineStr">
        <is>
          <t>Finaled</t>
        </is>
      </c>
      <c r="N152" t="inlineStr">
        <is>
          <t>2017-09-23</t>
        </is>
      </c>
      <c r="O152" t="inlineStr">
        <is>
          <t>2026-08-21</t>
        </is>
      </c>
      <c r="P152" t="n">
        <v>1</v>
      </c>
      <c r="Q152" t="inlineStr">
        <is>
          <t>https://gisweb.pwcva.gov/arcgis/rest/services/Planning/Build_Out_Analysis/MapServer/9/1?f=html</t>
        </is>
      </c>
      <c r="R152" t="inlineStr">
        <is>
          <t>Completed</t>
        </is>
      </c>
    </row>
    <row r="153">
      <c r="A153" t="n">
        <v>152</v>
      </c>
      <c r="B153" t="n">
        <v>152</v>
      </c>
      <c r="C153" t="inlineStr">
        <is>
          <t>Iron Mountain Data Center VA-10</t>
        </is>
      </c>
      <c r="D153" t="inlineStr">
        <is>
          <t>Completed</t>
        </is>
      </c>
      <c r="E153" t="inlineStr">
        <is>
          <t>Iron Mountain</t>
        </is>
      </c>
      <c r="F153" t="inlineStr">
        <is>
          <t>REZ2021-00022</t>
        </is>
      </c>
      <c r="G153" t="inlineStr">
        <is>
          <t>7596-64-6285</t>
        </is>
      </c>
      <c r="H153" t="inlineStr">
        <is>
          <t>11451 ELEVATE DR</t>
        </is>
      </c>
      <c r="I153" t="n">
        <v>33574</v>
      </c>
      <c r="J153" t="n">
        <v>2025</v>
      </c>
      <c r="L153" t="inlineStr">
        <is>
          <t>BLD2024-02696</t>
        </is>
      </c>
      <c r="M153" t="inlineStr">
        <is>
          <t>Finaled</t>
        </is>
      </c>
      <c r="N153" t="inlineStr">
        <is>
          <t>2025-06-25</t>
        </is>
      </c>
      <c r="O153" t="inlineStr">
        <is>
          <t>2026-08-21</t>
        </is>
      </c>
      <c r="P153" t="n">
        <v>88</v>
      </c>
      <c r="Q153" t="inlineStr">
        <is>
          <t>https://gisweb.pwcva.gov/arcgis/rest/services/Planning/Build_Out_Analysis/MapServer/9/88?f=html</t>
        </is>
      </c>
      <c r="R153" t="inlineStr">
        <is>
          <t>Completed</t>
        </is>
      </c>
    </row>
    <row r="154">
      <c r="A154" t="n">
        <v>153</v>
      </c>
      <c r="B154" t="n">
        <v>153</v>
      </c>
      <c r="C154" t="inlineStr">
        <is>
          <t>Iron Mountain Data Center VA-2</t>
        </is>
      </c>
      <c r="D154" t="inlineStr">
        <is>
          <t>Completed</t>
        </is>
      </c>
      <c r="E154" t="inlineStr">
        <is>
          <t>Iron Mountain</t>
        </is>
      </c>
      <c r="F154" t="inlineStr">
        <is>
          <t>REZ2021-00022</t>
        </is>
      </c>
      <c r="G154" t="inlineStr">
        <is>
          <t>7596-57-4735</t>
        </is>
      </c>
      <c r="H154" t="inlineStr">
        <is>
          <t>11660 HAYDEN RD</t>
        </is>
      </c>
      <c r="I154" t="n">
        <v>325918</v>
      </c>
      <c r="J154" t="n">
        <v>2019</v>
      </c>
      <c r="L154" t="inlineStr">
        <is>
          <t>BLD2018-04430</t>
        </is>
      </c>
      <c r="M154" t="inlineStr">
        <is>
          <t>Finaled</t>
        </is>
      </c>
      <c r="N154" t="inlineStr">
        <is>
          <t>2019-10-23</t>
        </is>
      </c>
      <c r="O154" t="inlineStr">
        <is>
          <t>2026-08-21</t>
        </is>
      </c>
      <c r="P154" t="n">
        <v>2</v>
      </c>
      <c r="Q154" t="inlineStr">
        <is>
          <t>https://gisweb.pwcva.gov/arcgis/rest/services/Planning/Build_Out_Analysis/MapServer/9/2?f=html</t>
        </is>
      </c>
      <c r="R154" t="inlineStr">
        <is>
          <t>Completed</t>
        </is>
      </c>
    </row>
    <row r="155">
      <c r="A155" t="n">
        <v>154</v>
      </c>
      <c r="B155" t="n">
        <v>154</v>
      </c>
      <c r="C155" t="inlineStr">
        <is>
          <t>Iron Mountain Data Center VA-3</t>
        </is>
      </c>
      <c r="D155" t="inlineStr">
        <is>
          <t>Completed</t>
        </is>
      </c>
      <c r="E155" t="inlineStr">
        <is>
          <t>Iron Mountain</t>
        </is>
      </c>
      <c r="F155" t="inlineStr">
        <is>
          <t>REZ2021-00022</t>
        </is>
      </c>
      <c r="G155" t="inlineStr">
        <is>
          <t>7596-56-1578</t>
        </is>
      </c>
      <c r="H155" t="inlineStr">
        <is>
          <t>11640 HAYDEN RD</t>
        </is>
      </c>
      <c r="I155" t="n">
        <v>389649</v>
      </c>
      <c r="J155" t="n">
        <v>2024</v>
      </c>
      <c r="L155" t="inlineStr">
        <is>
          <t>BLD2023-00509</t>
        </is>
      </c>
      <c r="M155" t="inlineStr">
        <is>
          <t>Finaled</t>
        </is>
      </c>
      <c r="N155" t="inlineStr">
        <is>
          <t>2024-09-24</t>
        </is>
      </c>
      <c r="O155" t="inlineStr">
        <is>
          <t>2026-08-21</t>
        </is>
      </c>
      <c r="P155" t="n">
        <v>3</v>
      </c>
      <c r="Q155" t="inlineStr">
        <is>
          <t>https://gisweb.pwcva.gov/arcgis/rest/services/Planning/Build_Out_Analysis/MapServer/9/3?f=html</t>
        </is>
      </c>
      <c r="R155" t="inlineStr">
        <is>
          <t>Completed</t>
        </is>
      </c>
    </row>
    <row r="156">
      <c r="A156" t="n">
        <v>155</v>
      </c>
      <c r="B156" t="n">
        <v>155</v>
      </c>
      <c r="C156" t="inlineStr">
        <is>
          <t>Iron Mountain Data Center VA-4</t>
        </is>
      </c>
      <c r="D156" t="inlineStr">
        <is>
          <t>Completed</t>
        </is>
      </c>
      <c r="E156" t="inlineStr">
        <is>
          <t>Iron Mountain</t>
        </is>
      </c>
      <c r="F156" t="inlineStr">
        <is>
          <t>REZ2021-00022</t>
        </is>
      </c>
      <c r="G156" t="inlineStr">
        <is>
          <t>7596-66-0725</t>
        </is>
      </c>
      <c r="H156" t="inlineStr">
        <is>
          <t>11600 HAYDEN RD</t>
        </is>
      </c>
      <c r="I156" t="n">
        <v>182032</v>
      </c>
      <c r="J156" t="n">
        <v>2024</v>
      </c>
      <c r="L156" t="inlineStr">
        <is>
          <t>BLD2023-03506</t>
        </is>
      </c>
      <c r="M156" t="inlineStr">
        <is>
          <t>Finaled</t>
        </is>
      </c>
      <c r="N156" t="inlineStr">
        <is>
          <t>2025-06-10</t>
        </is>
      </c>
      <c r="O156" t="inlineStr">
        <is>
          <t>2026-08-21</t>
        </is>
      </c>
      <c r="P156" t="n">
        <v>4</v>
      </c>
      <c r="Q156" t="inlineStr">
        <is>
          <t>https://gisweb.pwcva.gov/arcgis/rest/services/Planning/Build_Out_Analysis/MapServer/9/4?f=html</t>
        </is>
      </c>
      <c r="R156" t="inlineStr">
        <is>
          <t>Completed</t>
        </is>
      </c>
    </row>
    <row r="157">
      <c r="A157" t="n">
        <v>156</v>
      </c>
      <c r="B157" t="n">
        <v>156</v>
      </c>
      <c r="C157" t="inlineStr">
        <is>
          <t>Iron Mountain Data Center VA-5</t>
        </is>
      </c>
      <c r="D157" t="inlineStr">
        <is>
          <t>Completed</t>
        </is>
      </c>
      <c r="E157" t="inlineStr">
        <is>
          <t>Iron Mountain</t>
        </is>
      </c>
      <c r="F157" t="inlineStr">
        <is>
          <t>REZ2021-00022</t>
        </is>
      </c>
      <c r="G157" t="inlineStr">
        <is>
          <t>7596-66-0725</t>
        </is>
      </c>
      <c r="H157" t="inlineStr">
        <is>
          <t>11580 HAYDEN RD</t>
        </is>
      </c>
      <c r="I157" t="n">
        <v>220134</v>
      </c>
      <c r="J157" t="n">
        <v>2025</v>
      </c>
      <c r="L157" t="inlineStr">
        <is>
          <t>BLD2023-03508</t>
        </is>
      </c>
      <c r="M157" t="inlineStr">
        <is>
          <t>Finaled</t>
        </is>
      </c>
      <c r="N157" t="inlineStr">
        <is>
          <t>2025-06-10</t>
        </is>
      </c>
      <c r="O157" t="inlineStr">
        <is>
          <t>2026-08-21</t>
        </is>
      </c>
      <c r="P157" t="n">
        <v>5</v>
      </c>
      <c r="Q157" t="inlineStr">
        <is>
          <t>https://gisweb.pwcva.gov/arcgis/rest/services/Planning/Build_Out_Analysis/MapServer/9/5?f=html</t>
        </is>
      </c>
      <c r="R157" t="inlineStr">
        <is>
          <t>Completed</t>
        </is>
      </c>
    </row>
    <row r="158">
      <c r="A158" t="n">
        <v>157</v>
      </c>
      <c r="B158" t="n">
        <v>157</v>
      </c>
      <c r="C158" t="inlineStr">
        <is>
          <t>Iron Mountain Data Center VA-6</t>
        </is>
      </c>
      <c r="D158" t="inlineStr">
        <is>
          <t>Completed</t>
        </is>
      </c>
      <c r="E158" t="inlineStr">
        <is>
          <t>Iron Mountain</t>
        </is>
      </c>
      <c r="F158" t="inlineStr">
        <is>
          <t>REZ2021-00022</t>
        </is>
      </c>
      <c r="G158" t="inlineStr">
        <is>
          <t>7596-64-9220</t>
        </is>
      </c>
      <c r="H158" t="inlineStr">
        <is>
          <t>7745 WELLINGTON RD</t>
        </is>
      </c>
      <c r="I158" t="n">
        <v>230706</v>
      </c>
      <c r="J158" t="n">
        <v>2025</v>
      </c>
      <c r="L158" t="inlineStr">
        <is>
          <t>BLD2023-05363</t>
        </is>
      </c>
      <c r="M158" t="inlineStr">
        <is>
          <t>Finaled</t>
        </is>
      </c>
      <c r="N158" t="inlineStr">
        <is>
          <t>2025-06-17</t>
        </is>
      </c>
      <c r="O158" t="inlineStr">
        <is>
          <t>2026-08-21</t>
        </is>
      </c>
      <c r="P158" t="n">
        <v>6</v>
      </c>
      <c r="Q158" t="inlineStr">
        <is>
          <t>https://gisweb.pwcva.gov/arcgis/rest/services/Planning/Build_Out_Analysis/MapServer/9/6?f=html</t>
        </is>
      </c>
      <c r="R158" t="inlineStr">
        <is>
          <t>Completed</t>
        </is>
      </c>
    </row>
    <row r="159">
      <c r="A159" t="n">
        <v>158</v>
      </c>
      <c r="B159" t="n">
        <v>158</v>
      </c>
      <c r="C159" t="inlineStr">
        <is>
          <t>Iron Mountain Data Center VA-7</t>
        </is>
      </c>
      <c r="D159" t="inlineStr">
        <is>
          <t>Completed</t>
        </is>
      </c>
      <c r="E159" t="inlineStr">
        <is>
          <t>Iron Mountain</t>
        </is>
      </c>
      <c r="F159" t="inlineStr">
        <is>
          <t>REZ2021-00022</t>
        </is>
      </c>
      <c r="G159" t="inlineStr">
        <is>
          <t>7596-66-8266</t>
        </is>
      </c>
      <c r="H159" t="inlineStr">
        <is>
          <t>8330 BETHLEHEM RD</t>
        </is>
      </c>
      <c r="I159" t="n">
        <v>290307</v>
      </c>
      <c r="J159" t="n">
        <v>2025</v>
      </c>
      <c r="L159" t="inlineStr">
        <is>
          <t>BLD2024-02971</t>
        </is>
      </c>
      <c r="M159" t="inlineStr">
        <is>
          <t>Finaled</t>
        </is>
      </c>
      <c r="N159" t="inlineStr">
        <is>
          <t>2025-11-18</t>
        </is>
      </c>
      <c r="O159" t="inlineStr">
        <is>
          <t>2026-08-21</t>
        </is>
      </c>
      <c r="P159" t="n">
        <v>7</v>
      </c>
      <c r="Q159" t="inlineStr">
        <is>
          <t>https://gisweb.pwcva.gov/arcgis/rest/services/Planning/Build_Out_Analysis/MapServer/9/7?f=html</t>
        </is>
      </c>
      <c r="R159" t="inlineStr">
        <is>
          <t>Completed</t>
        </is>
      </c>
    </row>
    <row r="160">
      <c r="A160" t="n">
        <v>159</v>
      </c>
      <c r="B160" t="n">
        <v>159</v>
      </c>
      <c r="C160" t="inlineStr">
        <is>
          <t>Iron Mountain Data Center VA-8/9</t>
        </is>
      </c>
      <c r="D160" t="inlineStr">
        <is>
          <t>Planned</t>
        </is>
      </c>
      <c r="E160" t="inlineStr">
        <is>
          <t>Iron Mountain</t>
        </is>
      </c>
      <c r="F160" t="inlineStr">
        <is>
          <t>REZ2021-00022</t>
        </is>
      </c>
      <c r="G160" t="inlineStr">
        <is>
          <t>7596-55-9338</t>
        </is>
      </c>
      <c r="H160" t="inlineStr">
        <is>
          <t>11530 ELEVATE DR 100</t>
        </is>
      </c>
      <c r="I160" t="n">
        <v>342028</v>
      </c>
      <c r="J160" t="n">
        <v>0</v>
      </c>
      <c r="K160" t="inlineStr">
        <is>
          <t>REZ2024-00041</t>
        </is>
      </c>
      <c r="L160" t="inlineStr">
        <is>
          <t>&lt;Null&gt;</t>
        </is>
      </c>
      <c r="M160" t="inlineStr">
        <is>
          <t>Planned</t>
        </is>
      </c>
      <c r="O160" t="inlineStr">
        <is>
          <t>2026-08-06</t>
        </is>
      </c>
      <c r="P160" t="n">
        <v>8</v>
      </c>
      <c r="Q160" t="inlineStr">
        <is>
          <t>https://gisweb.pwcva.gov/arcgis/rest/services/Planning/Build_Out_Analysis/MapServer/9/8?f=html</t>
        </is>
      </c>
      <c r="R160" t="inlineStr">
        <is>
          <t>Planned</t>
        </is>
      </c>
    </row>
    <row r="161">
      <c r="A161" t="n">
        <v>160</v>
      </c>
      <c r="B161" t="n">
        <v>160</v>
      </c>
      <c r="C161" t="inlineStr">
        <is>
          <t>Iron Mountain Manassas Point DC1</t>
        </is>
      </c>
      <c r="D161" t="inlineStr">
        <is>
          <t>Planned</t>
        </is>
      </c>
      <c r="E161" t="inlineStr">
        <is>
          <t>Iron Mountain Manassas Point</t>
        </is>
      </c>
      <c r="F161" t="inlineStr">
        <is>
          <t>REZ2024-00001</t>
        </is>
      </c>
      <c r="G161" t="inlineStr">
        <is>
          <t>7596-79-3589</t>
        </is>
      </c>
      <c r="H161" t="inlineStr">
        <is>
          <t>11461 CONNECTIVITY DR</t>
        </is>
      </c>
      <c r="I161" t="n">
        <v>580035</v>
      </c>
      <c r="J161" t="n">
        <v>0</v>
      </c>
      <c r="M161" t="inlineStr">
        <is>
          <t>Planned</t>
        </is>
      </c>
      <c r="O161" t="inlineStr">
        <is>
          <t>2026-04-23</t>
        </is>
      </c>
      <c r="P161" t="n">
        <v>64</v>
      </c>
      <c r="Q161" t="inlineStr">
        <is>
          <t>https://gisweb.pwcva.gov/arcgis/rest/services/Planning/Build_Out_Analysis/MapServer/9/64?f=html</t>
        </is>
      </c>
      <c r="R161" t="inlineStr">
        <is>
          <t>Planned</t>
        </is>
      </c>
    </row>
    <row r="162">
      <c r="A162" t="n">
        <v>161</v>
      </c>
      <c r="B162" t="n">
        <v>161</v>
      </c>
      <c r="C162" t="inlineStr">
        <is>
          <t>Iron Mountain Manassas Point DC2</t>
        </is>
      </c>
      <c r="D162" t="inlineStr">
        <is>
          <t>Planned</t>
        </is>
      </c>
      <c r="E162" t="inlineStr">
        <is>
          <t>Iron Mountain Manassas Point</t>
        </is>
      </c>
      <c r="F162" t="inlineStr">
        <is>
          <t>REZ2024-00001</t>
        </is>
      </c>
      <c r="G162" t="inlineStr">
        <is>
          <t>7596-79-3589</t>
        </is>
      </c>
      <c r="H162" t="inlineStr">
        <is>
          <t>11441 CONNECTIVITY DR</t>
        </is>
      </c>
      <c r="I162" t="n">
        <v>580035</v>
      </c>
      <c r="J162" t="n">
        <v>0</v>
      </c>
      <c r="M162" t="inlineStr">
        <is>
          <t>Planned</t>
        </is>
      </c>
      <c r="O162" t="inlineStr">
        <is>
          <t>2026-04-23</t>
        </is>
      </c>
      <c r="P162" t="n">
        <v>66</v>
      </c>
      <c r="Q162" t="inlineStr">
        <is>
          <t>https://gisweb.pwcva.gov/arcgis/rest/services/Planning/Build_Out_Analysis/MapServer/9/66?f=html</t>
        </is>
      </c>
      <c r="R162" t="inlineStr">
        <is>
          <t>Planned</t>
        </is>
      </c>
    </row>
    <row r="163">
      <c r="A163" t="n">
        <v>162</v>
      </c>
      <c r="B163" t="n">
        <v>162</v>
      </c>
      <c r="C163" t="inlineStr">
        <is>
          <t>Iron Mountain Manassas Point DC3</t>
        </is>
      </c>
      <c r="D163" t="inlineStr">
        <is>
          <t>Planned</t>
        </is>
      </c>
      <c r="E163" t="inlineStr">
        <is>
          <t>Iron Mountain Manassas Point</t>
        </is>
      </c>
      <c r="F163" t="inlineStr">
        <is>
          <t>REZ2024-00001</t>
        </is>
      </c>
      <c r="G163" t="inlineStr">
        <is>
          <t>7596-89-0058</t>
        </is>
      </c>
      <c r="H163" t="inlineStr">
        <is>
          <t>11451 CONNECTIVITY DR</t>
        </is>
      </c>
      <c r="I163" t="n">
        <v>580035</v>
      </c>
      <c r="J163" t="n">
        <v>0</v>
      </c>
      <c r="M163" t="inlineStr">
        <is>
          <t>Planned</t>
        </is>
      </c>
      <c r="O163" t="inlineStr">
        <is>
          <t>2026-04-23</t>
        </is>
      </c>
      <c r="P163" t="n">
        <v>65</v>
      </c>
      <c r="Q163" t="inlineStr">
        <is>
          <t>https://gisweb.pwcva.gov/arcgis/rest/services/Planning/Build_Out_Analysis/MapServer/9/65?f=html</t>
        </is>
      </c>
      <c r="R163" t="inlineStr">
        <is>
          <t>Planned</t>
        </is>
      </c>
    </row>
    <row r="164">
      <c r="A164" t="n">
        <v>163</v>
      </c>
      <c r="B164" t="n">
        <v>163</v>
      </c>
      <c r="C164" t="inlineStr">
        <is>
          <t>Manassas Data Center</t>
        </is>
      </c>
      <c r="D164" t="inlineStr">
        <is>
          <t>Planned</t>
        </is>
      </c>
      <c r="E164" t="inlineStr">
        <is>
          <t>Manassas Data Center</t>
        </is>
      </c>
      <c r="F164" t="inlineStr">
        <is>
          <t>REZ1989-0038</t>
        </is>
      </c>
      <c r="G164" t="inlineStr">
        <is>
          <t>7497-03-2210</t>
        </is>
      </c>
      <c r="H164" t="inlineStr">
        <is>
          <t>3555 WELLINGTON CENTER CIR</t>
        </is>
      </c>
      <c r="I164" t="n">
        <v>460740</v>
      </c>
      <c r="K164" t="inlineStr">
        <is>
          <t>REZ1989-0038</t>
        </is>
      </c>
      <c r="M164" t="inlineStr">
        <is>
          <t>Planned</t>
        </is>
      </c>
      <c r="O164" t="inlineStr">
        <is>
          <t>2026-04-17</t>
        </is>
      </c>
      <c r="P164" t="n">
        <v>223</v>
      </c>
      <c r="Q164" t="inlineStr">
        <is>
          <t>https://gisweb.pwcva.gov/arcgis/rest/services/Planning/Build_Out_Analysis/MapServer/9/223?f=html</t>
        </is>
      </c>
      <c r="R164" t="inlineStr">
        <is>
          <t>Planned</t>
        </is>
      </c>
    </row>
    <row r="165">
      <c r="A165" t="n">
        <v>164</v>
      </c>
      <c r="B165" t="n">
        <v>164</v>
      </c>
      <c r="C165" t="inlineStr">
        <is>
          <t>Manassas Tech Center Building A</t>
        </is>
      </c>
      <c r="D165" t="inlineStr">
        <is>
          <t>Under Construction</t>
        </is>
      </c>
      <c r="E165" t="inlineStr">
        <is>
          <t>Manassas Tech Center</t>
        </is>
      </c>
      <c r="F165" t="inlineStr">
        <is>
          <t>REZ2026-00022</t>
        </is>
      </c>
      <c r="G165" t="inlineStr">
        <is>
          <t>7596-61-8378.00</t>
        </is>
      </c>
      <c r="H165" t="inlineStr">
        <is>
          <t>8890 MIKE GARCIA DR</t>
        </is>
      </c>
      <c r="I165" t="n">
        <v>220132</v>
      </c>
      <c r="L165" t="inlineStr">
        <is>
          <t>BLD2025-00144</t>
        </is>
      </c>
      <c r="M165" t="inlineStr">
        <is>
          <t>Issued</t>
        </is>
      </c>
      <c r="O165" t="inlineStr">
        <is>
          <t>2026-04-21</t>
        </is>
      </c>
      <c r="P165" t="n">
        <v>57</v>
      </c>
      <c r="Q165" t="inlineStr">
        <is>
          <t>https://gisweb.pwcva.gov/arcgis/rest/services/Planning/Build_Out_Analysis/MapServer/9/57?f=html</t>
        </is>
      </c>
      <c r="R165" t="inlineStr">
        <is>
          <t>Under Construction</t>
        </is>
      </c>
    </row>
    <row r="166">
      <c r="A166" t="n">
        <v>165</v>
      </c>
      <c r="B166" t="n">
        <v>165</v>
      </c>
      <c r="C166" t="inlineStr">
        <is>
          <t>Manassas Tech Center Building B</t>
        </is>
      </c>
      <c r="D166" t="inlineStr">
        <is>
          <t>Planned</t>
        </is>
      </c>
      <c r="E166" t="inlineStr">
        <is>
          <t>Manassas Tech Center</t>
        </is>
      </c>
      <c r="F166" t="inlineStr">
        <is>
          <t>REZ2026-00022</t>
        </is>
      </c>
      <c r="G166" t="inlineStr">
        <is>
          <t>7596-62-9148.00</t>
        </is>
      </c>
      <c r="H166" t="inlineStr">
        <is>
          <t>8880 MIKE GARCIA DR</t>
        </is>
      </c>
      <c r="I166" t="n">
        <v>210329</v>
      </c>
      <c r="K166" t="inlineStr">
        <is>
          <t>REZ2026-00022</t>
        </is>
      </c>
      <c r="L166" t="inlineStr">
        <is>
          <t>BLD2026-06372</t>
        </is>
      </c>
      <c r="M166" t="inlineStr">
        <is>
          <t>Planned</t>
        </is>
      </c>
      <c r="O166" t="inlineStr">
        <is>
          <t>2026-06-29</t>
        </is>
      </c>
      <c r="P166" t="n">
        <v>240</v>
      </c>
      <c r="Q166" t="inlineStr">
        <is>
          <t>https://gisweb.pwcva.gov/arcgis/rest/services/Planning/Build_Out_Analysis/MapServer/9/240?f=html</t>
        </is>
      </c>
      <c r="R166" t="inlineStr">
        <is>
          <t>Planned</t>
        </is>
      </c>
    </row>
    <row r="167">
      <c r="A167" t="n">
        <v>166</v>
      </c>
      <c r="B167" t="n">
        <v>166</v>
      </c>
      <c r="C167" t="inlineStr">
        <is>
          <t>Manassas Tech Center Building C</t>
        </is>
      </c>
      <c r="D167" t="inlineStr">
        <is>
          <t>Planned</t>
        </is>
      </c>
      <c r="E167" t="inlineStr">
        <is>
          <t>Manassas Tech Center</t>
        </is>
      </c>
      <c r="F167" t="inlineStr">
        <is>
          <t>REZ2026-00022</t>
        </is>
      </c>
      <c r="H167" t="inlineStr">
        <is>
          <t>8881 MIKE GARCIA DR</t>
        </is>
      </c>
      <c r="I167" t="n">
        <v>256260</v>
      </c>
      <c r="M167" t="inlineStr">
        <is>
          <t>Planned</t>
        </is>
      </c>
      <c r="O167" t="inlineStr">
        <is>
          <t>2026-09-02</t>
        </is>
      </c>
      <c r="P167" t="n">
        <v>241</v>
      </c>
      <c r="Q167" t="inlineStr">
        <is>
          <t>https://gisweb.pwcva.gov/arcgis/rest/services/Planning/Build_Out_Analysis/MapServer/9/241?f=html</t>
        </is>
      </c>
      <c r="R167" t="inlineStr">
        <is>
          <t>Planned</t>
        </is>
      </c>
    </row>
    <row r="168">
      <c r="A168" t="n">
        <v>167</v>
      </c>
      <c r="B168" t="n">
        <v>167</v>
      </c>
      <c r="C168" t="inlineStr">
        <is>
          <t>Manassas Tech Park II South</t>
        </is>
      </c>
      <c r="D168" t="inlineStr">
        <is>
          <t>Planned</t>
        </is>
      </c>
      <c r="E168" t="inlineStr">
        <is>
          <t>Manassas Tech Park II South</t>
        </is>
      </c>
      <c r="F168" t="inlineStr">
        <is>
          <t>REZ1985-0048</t>
        </is>
      </c>
      <c r="G168" t="inlineStr">
        <is>
          <t>7595-59-2712</t>
        </is>
      </c>
      <c r="H168" t="inlineStr">
        <is>
          <t>9320 INDUSTRIAL CT</t>
        </is>
      </c>
      <c r="I168" t="n">
        <v>198500</v>
      </c>
      <c r="K168" t="inlineStr">
        <is>
          <t>REZ1985-0048</t>
        </is>
      </c>
      <c r="M168" t="inlineStr">
        <is>
          <t>Planned</t>
        </is>
      </c>
      <c r="O168" t="inlineStr">
        <is>
          <t>2026-07-16</t>
        </is>
      </c>
      <c r="P168" t="n">
        <v>271</v>
      </c>
      <c r="Q168" t="inlineStr">
        <is>
          <t>https://gisweb.pwcva.gov/arcgis/rest/services/Planning/Build_Out_Analysis/MapServer/9/271?f=html</t>
        </is>
      </c>
      <c r="R168" t="inlineStr">
        <is>
          <t>Planned</t>
        </is>
      </c>
    </row>
    <row r="169">
      <c r="A169" t="n">
        <v>168</v>
      </c>
      <c r="B169" t="n">
        <v>168</v>
      </c>
      <c r="C169" t="inlineStr">
        <is>
          <t>Manassas Tech Park North 1</t>
        </is>
      </c>
      <c r="D169" t="inlineStr">
        <is>
          <t>Planned</t>
        </is>
      </c>
      <c r="E169" t="inlineStr">
        <is>
          <t>Manassas Tech Park North</t>
        </is>
      </c>
      <c r="F169" t="inlineStr">
        <is>
          <t>REZ1985-0048</t>
        </is>
      </c>
      <c r="G169" t="inlineStr">
        <is>
          <t>7596-50-2719</t>
        </is>
      </c>
      <c r="H169" t="inlineStr">
        <is>
          <t>9251 INDUSTRIAL CT</t>
        </is>
      </c>
      <c r="I169" t="n">
        <v>170000</v>
      </c>
      <c r="K169" t="inlineStr">
        <is>
          <t>REZ1985-0048</t>
        </is>
      </c>
      <c r="M169" t="inlineStr">
        <is>
          <t>Planned</t>
        </is>
      </c>
      <c r="O169" t="inlineStr">
        <is>
          <t>2026-04-17</t>
        </is>
      </c>
      <c r="P169" t="n">
        <v>221</v>
      </c>
      <c r="Q169" t="inlineStr">
        <is>
          <t>https://gisweb.pwcva.gov/arcgis/rest/services/Planning/Build_Out_Analysis/MapServer/9/221?f=html</t>
        </is>
      </c>
      <c r="R169" t="inlineStr">
        <is>
          <t>Planned</t>
        </is>
      </c>
    </row>
    <row r="170">
      <c r="A170" t="n">
        <v>169</v>
      </c>
      <c r="B170" t="n">
        <v>169</v>
      </c>
      <c r="C170" t="inlineStr">
        <is>
          <t>Manassas Tech Park North 2</t>
        </is>
      </c>
      <c r="D170" t="inlineStr">
        <is>
          <t>Planned</t>
        </is>
      </c>
      <c r="E170" t="inlineStr">
        <is>
          <t>Manassas Tech Park North</t>
        </is>
      </c>
      <c r="F170" t="inlineStr">
        <is>
          <t>REZ1985-0048</t>
        </is>
      </c>
      <c r="G170" t="inlineStr">
        <is>
          <t>7595-49-8655</t>
        </is>
      </c>
      <c r="H170" t="inlineStr">
        <is>
          <t>9250 INDUSTRIAL CT</t>
        </is>
      </c>
      <c r="I170" t="n">
        <v>170000</v>
      </c>
      <c r="K170" t="inlineStr">
        <is>
          <t>REZ1985-0048</t>
        </is>
      </c>
      <c r="M170" t="inlineStr">
        <is>
          <t>Planned</t>
        </is>
      </c>
      <c r="O170" t="inlineStr">
        <is>
          <t>2026-04-17</t>
        </is>
      </c>
      <c r="P170" t="n">
        <v>222</v>
      </c>
      <c r="Q170" t="inlineStr">
        <is>
          <t>https://gisweb.pwcva.gov/arcgis/rest/services/Planning/Build_Out_Analysis/MapServer/9/222?f=html</t>
        </is>
      </c>
      <c r="R170" t="inlineStr">
        <is>
          <t>Planned</t>
        </is>
      </c>
    </row>
    <row r="171">
      <c r="A171" t="n">
        <v>170</v>
      </c>
      <c r="B171" t="n">
        <v>170</v>
      </c>
      <c r="C171" t="inlineStr">
        <is>
          <t>Merritt I-66 Business Park A</t>
        </is>
      </c>
      <c r="D171" t="inlineStr">
        <is>
          <t>Planned</t>
        </is>
      </c>
      <c r="E171" t="inlineStr">
        <is>
          <t>Merritt I-66 Business Park</t>
        </is>
      </c>
      <c r="F171" t="inlineStr">
        <is>
          <t>REZ1981-0015</t>
        </is>
      </c>
      <c r="G171" t="inlineStr">
        <is>
          <t>7597-25-1404</t>
        </is>
      </c>
      <c r="H171" t="inlineStr">
        <is>
          <t>7370 MERRITT PARK DR</t>
        </is>
      </c>
      <c r="I171" t="n">
        <v>436000</v>
      </c>
      <c r="K171" t="inlineStr">
        <is>
          <t>REZ1981-0015</t>
        </is>
      </c>
      <c r="M171" t="inlineStr">
        <is>
          <t>Planned</t>
        </is>
      </c>
      <c r="O171" t="inlineStr">
        <is>
          <t>2026-07-30</t>
        </is>
      </c>
      <c r="P171" t="n">
        <v>276</v>
      </c>
      <c r="Q171" t="inlineStr">
        <is>
          <t>https://gisweb.pwcva.gov/arcgis/rest/services/Planning/Build_Out_Analysis/MapServer/9/276?f=html</t>
        </is>
      </c>
      <c r="R171" t="inlineStr">
        <is>
          <t>Planned</t>
        </is>
      </c>
    </row>
    <row r="172">
      <c r="A172" t="n">
        <v>171</v>
      </c>
      <c r="B172" t="n">
        <v>171</v>
      </c>
      <c r="C172" t="inlineStr">
        <is>
          <t>Merritt I-66 Business Park B</t>
        </is>
      </c>
      <c r="D172" t="inlineStr">
        <is>
          <t>Planned</t>
        </is>
      </c>
      <c r="E172" t="inlineStr">
        <is>
          <t>Merritt I-66 Business Park</t>
        </is>
      </c>
      <c r="F172" t="inlineStr">
        <is>
          <t>REZ1981-0015</t>
        </is>
      </c>
      <c r="G172" t="inlineStr">
        <is>
          <t>7597-24-1765</t>
        </is>
      </c>
      <c r="H172" t="inlineStr">
        <is>
          <t>7390 MERRITT PARK DR</t>
        </is>
      </c>
      <c r="I172" t="n">
        <v>436000</v>
      </c>
      <c r="K172" t="inlineStr">
        <is>
          <t>REZ1981-0015</t>
        </is>
      </c>
      <c r="M172" t="inlineStr">
        <is>
          <t>Planned</t>
        </is>
      </c>
      <c r="O172" t="inlineStr">
        <is>
          <t>2026-07-30</t>
        </is>
      </c>
      <c r="P172" t="n">
        <v>275</v>
      </c>
      <c r="Q172" t="inlineStr">
        <is>
          <t>https://gisweb.pwcva.gov/arcgis/rest/services/Planning/Build_Out_Analysis/MapServer/9/275?f=html</t>
        </is>
      </c>
      <c r="R172" t="inlineStr">
        <is>
          <t>Planned</t>
        </is>
      </c>
    </row>
    <row r="173">
      <c r="A173" t="n">
        <v>172</v>
      </c>
      <c r="B173" t="n">
        <v>172</v>
      </c>
      <c r="C173" t="inlineStr">
        <is>
          <t>Merritt I-66 Business Park C</t>
        </is>
      </c>
      <c r="D173" t="inlineStr">
        <is>
          <t>Planned</t>
        </is>
      </c>
      <c r="E173" t="inlineStr">
        <is>
          <t>Merritt I-66 Business Park</t>
        </is>
      </c>
      <c r="F173" t="inlineStr">
        <is>
          <t>REZ1981-0015</t>
        </is>
      </c>
      <c r="G173" t="inlineStr">
        <is>
          <t>7597-24-7195</t>
        </is>
      </c>
      <c r="H173" t="inlineStr">
        <is>
          <t>7375 MERRITT PARK DR</t>
        </is>
      </c>
      <c r="I173" t="n">
        <v>633749</v>
      </c>
      <c r="K173" t="inlineStr">
        <is>
          <t>REZ1981-0015</t>
        </is>
      </c>
      <c r="M173" t="inlineStr">
        <is>
          <t>Planned</t>
        </is>
      </c>
      <c r="O173" t="inlineStr">
        <is>
          <t>2026-07-30</t>
        </is>
      </c>
      <c r="P173" t="n">
        <v>273</v>
      </c>
      <c r="Q173" t="inlineStr">
        <is>
          <t>https://gisweb.pwcva.gov/arcgis/rest/services/Planning/Build_Out_Analysis/MapServer/9/273?f=html</t>
        </is>
      </c>
      <c r="R173" t="inlineStr">
        <is>
          <t>Planned</t>
        </is>
      </c>
    </row>
    <row r="174">
      <c r="A174" t="n">
        <v>173</v>
      </c>
      <c r="B174" t="n">
        <v>173</v>
      </c>
      <c r="C174" t="inlineStr">
        <is>
          <t>Merritt I-66 Business Park D</t>
        </is>
      </c>
      <c r="D174" t="inlineStr">
        <is>
          <t>Planned</t>
        </is>
      </c>
      <c r="E174" t="inlineStr">
        <is>
          <t>Merritt I-66 Business Park</t>
        </is>
      </c>
      <c r="F174" t="inlineStr">
        <is>
          <t>REZ1981-0015</t>
        </is>
      </c>
      <c r="G174" t="inlineStr">
        <is>
          <t>7597-24-8417</t>
        </is>
      </c>
      <c r="H174" t="inlineStr">
        <is>
          <t>7425 MERRITT PARK DR</t>
        </is>
      </c>
      <c r="I174" t="n">
        <v>638590</v>
      </c>
      <c r="K174" t="inlineStr">
        <is>
          <t>REZ1981-0015</t>
        </is>
      </c>
      <c r="M174" t="inlineStr">
        <is>
          <t>Planned</t>
        </is>
      </c>
      <c r="O174" t="inlineStr">
        <is>
          <t>2026-07-30</t>
        </is>
      </c>
      <c r="P174" t="n">
        <v>274</v>
      </c>
      <c r="Q174" t="inlineStr">
        <is>
          <t>https://gisweb.pwcva.gov/arcgis/rest/services/Planning/Build_Out_Analysis/MapServer/9/274?f=html</t>
        </is>
      </c>
      <c r="R174" t="inlineStr">
        <is>
          <t>Planned</t>
        </is>
      </c>
    </row>
    <row r="175">
      <c r="A175" t="n">
        <v>174</v>
      </c>
      <c r="B175" t="n">
        <v>174</v>
      </c>
      <c r="C175" t="inlineStr">
        <is>
          <t>Microsoft Azure MNZ01</t>
        </is>
      </c>
      <c r="D175" t="inlineStr">
        <is>
          <t>Planned</t>
        </is>
      </c>
      <c r="E175" t="inlineStr">
        <is>
          <t>Microsoft Azure Balls Ford Road</t>
        </is>
      </c>
      <c r="F175" t="inlineStr">
        <is>
          <t>REZ2019-00025</t>
        </is>
      </c>
      <c r="G175" t="inlineStr">
        <is>
          <t>7597-85-1215</t>
        </is>
      </c>
      <c r="H175" t="inlineStr">
        <is>
          <t>11320 BALLS FORD RD</t>
        </is>
      </c>
      <c r="I175" t="n">
        <v>566280</v>
      </c>
      <c r="L175" t="inlineStr">
        <is>
          <t>BLD2024-06291</t>
        </is>
      </c>
      <c r="M175" t="inlineStr">
        <is>
          <t>Pending</t>
        </is>
      </c>
      <c r="O175" t="inlineStr">
        <is>
          <t>2026-08-13</t>
        </is>
      </c>
      <c r="P175" t="n">
        <v>73</v>
      </c>
      <c r="Q175" t="inlineStr">
        <is>
          <t>https://gisweb.pwcva.gov/arcgis/rest/services/Planning/Build_Out_Analysis/MapServer/9/73?f=html</t>
        </is>
      </c>
      <c r="R175" t="inlineStr">
        <is>
          <t>Planned</t>
        </is>
      </c>
    </row>
    <row r="176">
      <c r="A176" t="n">
        <v>175</v>
      </c>
      <c r="B176" t="n">
        <v>175</v>
      </c>
      <c r="C176" t="inlineStr">
        <is>
          <t>Microsoft Azure MNZ02</t>
        </is>
      </c>
      <c r="D176" t="inlineStr">
        <is>
          <t>Planned</t>
        </is>
      </c>
      <c r="E176" t="inlineStr">
        <is>
          <t>Microsoft Azure Balls Ford Road</t>
        </is>
      </c>
      <c r="F176" t="inlineStr">
        <is>
          <t>REZ2019-00025</t>
        </is>
      </c>
      <c r="G176" t="inlineStr">
        <is>
          <t>7597-85-1215</t>
        </is>
      </c>
      <c r="H176" t="inlineStr">
        <is>
          <t>11324 BALLS FORD RD</t>
        </is>
      </c>
      <c r="I176" t="n">
        <v>566280</v>
      </c>
      <c r="J176" t="n">
        <v>0</v>
      </c>
      <c r="M176" t="inlineStr">
        <is>
          <t>Planned</t>
        </is>
      </c>
      <c r="O176" t="inlineStr">
        <is>
          <t>2026-04-23</t>
        </is>
      </c>
      <c r="P176" t="n">
        <v>74</v>
      </c>
      <c r="Q176" t="inlineStr">
        <is>
          <t>https://gisweb.pwcva.gov/arcgis/rest/services/Planning/Build_Out_Analysis/MapServer/9/74?f=html</t>
        </is>
      </c>
      <c r="R176" t="inlineStr">
        <is>
          <t>Planned</t>
        </is>
      </c>
    </row>
    <row r="177">
      <c r="A177" t="n">
        <v>176</v>
      </c>
      <c r="B177" t="n">
        <v>176</v>
      </c>
      <c r="C177" t="inlineStr">
        <is>
          <t>Microsoft Azure MNZ03</t>
        </is>
      </c>
      <c r="D177" t="inlineStr">
        <is>
          <t>Under Construction</t>
        </is>
      </c>
      <c r="E177" t="inlineStr">
        <is>
          <t>Microsoft Azure Gainesville Tech Park</t>
        </is>
      </c>
      <c r="F177" t="inlineStr">
        <is>
          <t>REZ2020-00011</t>
        </is>
      </c>
      <c r="G177" t="inlineStr">
        <is>
          <t>7496-88-1217</t>
        </is>
      </c>
      <c r="H177" t="inlineStr">
        <is>
          <t>13060 HANSEN FARM RD</t>
        </is>
      </c>
      <c r="I177" t="n">
        <v>312931</v>
      </c>
      <c r="L177" t="inlineStr">
        <is>
          <t>BLD2023-07492</t>
        </is>
      </c>
      <c r="M177" t="inlineStr">
        <is>
          <t>Issued</t>
        </is>
      </c>
      <c r="O177" t="inlineStr">
        <is>
          <t>2026-06-09</t>
        </is>
      </c>
      <c r="P177" t="n">
        <v>89</v>
      </c>
      <c r="Q177" t="inlineStr">
        <is>
          <t>https://gisweb.pwcva.gov/arcgis/rest/services/Planning/Build_Out_Analysis/MapServer/9/89?f=html</t>
        </is>
      </c>
      <c r="R177" t="inlineStr">
        <is>
          <t>Under Construction</t>
        </is>
      </c>
    </row>
    <row r="178">
      <c r="A178" t="n">
        <v>177</v>
      </c>
      <c r="B178" t="n">
        <v>177</v>
      </c>
      <c r="C178" t="inlineStr">
        <is>
          <t>Microsoft Azure MNZ04</t>
        </is>
      </c>
      <c r="D178" t="inlineStr">
        <is>
          <t>Planned</t>
        </is>
      </c>
      <c r="E178" t="inlineStr">
        <is>
          <t>Microsoft Azure Gainesville Tech Park</t>
        </is>
      </c>
      <c r="F178" t="inlineStr">
        <is>
          <t>REZ2020-00011</t>
        </is>
      </c>
      <c r="G178" t="inlineStr">
        <is>
          <t>7496-88-1217</t>
        </is>
      </c>
      <c r="H178" t="inlineStr">
        <is>
          <t>13062 HANSEN FARM RD</t>
        </is>
      </c>
      <c r="I178" t="n">
        <v>310856</v>
      </c>
      <c r="J178" t="n">
        <v>0</v>
      </c>
      <c r="L178" t="inlineStr">
        <is>
          <t>BLD2025-02384</t>
        </is>
      </c>
      <c r="M178" t="inlineStr">
        <is>
          <t>Planned</t>
        </is>
      </c>
      <c r="O178" t="inlineStr">
        <is>
          <t>2026-06-17</t>
        </is>
      </c>
      <c r="P178" t="n">
        <v>90</v>
      </c>
      <c r="Q178" t="inlineStr">
        <is>
          <t>https://gisweb.pwcva.gov/arcgis/rest/services/Planning/Build_Out_Analysis/MapServer/9/90?f=html</t>
        </is>
      </c>
      <c r="R178" t="inlineStr">
        <is>
          <t>Planned</t>
        </is>
      </c>
    </row>
    <row r="179">
      <c r="A179" t="n">
        <v>178</v>
      </c>
      <c r="B179" t="n">
        <v>178</v>
      </c>
      <c r="C179" t="inlineStr">
        <is>
          <t>Microsoft Azure MNZ05</t>
        </is>
      </c>
      <c r="D179" t="inlineStr">
        <is>
          <t>Planned</t>
        </is>
      </c>
      <c r="E179" t="inlineStr">
        <is>
          <t>Microsoft Azure Gainesville Tech Park</t>
        </is>
      </c>
      <c r="F179" t="inlineStr">
        <is>
          <t>REZ2020-00011</t>
        </is>
      </c>
      <c r="G179" t="inlineStr">
        <is>
          <t>7496-88-1217</t>
        </is>
      </c>
      <c r="H179" t="inlineStr">
        <is>
          <t>13064 HANSEN FARM RD</t>
        </is>
      </c>
      <c r="I179" t="n">
        <v>310856</v>
      </c>
      <c r="J179" t="n">
        <v>0</v>
      </c>
      <c r="L179" t="inlineStr">
        <is>
          <t>&lt;Null&gt;</t>
        </is>
      </c>
      <c r="M179" t="inlineStr">
        <is>
          <t>Planned</t>
        </is>
      </c>
      <c r="O179" t="inlineStr">
        <is>
          <t>2026-06-09</t>
        </is>
      </c>
      <c r="P179" t="n">
        <v>91</v>
      </c>
      <c r="Q179" t="inlineStr">
        <is>
          <t>https://gisweb.pwcva.gov/arcgis/rest/services/Planning/Build_Out_Analysis/MapServer/9/91?f=html</t>
        </is>
      </c>
      <c r="R179" t="inlineStr">
        <is>
          <t>Planned</t>
        </is>
      </c>
    </row>
    <row r="180">
      <c r="A180" t="n">
        <v>179</v>
      </c>
      <c r="B180" t="n">
        <v>179</v>
      </c>
      <c r="C180" t="inlineStr">
        <is>
          <t>Microsoft Azure MNZ06</t>
        </is>
      </c>
      <c r="D180" t="inlineStr">
        <is>
          <t>Planned</t>
        </is>
      </c>
      <c r="E180" t="inlineStr">
        <is>
          <t>Microsoft Azure Gainesville Tech Park</t>
        </is>
      </c>
      <c r="F180" t="inlineStr">
        <is>
          <t>REZ2020-00011</t>
        </is>
      </c>
      <c r="G180" t="inlineStr">
        <is>
          <t>7496-88-1217</t>
        </is>
      </c>
      <c r="H180" t="inlineStr">
        <is>
          <t>13066 HANSEN FARM RD</t>
        </is>
      </c>
      <c r="I180" t="n">
        <v>495709</v>
      </c>
      <c r="J180" t="n">
        <v>0</v>
      </c>
      <c r="L180" t="inlineStr">
        <is>
          <t>&lt;Null&gt;</t>
        </is>
      </c>
      <c r="M180" t="inlineStr">
        <is>
          <t>Planned</t>
        </is>
      </c>
      <c r="O180" t="inlineStr">
        <is>
          <t>2026-04-23</t>
        </is>
      </c>
      <c r="P180" t="n">
        <v>92</v>
      </c>
      <c r="Q180" t="inlineStr">
        <is>
          <t>https://gisweb.pwcva.gov/arcgis/rest/services/Planning/Build_Out_Analysis/MapServer/9/92?f=html</t>
        </is>
      </c>
      <c r="R180" t="inlineStr">
        <is>
          <t>Planned</t>
        </is>
      </c>
    </row>
    <row r="181">
      <c r="A181" t="n">
        <v>180</v>
      </c>
      <c r="B181" t="n">
        <v>180</v>
      </c>
      <c r="C181" t="inlineStr">
        <is>
          <t>NTT Grove at Gainesville VA10</t>
        </is>
      </c>
      <c r="D181" t="inlineStr">
        <is>
          <t>Under Construction</t>
        </is>
      </c>
      <c r="E181" t="inlineStr">
        <is>
          <t>NTT Grove at Gainesville</t>
        </is>
      </c>
      <c r="F181" t="inlineStr">
        <is>
          <t>REZ2021-00001</t>
        </is>
      </c>
      <c r="G181" t="inlineStr">
        <is>
          <t>7397-56-8403</t>
        </is>
      </c>
      <c r="H181" t="inlineStr">
        <is>
          <t>7253 GROVE HILL BLVD</t>
        </is>
      </c>
      <c r="I181" t="n">
        <v>560942</v>
      </c>
      <c r="L181" t="inlineStr">
        <is>
          <t>BLD2023-05471</t>
        </is>
      </c>
      <c r="M181" t="inlineStr">
        <is>
          <t>Issued</t>
        </is>
      </c>
      <c r="O181" t="inlineStr">
        <is>
          <t>2026-06-05</t>
        </is>
      </c>
      <c r="P181" t="n">
        <v>101</v>
      </c>
      <c r="Q181" t="inlineStr">
        <is>
          <t>https://gisweb.pwcva.gov/arcgis/rest/services/Planning/Build_Out_Analysis/MapServer/9/101?f=html</t>
        </is>
      </c>
      <c r="R181" t="inlineStr">
        <is>
          <t>Under Construction</t>
        </is>
      </c>
    </row>
    <row r="182">
      <c r="A182" t="n">
        <v>181</v>
      </c>
      <c r="B182" t="n">
        <v>181</v>
      </c>
      <c r="C182" t="inlineStr">
        <is>
          <t>NTT Grove at Gainesville VA11</t>
        </is>
      </c>
      <c r="D182" t="inlineStr">
        <is>
          <t>Under Construction</t>
        </is>
      </c>
      <c r="E182" t="inlineStr">
        <is>
          <t>NTT Grove at Gainesville</t>
        </is>
      </c>
      <c r="F182" t="inlineStr">
        <is>
          <t>REZ2021-00001</t>
        </is>
      </c>
      <c r="G182" t="inlineStr">
        <is>
          <t>7397-56-8403</t>
        </is>
      </c>
      <c r="H182" t="inlineStr">
        <is>
          <t>7251 GROVE HILL BLVD</t>
        </is>
      </c>
      <c r="I182" t="n">
        <v>580498</v>
      </c>
      <c r="L182" t="inlineStr">
        <is>
          <t>BLD2025-04670</t>
        </is>
      </c>
      <c r="M182" t="inlineStr">
        <is>
          <t>Issued</t>
        </is>
      </c>
      <c r="O182" t="inlineStr">
        <is>
          <t>2026-06-05</t>
        </is>
      </c>
      <c r="P182" t="n">
        <v>104</v>
      </c>
      <c r="Q182" t="inlineStr">
        <is>
          <t>https://gisweb.pwcva.gov/arcgis/rest/services/Planning/Build_Out_Analysis/MapServer/9/104?f=html</t>
        </is>
      </c>
      <c r="R182" t="inlineStr">
        <is>
          <t>Under Construction</t>
        </is>
      </c>
    </row>
    <row r="183">
      <c r="A183" t="n">
        <v>182</v>
      </c>
      <c r="B183" t="n">
        <v>182</v>
      </c>
      <c r="C183" t="inlineStr">
        <is>
          <t>NTT Grove at Gainesville VA12</t>
        </is>
      </c>
      <c r="D183" t="inlineStr">
        <is>
          <t>Under Construction</t>
        </is>
      </c>
      <c r="E183" t="inlineStr">
        <is>
          <t>NTT Grove at Gainesville</t>
        </is>
      </c>
      <c r="F183" t="inlineStr">
        <is>
          <t>REZ2021-00001</t>
        </is>
      </c>
      <c r="G183" t="inlineStr">
        <is>
          <t>7397-56-8403</t>
        </is>
      </c>
      <c r="H183" t="inlineStr">
        <is>
          <t>7250 GROVE HILL BLVD</t>
        </is>
      </c>
      <c r="I183" t="n">
        <v>580724</v>
      </c>
      <c r="L183" t="inlineStr">
        <is>
          <t>BLD2026-05831</t>
        </is>
      </c>
      <c r="M183" t="inlineStr">
        <is>
          <t>Issued</t>
        </is>
      </c>
      <c r="O183" t="inlineStr">
        <is>
          <t>2026-09-24</t>
        </is>
      </c>
      <c r="P183" t="n">
        <v>102</v>
      </c>
      <c r="Q183" t="inlineStr">
        <is>
          <t>https://gisweb.pwcva.gov/arcgis/rest/services/Planning/Build_Out_Analysis/MapServer/9/102?f=html</t>
        </is>
      </c>
      <c r="R183" t="inlineStr">
        <is>
          <t>Under Construction</t>
        </is>
      </c>
    </row>
    <row r="184">
      <c r="A184" t="n">
        <v>183</v>
      </c>
      <c r="B184" t="n">
        <v>183</v>
      </c>
      <c r="C184" t="inlineStr">
        <is>
          <t>NTT Grove at Gainesville VA13</t>
        </is>
      </c>
      <c r="D184" t="inlineStr">
        <is>
          <t>Planned</t>
        </is>
      </c>
      <c r="E184" t="inlineStr">
        <is>
          <t>NTT Grove at Gainesville</t>
        </is>
      </c>
      <c r="F184" t="inlineStr">
        <is>
          <t>REZ2021-00001</t>
        </is>
      </c>
      <c r="G184" t="inlineStr">
        <is>
          <t>7397-56-8403</t>
        </is>
      </c>
      <c r="H184" t="inlineStr">
        <is>
          <t>7151 CATHARPIN RD</t>
        </is>
      </c>
      <c r="I184" t="n">
        <v>557012</v>
      </c>
      <c r="M184" t="inlineStr">
        <is>
          <t>Planned</t>
        </is>
      </c>
      <c r="O184" t="inlineStr">
        <is>
          <t>2026-06-05</t>
        </is>
      </c>
      <c r="P184" t="n">
        <v>103</v>
      </c>
      <c r="Q184" t="inlineStr">
        <is>
          <t>https://gisweb.pwcva.gov/arcgis/rest/services/Planning/Build_Out_Analysis/MapServer/9/103?f=html</t>
        </is>
      </c>
      <c r="R184" t="inlineStr">
        <is>
          <t>Planned</t>
        </is>
      </c>
    </row>
    <row r="185">
      <c r="A185" t="n">
        <v>184</v>
      </c>
      <c r="B185" t="n">
        <v>184</v>
      </c>
      <c r="C185" t="inlineStr">
        <is>
          <t>Amazon AWS IAD-14</t>
        </is>
      </c>
      <c r="D185" t="inlineStr">
        <is>
          <t>Planned</t>
        </is>
      </c>
      <c r="E185" t="inlineStr">
        <is>
          <t>Patriot Business Center</t>
        </is>
      </c>
      <c r="F185" t="inlineStr">
        <is>
          <t>REZ1969-0021</t>
        </is>
      </c>
      <c r="G185" t="inlineStr">
        <is>
          <t>7597-42-2107</t>
        </is>
      </c>
      <c r="H185" t="inlineStr">
        <is>
          <t>11801 BREWERS SPRING RD</t>
        </is>
      </c>
      <c r="I185" t="n">
        <v>199003</v>
      </c>
      <c r="M185" t="inlineStr">
        <is>
          <t>Planned</t>
        </is>
      </c>
      <c r="O185" t="inlineStr">
        <is>
          <t>2026-05-27</t>
        </is>
      </c>
      <c r="P185" t="n">
        <v>68</v>
      </c>
      <c r="Q185" t="inlineStr">
        <is>
          <t>https://gisweb.pwcva.gov/arcgis/rest/services/Planning/Build_Out_Analysis/MapServer/9/68?f=html</t>
        </is>
      </c>
      <c r="R185" t="inlineStr">
        <is>
          <t>Planned</t>
        </is>
      </c>
    </row>
    <row r="186">
      <c r="A186" t="n">
        <v>185</v>
      </c>
      <c r="B186" t="n">
        <v>185</v>
      </c>
      <c r="C186" t="inlineStr">
        <is>
          <t>Amazon AWS IAD-52</t>
        </is>
      </c>
      <c r="D186" t="inlineStr">
        <is>
          <t>Planned</t>
        </is>
      </c>
      <c r="E186" t="inlineStr">
        <is>
          <t>Patriot Business Center</t>
        </is>
      </c>
      <c r="F186" t="inlineStr">
        <is>
          <t>REZ1969-0021</t>
        </is>
      </c>
      <c r="G186" t="inlineStr">
        <is>
          <t>7597-42-1456</t>
        </is>
      </c>
      <c r="H186" t="inlineStr">
        <is>
          <t>11800 BREWERS SPRING RD</t>
        </is>
      </c>
      <c r="I186" t="n">
        <v>226123</v>
      </c>
      <c r="M186" t="inlineStr">
        <is>
          <t>Planned</t>
        </is>
      </c>
      <c r="O186" t="inlineStr">
        <is>
          <t>2026-05-27</t>
        </is>
      </c>
      <c r="P186" t="n">
        <v>71</v>
      </c>
      <c r="Q186" t="inlineStr">
        <is>
          <t>https://gisweb.pwcva.gov/arcgis/rest/services/Planning/Build_Out_Analysis/MapServer/9/71?f=html</t>
        </is>
      </c>
      <c r="R186" t="inlineStr">
        <is>
          <t>Planned</t>
        </is>
      </c>
    </row>
    <row r="187">
      <c r="A187" t="n">
        <v>186</v>
      </c>
      <c r="B187" t="n">
        <v>186</v>
      </c>
      <c r="C187" t="inlineStr">
        <is>
          <t>Amazon AWS IAD-59</t>
        </is>
      </c>
      <c r="D187" t="inlineStr">
        <is>
          <t>Planned</t>
        </is>
      </c>
      <c r="E187" t="inlineStr">
        <is>
          <t>Patriot Business Center</t>
        </is>
      </c>
      <c r="F187" t="inlineStr">
        <is>
          <t>REZ1969-0021</t>
        </is>
      </c>
      <c r="G187" t="inlineStr">
        <is>
          <t>7597-42-1395</t>
        </is>
      </c>
      <c r="H187" t="inlineStr">
        <is>
          <t>7600 DOANE DR</t>
        </is>
      </c>
      <c r="I187" t="n">
        <v>226132</v>
      </c>
      <c r="M187" t="inlineStr">
        <is>
          <t>Planned</t>
        </is>
      </c>
      <c r="O187" t="inlineStr">
        <is>
          <t>2026-05-27</t>
        </is>
      </c>
      <c r="P187" t="n">
        <v>72</v>
      </c>
      <c r="Q187" t="inlineStr">
        <is>
          <t>https://gisweb.pwcva.gov/arcgis/rest/services/Planning/Build_Out_Analysis/MapServer/9/72?f=html</t>
        </is>
      </c>
      <c r="R187" t="inlineStr">
        <is>
          <t>Planned</t>
        </is>
      </c>
    </row>
    <row r="188">
      <c r="A188" t="n">
        <v>187</v>
      </c>
      <c r="B188" t="n">
        <v>187</v>
      </c>
      <c r="C188" t="inlineStr">
        <is>
          <t>Patriot Business Center</t>
        </is>
      </c>
      <c r="D188" t="inlineStr">
        <is>
          <t>Planned</t>
        </is>
      </c>
      <c r="E188" t="inlineStr">
        <is>
          <t>Patriot Business Center</t>
        </is>
      </c>
      <c r="F188" t="inlineStr">
        <is>
          <t>REZ1969-0021</t>
        </is>
      </c>
      <c r="H188" t="inlineStr">
        <is>
          <t>BREWERS SPRING RD</t>
        </is>
      </c>
      <c r="I188" t="n">
        <v>252265</v>
      </c>
      <c r="K188" t="inlineStr">
        <is>
          <t>REZ1969-0021</t>
        </is>
      </c>
      <c r="M188" t="inlineStr">
        <is>
          <t>Planned</t>
        </is>
      </c>
      <c r="O188" t="inlineStr">
        <is>
          <t>2026-05-27</t>
        </is>
      </c>
      <c r="P188" t="n">
        <v>226</v>
      </c>
      <c r="Q188" t="inlineStr">
        <is>
          <t>https://gisweb.pwcva.gov/arcgis/rest/services/Planning/Build_Out_Analysis/MapServer/9/226?f=html</t>
        </is>
      </c>
      <c r="R188" t="inlineStr">
        <is>
          <t>Planned</t>
        </is>
      </c>
    </row>
    <row r="189">
      <c r="A189" t="n">
        <v>188</v>
      </c>
      <c r="B189" t="n">
        <v>188</v>
      </c>
      <c r="C189" t="inlineStr">
        <is>
          <t>Premier Business Park Bldg A</t>
        </is>
      </c>
      <c r="D189" t="inlineStr">
        <is>
          <t>Planned</t>
        </is>
      </c>
      <c r="E189" t="inlineStr">
        <is>
          <t>Premier Business Park</t>
        </is>
      </c>
      <c r="F189" t="inlineStr">
        <is>
          <t>REZ1969-0021</t>
        </is>
      </c>
      <c r="G189" t="inlineStr">
        <is>
          <t>7597-34-9837</t>
        </is>
      </c>
      <c r="H189" t="inlineStr">
        <is>
          <t>11900 BRADY LN</t>
        </is>
      </c>
      <c r="I189" t="n">
        <v>500000</v>
      </c>
      <c r="K189" t="inlineStr">
        <is>
          <t>REZ1969-0021</t>
        </is>
      </c>
      <c r="M189" t="inlineStr">
        <is>
          <t>Planned</t>
        </is>
      </c>
      <c r="O189" t="inlineStr">
        <is>
          <t>2026-08-10</t>
        </is>
      </c>
      <c r="P189" t="n">
        <v>677</v>
      </c>
      <c r="Q189" t="inlineStr">
        <is>
          <t>https://gisweb.pwcva.gov/arcgis/rest/services/Planning/Build_Out_Analysis/MapServer/9/677?f=html</t>
        </is>
      </c>
      <c r="R189" t="inlineStr">
        <is>
          <t>Planned</t>
        </is>
      </c>
    </row>
    <row r="190">
      <c r="A190" t="n">
        <v>189</v>
      </c>
      <c r="B190" t="n">
        <v>189</v>
      </c>
      <c r="C190" t="inlineStr">
        <is>
          <t>Amazon AWS IAD A</t>
        </is>
      </c>
      <c r="D190" t="inlineStr">
        <is>
          <t>Under Construction</t>
        </is>
      </c>
      <c r="E190" t="inlineStr">
        <is>
          <t>Project Gainesville</t>
        </is>
      </c>
      <c r="F190" t="inlineStr">
        <is>
          <t>REZ1958-0021</t>
        </is>
      </c>
      <c r="G190" t="inlineStr">
        <is>
          <t>7497-41-7199</t>
        </is>
      </c>
      <c r="H190" t="inlineStr">
        <is>
          <t>7725 DEACON FALLS DR</t>
        </is>
      </c>
      <c r="I190" t="n">
        <v>258716</v>
      </c>
      <c r="K190" t="inlineStr">
        <is>
          <t>REZ1958-0021</t>
        </is>
      </c>
      <c r="L190" t="inlineStr">
        <is>
          <t>BLD2022-05922</t>
        </is>
      </c>
      <c r="M190" t="inlineStr">
        <is>
          <t>Issued</t>
        </is>
      </c>
      <c r="O190" t="inlineStr">
        <is>
          <t>2026-07-17</t>
        </is>
      </c>
      <c r="P190" t="n">
        <v>77</v>
      </c>
      <c r="Q190" t="inlineStr">
        <is>
          <t>https://gisweb.pwcva.gov/arcgis/rest/services/Planning/Build_Out_Analysis/MapServer/9/77?f=html</t>
        </is>
      </c>
      <c r="R190" t="inlineStr">
        <is>
          <t>Under Construction</t>
        </is>
      </c>
    </row>
    <row r="191">
      <c r="A191" t="n">
        <v>190</v>
      </c>
      <c r="B191" t="n">
        <v>190</v>
      </c>
      <c r="C191" t="inlineStr">
        <is>
          <t>Amazon AWS IAD B</t>
        </is>
      </c>
      <c r="D191" t="inlineStr">
        <is>
          <t>Under Construction</t>
        </is>
      </c>
      <c r="E191" t="inlineStr">
        <is>
          <t>Project Gainesville</t>
        </is>
      </c>
      <c r="F191" t="inlineStr">
        <is>
          <t>REZ1958-0021</t>
        </is>
      </c>
      <c r="G191" t="inlineStr">
        <is>
          <t>7497-41-7199</t>
        </is>
      </c>
      <c r="H191" t="inlineStr">
        <is>
          <t>7751 DEACON FALLS DR</t>
        </is>
      </c>
      <c r="I191" t="n">
        <v>248483</v>
      </c>
      <c r="K191" t="inlineStr">
        <is>
          <t>REZ1958-0021</t>
        </is>
      </c>
      <c r="L191" t="inlineStr">
        <is>
          <t>BLD2024-05622</t>
        </is>
      </c>
      <c r="M191" t="inlineStr">
        <is>
          <t>Issued</t>
        </is>
      </c>
      <c r="O191" t="inlineStr">
        <is>
          <t>2026-07-13</t>
        </is>
      </c>
      <c r="P191" t="n">
        <v>111</v>
      </c>
      <c r="Q191" t="inlineStr">
        <is>
          <t>https://gisweb.pwcva.gov/arcgis/rest/services/Planning/Build_Out_Analysis/MapServer/9/111?f=html</t>
        </is>
      </c>
      <c r="R191" t="inlineStr">
        <is>
          <t>Under Construction</t>
        </is>
      </c>
    </row>
    <row r="192">
      <c r="A192" t="n">
        <v>191</v>
      </c>
      <c r="B192" t="n">
        <v>191</v>
      </c>
      <c r="C192" t="inlineStr">
        <is>
          <t>Amazon AWS IAD C</t>
        </is>
      </c>
      <c r="D192" t="inlineStr">
        <is>
          <t>Under Construction</t>
        </is>
      </c>
      <c r="E192" t="inlineStr">
        <is>
          <t>Project Gainesville</t>
        </is>
      </c>
      <c r="F192" t="inlineStr">
        <is>
          <t>REZ1958-0021</t>
        </is>
      </c>
      <c r="G192" t="inlineStr">
        <is>
          <t>7497-41-7199</t>
        </is>
      </c>
      <c r="H192" t="inlineStr">
        <is>
          <t>7701 DEACON FALLS DR</t>
        </is>
      </c>
      <c r="I192" t="n">
        <v>218391</v>
      </c>
      <c r="K192" t="inlineStr">
        <is>
          <t>REZ1958-0021</t>
        </is>
      </c>
      <c r="L192" t="inlineStr">
        <is>
          <t>BLD2026-00592</t>
        </is>
      </c>
      <c r="M192" t="inlineStr">
        <is>
          <t>Issued</t>
        </is>
      </c>
      <c r="O192" t="inlineStr">
        <is>
          <t>2026-07-13</t>
        </is>
      </c>
      <c r="P192" t="n">
        <v>112</v>
      </c>
      <c r="Q192" t="inlineStr">
        <is>
          <t>https://gisweb.pwcva.gov/arcgis/rest/services/Planning/Build_Out_Analysis/MapServer/9/112?f=html</t>
        </is>
      </c>
      <c r="R192" t="inlineStr">
        <is>
          <t>Under Construction</t>
        </is>
      </c>
    </row>
    <row r="193">
      <c r="A193" t="n">
        <v>192</v>
      </c>
      <c r="B193" t="n">
        <v>192</v>
      </c>
      <c r="C193" t="inlineStr">
        <is>
          <t>Amazon AWS IAD D</t>
        </is>
      </c>
      <c r="D193" t="inlineStr">
        <is>
          <t>Under Construction</t>
        </is>
      </c>
      <c r="E193" t="inlineStr">
        <is>
          <t>Project Gainesville</t>
        </is>
      </c>
      <c r="F193" t="inlineStr">
        <is>
          <t>REZ1958-0021</t>
        </is>
      </c>
      <c r="G193" t="inlineStr">
        <is>
          <t>7497-41-7199</t>
        </is>
      </c>
      <c r="H193" t="inlineStr">
        <is>
          <t>7675 DEACON FALLS DR</t>
        </is>
      </c>
      <c r="I193" t="n">
        <v>218391</v>
      </c>
      <c r="K193" t="inlineStr">
        <is>
          <t>REZ1958-0021</t>
        </is>
      </c>
      <c r="L193" t="inlineStr">
        <is>
          <t>BLD2026-00593</t>
        </is>
      </c>
      <c r="M193" t="inlineStr">
        <is>
          <t>Issued</t>
        </is>
      </c>
      <c r="O193" t="inlineStr">
        <is>
          <t>2026-08-06</t>
        </is>
      </c>
      <c r="P193" t="n">
        <v>113</v>
      </c>
      <c r="Q193" t="inlineStr">
        <is>
          <t>https://gisweb.pwcva.gov/arcgis/rest/services/Planning/Build_Out_Analysis/MapServer/9/113?f=html</t>
        </is>
      </c>
      <c r="R193" t="inlineStr">
        <is>
          <t>Under Construction</t>
        </is>
      </c>
    </row>
    <row r="194">
      <c r="A194" t="n">
        <v>193</v>
      </c>
      <c r="B194" t="n">
        <v>193</v>
      </c>
      <c r="C194" t="inlineStr">
        <is>
          <t>Project Gulfstream Bldg A</t>
        </is>
      </c>
      <c r="D194" t="inlineStr">
        <is>
          <t>Planned</t>
        </is>
      </c>
      <c r="E194" t="inlineStr">
        <is>
          <t>Project Gulfstream</t>
        </is>
      </c>
      <c r="F194" t="inlineStr">
        <is>
          <t>REZ1987-0021</t>
        </is>
      </c>
      <c r="G194" t="inlineStr">
        <is>
          <t>7694-69-8742</t>
        </is>
      </c>
      <c r="H194" t="inlineStr">
        <is>
          <t>10250 HARRY J PARRISH BLVD</t>
        </is>
      </c>
      <c r="I194" t="n">
        <v>373800</v>
      </c>
      <c r="K194" t="inlineStr">
        <is>
          <t>REZ1987-0021</t>
        </is>
      </c>
      <c r="M194" t="inlineStr">
        <is>
          <t>Planned</t>
        </is>
      </c>
      <c r="O194" t="inlineStr">
        <is>
          <t>2026-08-14</t>
        </is>
      </c>
      <c r="P194" t="n">
        <v>210</v>
      </c>
      <c r="Q194" t="inlineStr">
        <is>
          <t>https://gisweb.pwcva.gov/arcgis/rest/services/Planning/Build_Out_Analysis/MapServer/9/210?f=html</t>
        </is>
      </c>
      <c r="R194" t="inlineStr">
        <is>
          <t>Planned</t>
        </is>
      </c>
    </row>
    <row r="195">
      <c r="A195" t="n">
        <v>194</v>
      </c>
      <c r="B195" t="n">
        <v>194</v>
      </c>
      <c r="C195" t="inlineStr">
        <is>
          <t>Project Gulfstream Bldg B</t>
        </is>
      </c>
      <c r="D195" t="inlineStr">
        <is>
          <t>Planned</t>
        </is>
      </c>
      <c r="E195" t="inlineStr">
        <is>
          <t>Project Gulfstream</t>
        </is>
      </c>
      <c r="F195" t="inlineStr">
        <is>
          <t>REZ1987-0021</t>
        </is>
      </c>
      <c r="G195" t="inlineStr">
        <is>
          <t>7694-78-6585</t>
        </is>
      </c>
      <c r="H195" t="inlineStr">
        <is>
          <t>10230 HARRY J PARRISH BLVD</t>
        </is>
      </c>
      <c r="I195" t="n">
        <v>292750</v>
      </c>
      <c r="K195" t="inlineStr">
        <is>
          <t>REZ1987-0021</t>
        </is>
      </c>
      <c r="M195" t="inlineStr">
        <is>
          <t>Planned</t>
        </is>
      </c>
      <c r="O195" t="inlineStr">
        <is>
          <t>2026-08-14</t>
        </is>
      </c>
      <c r="P195" t="n">
        <v>208</v>
      </c>
      <c r="Q195" t="inlineStr">
        <is>
          <t>https://gisweb.pwcva.gov/arcgis/rest/services/Planning/Build_Out_Analysis/MapServer/9/208?f=html</t>
        </is>
      </c>
      <c r="R195" t="inlineStr">
        <is>
          <t>Planned</t>
        </is>
      </c>
    </row>
    <row r="196">
      <c r="A196" t="n">
        <v>195</v>
      </c>
      <c r="B196" t="n">
        <v>195</v>
      </c>
      <c r="C196" t="inlineStr">
        <is>
          <t>Project Gulfstream Bldg C</t>
        </is>
      </c>
      <c r="D196" t="inlineStr">
        <is>
          <t>Planned</t>
        </is>
      </c>
      <c r="E196" t="inlineStr">
        <is>
          <t>Project Gulfstream</t>
        </is>
      </c>
      <c r="F196" t="inlineStr">
        <is>
          <t>REZ1987-0021</t>
        </is>
      </c>
      <c r="G196" t="inlineStr">
        <is>
          <t>7694-68-7035</t>
        </is>
      </c>
      <c r="H196" t="inlineStr">
        <is>
          <t>10231 HARRY J PARRISH BLVD</t>
        </is>
      </c>
      <c r="I196" t="n">
        <v>283790</v>
      </c>
      <c r="K196" t="inlineStr">
        <is>
          <t>REZ1987-0021</t>
        </is>
      </c>
      <c r="M196" t="inlineStr">
        <is>
          <t>Planned</t>
        </is>
      </c>
      <c r="O196" t="inlineStr">
        <is>
          <t>2026-08-14</t>
        </is>
      </c>
      <c r="P196" t="n">
        <v>209</v>
      </c>
      <c r="Q196" t="inlineStr">
        <is>
          <t>https://gisweb.pwcva.gov/arcgis/rest/services/Planning/Build_Out_Analysis/MapServer/9/209?f=html</t>
        </is>
      </c>
      <c r="R196" t="inlineStr">
        <is>
          <t>Planned</t>
        </is>
      </c>
    </row>
    <row r="197">
      <c r="A197" t="n">
        <v>196</v>
      </c>
      <c r="B197" t="n">
        <v>196</v>
      </c>
      <c r="C197" t="inlineStr">
        <is>
          <t>Project Gulfstream Bldg D</t>
        </is>
      </c>
      <c r="D197" t="inlineStr">
        <is>
          <t>Planned</t>
        </is>
      </c>
      <c r="E197" t="inlineStr">
        <is>
          <t>Project Gulfstream</t>
        </is>
      </c>
      <c r="F197" t="inlineStr">
        <is>
          <t>REZ1987-0021</t>
        </is>
      </c>
      <c r="G197" t="inlineStr">
        <is>
          <t>7694-68-7035</t>
        </is>
      </c>
      <c r="H197" t="inlineStr">
        <is>
          <t>10231 HARRY J PARRISH BLVD</t>
        </is>
      </c>
      <c r="I197" t="n">
        <v>287680</v>
      </c>
      <c r="K197" t="inlineStr">
        <is>
          <t>REZ1987-0021</t>
        </is>
      </c>
      <c r="M197" t="inlineStr">
        <is>
          <t>Planned</t>
        </is>
      </c>
      <c r="O197" t="inlineStr">
        <is>
          <t>2026-08-14</t>
        </is>
      </c>
      <c r="P197" t="n">
        <v>679</v>
      </c>
      <c r="Q197" t="inlineStr">
        <is>
          <t>https://gisweb.pwcva.gov/arcgis/rest/services/Planning/Build_Out_Analysis/MapServer/9/679?f=html</t>
        </is>
      </c>
      <c r="R197" t="inlineStr">
        <is>
          <t>Planned</t>
        </is>
      </c>
    </row>
    <row r="198">
      <c r="A198" t="n">
        <v>197</v>
      </c>
      <c r="B198" t="n">
        <v>197</v>
      </c>
      <c r="C198" t="inlineStr">
        <is>
          <t>Project Industry A</t>
        </is>
      </c>
      <c r="D198" t="inlineStr">
        <is>
          <t>Pending</t>
        </is>
      </c>
      <c r="E198" t="inlineStr">
        <is>
          <t>Project Industry</t>
        </is>
      </c>
      <c r="F198" t="inlineStr">
        <is>
          <t>REZ2025-00003</t>
        </is>
      </c>
      <c r="G198" t="inlineStr">
        <is>
          <t>7496-58-4088</t>
        </is>
      </c>
      <c r="H198" t="inlineStr">
        <is>
          <t>8021 INDUSTRIAL PARK CT</t>
        </is>
      </c>
      <c r="I198" t="n">
        <v>171758</v>
      </c>
      <c r="K198" t="inlineStr">
        <is>
          <t>REZ2025-00003</t>
        </is>
      </c>
      <c r="M198" t="inlineStr">
        <is>
          <t>Planned</t>
        </is>
      </c>
      <c r="O198" t="inlineStr">
        <is>
          <t>2026-05-05</t>
        </is>
      </c>
      <c r="P198" t="n">
        <v>206</v>
      </c>
      <c r="Q198" t="inlineStr">
        <is>
          <t>https://gisweb.pwcva.gov/arcgis/rest/services/Planning/Build_Out_Analysis/MapServer/9/206?f=html</t>
        </is>
      </c>
      <c r="R198" t="inlineStr">
        <is>
          <t>Pending</t>
        </is>
      </c>
    </row>
    <row r="199">
      <c r="A199" t="n">
        <v>198</v>
      </c>
      <c r="B199" t="n">
        <v>198</v>
      </c>
      <c r="C199" t="inlineStr">
        <is>
          <t>Project Industry B</t>
        </is>
      </c>
      <c r="D199" t="inlineStr">
        <is>
          <t>Pending</t>
        </is>
      </c>
      <c r="E199" t="inlineStr">
        <is>
          <t>Project Industry</t>
        </is>
      </c>
      <c r="F199" t="inlineStr">
        <is>
          <t>REZ2025-00003</t>
        </is>
      </c>
      <c r="G199" t="inlineStr">
        <is>
          <t>7496-58-0951</t>
        </is>
      </c>
      <c r="H199" t="inlineStr">
        <is>
          <t>8010 INDUSTRIAL PARK CT</t>
        </is>
      </c>
      <c r="I199" t="n">
        <v>171758</v>
      </c>
      <c r="K199" t="inlineStr">
        <is>
          <t>REZ2025-00003</t>
        </is>
      </c>
      <c r="M199" t="inlineStr">
        <is>
          <t>Planned</t>
        </is>
      </c>
      <c r="O199" t="inlineStr">
        <is>
          <t>2026-05-05</t>
        </is>
      </c>
      <c r="P199" t="n">
        <v>207</v>
      </c>
      <c r="Q199" t="inlineStr">
        <is>
          <t>https://gisweb.pwcva.gov/arcgis/rest/services/Planning/Build_Out_Analysis/MapServer/9/207?f=html</t>
        </is>
      </c>
      <c r="R199" t="inlineStr">
        <is>
          <t>Pending</t>
        </is>
      </c>
    </row>
    <row r="200">
      <c r="A200" t="n">
        <v>199</v>
      </c>
      <c r="B200" t="n">
        <v>199</v>
      </c>
      <c r="C200" t="inlineStr">
        <is>
          <t>Project Well A</t>
        </is>
      </c>
      <c r="D200" t="inlineStr">
        <is>
          <t>Planned</t>
        </is>
      </c>
      <c r="E200" t="inlineStr">
        <is>
          <t>Project Well</t>
        </is>
      </c>
      <c r="F200" t="inlineStr">
        <is>
          <t>REZ1979-0021</t>
        </is>
      </c>
      <c r="G200" t="inlineStr">
        <is>
          <t>7596-08-1375</t>
        </is>
      </c>
      <c r="H200" t="inlineStr">
        <is>
          <t>6894 WELLINGTON RD</t>
        </is>
      </c>
      <c r="I200" t="n">
        <v>245485</v>
      </c>
      <c r="K200" t="inlineStr">
        <is>
          <t>REZ2025-00026</t>
        </is>
      </c>
      <c r="M200" t="inlineStr">
        <is>
          <t>Planned</t>
        </is>
      </c>
      <c r="O200" t="inlineStr">
        <is>
          <t>2026-07-13</t>
        </is>
      </c>
      <c r="P200" t="n">
        <v>160</v>
      </c>
      <c r="Q200" t="inlineStr">
        <is>
          <t>https://gisweb.pwcva.gov/arcgis/rest/services/Planning/Build_Out_Analysis/MapServer/9/160?f=html</t>
        </is>
      </c>
      <c r="R200" t="inlineStr">
        <is>
          <t>Planned</t>
        </is>
      </c>
    </row>
    <row r="201">
      <c r="A201" t="n">
        <v>200</v>
      </c>
      <c r="B201" t="n">
        <v>200</v>
      </c>
      <c r="C201" t="inlineStr">
        <is>
          <t>Project Well B</t>
        </is>
      </c>
      <c r="D201" t="inlineStr">
        <is>
          <t>Planned</t>
        </is>
      </c>
      <c r="E201" t="inlineStr">
        <is>
          <t>Project Well</t>
        </is>
      </c>
      <c r="F201" t="inlineStr">
        <is>
          <t>REZ1979-0021</t>
        </is>
      </c>
      <c r="G201" t="inlineStr">
        <is>
          <t>7496-97-8786</t>
        </is>
      </c>
      <c r="H201" t="inlineStr">
        <is>
          <t>6898 WELLINGTON RD</t>
        </is>
      </c>
      <c r="I201" t="n">
        <v>245485</v>
      </c>
      <c r="K201" t="inlineStr">
        <is>
          <t>REZ2025-00026</t>
        </is>
      </c>
      <c r="M201" t="inlineStr">
        <is>
          <t>Planned</t>
        </is>
      </c>
      <c r="O201" t="inlineStr">
        <is>
          <t>2026-07-13</t>
        </is>
      </c>
      <c r="P201" t="n">
        <v>161</v>
      </c>
      <c r="Q201" t="inlineStr">
        <is>
          <t>https://gisweb.pwcva.gov/arcgis/rest/services/Planning/Build_Out_Analysis/MapServer/9/161?f=html</t>
        </is>
      </c>
      <c r="R201" t="inlineStr">
        <is>
          <t>Planned</t>
        </is>
      </c>
    </row>
    <row r="202">
      <c r="A202" t="n">
        <v>201</v>
      </c>
      <c r="B202" t="n">
        <v>201</v>
      </c>
      <c r="C202" t="inlineStr">
        <is>
          <t>QTS Manassas DC1</t>
        </is>
      </c>
      <c r="D202" t="inlineStr">
        <is>
          <t>Completed</t>
        </is>
      </c>
      <c r="E202" t="inlineStr">
        <is>
          <t>QTS Manassas 1</t>
        </is>
      </c>
      <c r="F202" t="inlineStr">
        <is>
          <t>REZ1980-0030</t>
        </is>
      </c>
      <c r="G202" t="inlineStr">
        <is>
          <t>7695-48-1668</t>
        </is>
      </c>
      <c r="H202" t="inlineStr">
        <is>
          <t>9400 GODWIN DR</t>
        </is>
      </c>
      <c r="I202" t="n">
        <v>127000</v>
      </c>
      <c r="J202" t="n">
        <v>2019</v>
      </c>
      <c r="K202" t="inlineStr">
        <is>
          <t>REZ1980-0030</t>
        </is>
      </c>
      <c r="L202" t="inlineStr">
        <is>
          <t>BLD2018-06634</t>
        </is>
      </c>
      <c r="M202" t="inlineStr">
        <is>
          <t>Finaled</t>
        </is>
      </c>
      <c r="N202" t="inlineStr">
        <is>
          <t>2019-03-27</t>
        </is>
      </c>
      <c r="O202" t="inlineStr">
        <is>
          <t>2026-07-29</t>
        </is>
      </c>
      <c r="P202" t="n">
        <v>23</v>
      </c>
      <c r="Q202" t="inlineStr">
        <is>
          <t>https://gisweb.pwcva.gov/arcgis/rest/services/Planning/Build_Out_Analysis/MapServer/9/23?f=html</t>
        </is>
      </c>
      <c r="R202" t="inlineStr">
        <is>
          <t>Completed</t>
        </is>
      </c>
    </row>
    <row r="203">
      <c r="A203" t="n">
        <v>202</v>
      </c>
      <c r="B203" t="n">
        <v>202</v>
      </c>
      <c r="C203" t="inlineStr">
        <is>
          <t>QTS Manassas DC2</t>
        </is>
      </c>
      <c r="D203" t="inlineStr">
        <is>
          <t>Completed</t>
        </is>
      </c>
      <c r="E203" t="inlineStr">
        <is>
          <t>QTS Manassas 1</t>
        </is>
      </c>
      <c r="F203" t="inlineStr">
        <is>
          <t>REZ1980-0030</t>
        </is>
      </c>
      <c r="G203" t="inlineStr">
        <is>
          <t>7695-48-5650</t>
        </is>
      </c>
      <c r="H203" t="inlineStr">
        <is>
          <t>9420 GODWIN DR</t>
        </is>
      </c>
      <c r="I203" t="n">
        <v>136228</v>
      </c>
      <c r="J203" t="n">
        <v>2025</v>
      </c>
      <c r="K203" t="inlineStr">
        <is>
          <t>REZ1980-0030</t>
        </is>
      </c>
      <c r="L203" t="inlineStr">
        <is>
          <t>BLD2023-04643</t>
        </is>
      </c>
      <c r="M203" t="inlineStr">
        <is>
          <t>Finaled</t>
        </is>
      </c>
      <c r="N203" t="inlineStr">
        <is>
          <t>2025-12-28</t>
        </is>
      </c>
      <c r="O203" t="inlineStr">
        <is>
          <t>2026-07-29</t>
        </is>
      </c>
      <c r="P203" t="n">
        <v>25</v>
      </c>
      <c r="Q203" t="inlineStr">
        <is>
          <t>https://gisweb.pwcva.gov/arcgis/rest/services/Planning/Build_Out_Analysis/MapServer/9/25?f=html</t>
        </is>
      </c>
      <c r="R203" t="inlineStr">
        <is>
          <t>Completed</t>
        </is>
      </c>
    </row>
    <row r="204">
      <c r="A204" t="n">
        <v>203</v>
      </c>
      <c r="B204" t="n">
        <v>203</v>
      </c>
      <c r="C204" t="inlineStr">
        <is>
          <t>QTS Manassas DC3</t>
        </is>
      </c>
      <c r="D204" t="inlineStr">
        <is>
          <t>Completed</t>
        </is>
      </c>
      <c r="E204" t="inlineStr">
        <is>
          <t>QTS Manassas 1</t>
        </is>
      </c>
      <c r="F204" t="inlineStr">
        <is>
          <t>REZ1980-0030</t>
        </is>
      </c>
      <c r="G204" t="inlineStr">
        <is>
          <t>7695-58-1491</t>
        </is>
      </c>
      <c r="H204" t="inlineStr">
        <is>
          <t>9450 GODWIN DR</t>
        </is>
      </c>
      <c r="I204" t="n">
        <v>269091</v>
      </c>
      <c r="J204" t="n">
        <v>2024</v>
      </c>
      <c r="K204" t="inlineStr">
        <is>
          <t>REZ1980-0030</t>
        </is>
      </c>
      <c r="L204" t="inlineStr">
        <is>
          <t>BLD2022-06119</t>
        </is>
      </c>
      <c r="M204" t="inlineStr">
        <is>
          <t>Finaled</t>
        </is>
      </c>
      <c r="N204" t="inlineStr">
        <is>
          <t>2024-07-10</t>
        </is>
      </c>
      <c r="O204" t="inlineStr">
        <is>
          <t>2026-07-29</t>
        </is>
      </c>
      <c r="P204" t="n">
        <v>24</v>
      </c>
      <c r="Q204" t="inlineStr">
        <is>
          <t>https://gisweb.pwcva.gov/arcgis/rest/services/Planning/Build_Out_Analysis/MapServer/9/24?f=html</t>
        </is>
      </c>
      <c r="R204" t="inlineStr">
        <is>
          <t>Completed</t>
        </is>
      </c>
    </row>
    <row r="205">
      <c r="A205" t="n">
        <v>204</v>
      </c>
      <c r="B205" t="n">
        <v>204</v>
      </c>
      <c r="C205" t="inlineStr">
        <is>
          <t>QTS Manassas DC4</t>
        </is>
      </c>
      <c r="D205" t="inlineStr">
        <is>
          <t>Under Construction</t>
        </is>
      </c>
      <c r="E205" t="inlineStr">
        <is>
          <t>QTS Manassas 1</t>
        </is>
      </c>
      <c r="F205" t="inlineStr">
        <is>
          <t>REZ1980-0030</t>
        </is>
      </c>
      <c r="G205" t="inlineStr">
        <is>
          <t>7695-38-4851</t>
        </is>
      </c>
      <c r="H205" t="inlineStr">
        <is>
          <t>9351 FREEDOM CENTER BLVD</t>
        </is>
      </c>
      <c r="I205" t="n">
        <v>315862</v>
      </c>
      <c r="K205" t="inlineStr">
        <is>
          <t>REZ2023-00002</t>
        </is>
      </c>
      <c r="L205" t="inlineStr">
        <is>
          <t>BLD2025-03459</t>
        </is>
      </c>
      <c r="M205" t="inlineStr">
        <is>
          <t>Issued</t>
        </is>
      </c>
      <c r="O205" t="inlineStr">
        <is>
          <t>2026-07-29</t>
        </is>
      </c>
      <c r="P205" t="n">
        <v>26</v>
      </c>
      <c r="Q205" t="inlineStr">
        <is>
          <t>https://gisweb.pwcva.gov/arcgis/rest/services/Planning/Build_Out_Analysis/MapServer/9/26?f=html</t>
        </is>
      </c>
      <c r="R205" t="inlineStr">
        <is>
          <t>Under Construction</t>
        </is>
      </c>
    </row>
    <row r="206">
      <c r="A206" t="n">
        <v>205</v>
      </c>
      <c r="B206" t="n">
        <v>205</v>
      </c>
      <c r="C206" t="inlineStr">
        <is>
          <t>QTS Manassas DC5</t>
        </is>
      </c>
      <c r="D206" t="inlineStr">
        <is>
          <t>Completed</t>
        </is>
      </c>
      <c r="E206" t="inlineStr">
        <is>
          <t>QTS Manassas 1</t>
        </is>
      </c>
      <c r="F206" t="inlineStr">
        <is>
          <t>REZ1980-0030</t>
        </is>
      </c>
      <c r="G206" t="inlineStr">
        <is>
          <t>7695-39-0644</t>
        </is>
      </c>
      <c r="H206" t="inlineStr">
        <is>
          <t>9301 FREEDOM CENTER BLVD</t>
        </is>
      </c>
      <c r="I206" t="n">
        <v>308486</v>
      </c>
      <c r="J206" t="n">
        <v>2023</v>
      </c>
      <c r="L206" t="inlineStr">
        <is>
          <t>BLD2021-04300</t>
        </is>
      </c>
      <c r="M206" t="inlineStr">
        <is>
          <t>Finaled</t>
        </is>
      </c>
      <c r="N206" t="inlineStr">
        <is>
          <t>2023-04-27</t>
        </is>
      </c>
      <c r="O206" t="inlineStr">
        <is>
          <t>2026-08-21</t>
        </is>
      </c>
      <c r="P206" t="n">
        <v>22</v>
      </c>
      <c r="Q206" t="inlineStr">
        <is>
          <t>https://gisweb.pwcva.gov/arcgis/rest/services/Planning/Build_Out_Analysis/MapServer/9/22?f=html</t>
        </is>
      </c>
      <c r="R206" t="inlineStr">
        <is>
          <t>Completed</t>
        </is>
      </c>
    </row>
    <row r="207">
      <c r="A207" t="n">
        <v>206</v>
      </c>
      <c r="B207" t="n">
        <v>206</v>
      </c>
      <c r="C207" t="inlineStr">
        <is>
          <t>QTS Manassas DC6</t>
        </is>
      </c>
      <c r="D207" t="inlineStr">
        <is>
          <t>Under Construction</t>
        </is>
      </c>
      <c r="E207" t="inlineStr">
        <is>
          <t>QTS Manassas 1</t>
        </is>
      </c>
      <c r="F207" t="inlineStr">
        <is>
          <t>REZ1980-0030</t>
        </is>
      </c>
      <c r="G207" t="inlineStr">
        <is>
          <t>7695-47-3376</t>
        </is>
      </c>
      <c r="H207" t="inlineStr">
        <is>
          <t>9540 GODWIN DR</t>
        </is>
      </c>
      <c r="I207" t="n">
        <v>199720</v>
      </c>
      <c r="K207" t="inlineStr">
        <is>
          <t>REZ2020-00019</t>
        </is>
      </c>
      <c r="L207" t="inlineStr">
        <is>
          <t>BLD2024-06788</t>
        </is>
      </c>
      <c r="M207" t="inlineStr">
        <is>
          <t>Issued</t>
        </is>
      </c>
      <c r="O207" t="inlineStr">
        <is>
          <t>2026-07-29</t>
        </is>
      </c>
      <c r="P207" t="n">
        <v>21</v>
      </c>
      <c r="Q207" t="inlineStr">
        <is>
          <t>https://gisweb.pwcva.gov/arcgis/rest/services/Planning/Build_Out_Analysis/MapServer/9/21?f=html</t>
        </is>
      </c>
      <c r="R207" t="inlineStr">
        <is>
          <t>Under Construction</t>
        </is>
      </c>
    </row>
    <row r="208">
      <c r="A208" t="n">
        <v>207</v>
      </c>
      <c r="B208" t="n">
        <v>207</v>
      </c>
      <c r="C208" t="inlineStr">
        <is>
          <t>Redstone 3</t>
        </is>
      </c>
      <c r="D208" t="inlineStr">
        <is>
          <t>Planned</t>
        </is>
      </c>
      <c r="E208" t="inlineStr">
        <is>
          <t>Redstone Tech Park Central</t>
        </is>
      </c>
      <c r="F208" t="inlineStr">
        <is>
          <t>REZ1994-0013</t>
        </is>
      </c>
      <c r="G208" t="inlineStr">
        <is>
          <t>7595-67-8821</t>
        </is>
      </c>
      <c r="H208" t="inlineStr">
        <is>
          <t>9651 HAWKINS DR MANASSAS, VA 20109</t>
        </is>
      </c>
      <c r="I208" t="n">
        <v>14387</v>
      </c>
      <c r="K208" t="inlineStr">
        <is>
          <t>REZ1994-0013</t>
        </is>
      </c>
      <c r="M208" t="inlineStr">
        <is>
          <t>Planned</t>
        </is>
      </c>
      <c r="O208" t="inlineStr">
        <is>
          <t>2026-04-21</t>
        </is>
      </c>
      <c r="P208" t="n">
        <v>231</v>
      </c>
      <c r="Q208" t="inlineStr">
        <is>
          <t>https://gisweb.pwcva.gov/arcgis/rest/services/Planning/Build_Out_Analysis/MapServer/9/231?f=html</t>
        </is>
      </c>
      <c r="R208" t="inlineStr">
        <is>
          <t>Planned</t>
        </is>
      </c>
    </row>
    <row r="209">
      <c r="A209" t="n">
        <v>208</v>
      </c>
      <c r="B209" t="n">
        <v>208</v>
      </c>
      <c r="C209" t="inlineStr">
        <is>
          <t>Redstone 4</t>
        </is>
      </c>
      <c r="D209" t="inlineStr">
        <is>
          <t>Planned</t>
        </is>
      </c>
      <c r="E209" t="inlineStr">
        <is>
          <t>Redstone Tech Park Central</t>
        </is>
      </c>
      <c r="F209" t="inlineStr">
        <is>
          <t>REZ1994-0013</t>
        </is>
      </c>
      <c r="G209" t="inlineStr">
        <is>
          <t>7595-67-8821</t>
        </is>
      </c>
      <c r="H209" t="inlineStr">
        <is>
          <t>9651 HAWKINS DR MANASSAS, VA 20109</t>
        </is>
      </c>
      <c r="I209" t="n">
        <v>14387</v>
      </c>
      <c r="K209" t="inlineStr">
        <is>
          <t>REZ1994-0013</t>
        </is>
      </c>
      <c r="M209" t="inlineStr">
        <is>
          <t>Planned</t>
        </is>
      </c>
      <c r="O209" t="inlineStr">
        <is>
          <t>2026-04-21</t>
        </is>
      </c>
      <c r="P209" t="n">
        <v>232</v>
      </c>
      <c r="Q209" t="inlineStr">
        <is>
          <t>https://gisweb.pwcva.gov/arcgis/rest/services/Planning/Build_Out_Analysis/MapServer/9/232?f=html</t>
        </is>
      </c>
      <c r="R209" t="inlineStr">
        <is>
          <t>Planned</t>
        </is>
      </c>
    </row>
    <row r="210">
      <c r="A210" t="n">
        <v>209</v>
      </c>
      <c r="B210" t="n">
        <v>209</v>
      </c>
      <c r="C210" t="inlineStr">
        <is>
          <t>Redstone Tech Park North A</t>
        </is>
      </c>
      <c r="D210" t="inlineStr">
        <is>
          <t>Planned</t>
        </is>
      </c>
      <c r="E210" t="inlineStr">
        <is>
          <t>Redstone Tech Park North</t>
        </is>
      </c>
      <c r="F210" t="inlineStr">
        <is>
          <t>PLN2008-00253</t>
        </is>
      </c>
      <c r="G210" t="inlineStr">
        <is>
          <t>7595-69-2565</t>
        </is>
      </c>
      <c r="H210" t="inlineStr">
        <is>
          <t>11140 INDUSTRIAL RD</t>
        </is>
      </c>
      <c r="I210" t="n">
        <v>270000</v>
      </c>
      <c r="K210" t="inlineStr">
        <is>
          <t>PLN2008-00253</t>
        </is>
      </c>
      <c r="M210" t="inlineStr">
        <is>
          <t>Planned</t>
        </is>
      </c>
      <c r="O210" t="inlineStr">
        <is>
          <t>2026-04-21</t>
        </is>
      </c>
      <c r="P210" t="n">
        <v>239</v>
      </c>
      <c r="Q210" t="inlineStr">
        <is>
          <t>https://gisweb.pwcva.gov/arcgis/rest/services/Planning/Build_Out_Analysis/MapServer/9/239?f=html</t>
        </is>
      </c>
      <c r="R210" t="inlineStr">
        <is>
          <t>Planned</t>
        </is>
      </c>
    </row>
    <row r="211">
      <c r="A211" t="n">
        <v>210</v>
      </c>
      <c r="B211" t="n">
        <v>210</v>
      </c>
      <c r="C211" t="inlineStr">
        <is>
          <t>Redstone Tech Park North B</t>
        </is>
      </c>
      <c r="D211" t="inlineStr">
        <is>
          <t>Planned</t>
        </is>
      </c>
      <c r="E211" t="inlineStr">
        <is>
          <t>Redstone Tech Park North</t>
        </is>
      </c>
      <c r="F211" t="inlineStr">
        <is>
          <t>PLN2008-00253</t>
        </is>
      </c>
      <c r="G211" t="inlineStr">
        <is>
          <t>7595-69-2101</t>
        </is>
      </c>
      <c r="H211" t="inlineStr">
        <is>
          <t>11144 INDUSTRIAL RD</t>
        </is>
      </c>
      <c r="I211" t="n">
        <v>405000</v>
      </c>
      <c r="K211" t="inlineStr">
        <is>
          <t>REZ1985-0048</t>
        </is>
      </c>
      <c r="M211" t="inlineStr">
        <is>
          <t>Planned</t>
        </is>
      </c>
      <c r="O211" t="inlineStr">
        <is>
          <t>2026-04-21</t>
        </is>
      </c>
      <c r="P211" t="n">
        <v>238</v>
      </c>
      <c r="Q211" t="inlineStr">
        <is>
          <t>https://gisweb.pwcva.gov/arcgis/rest/services/Planning/Build_Out_Analysis/MapServer/9/238?f=html</t>
        </is>
      </c>
      <c r="R211" t="inlineStr">
        <is>
          <t>Planned</t>
        </is>
      </c>
    </row>
    <row r="212">
      <c r="A212" t="n">
        <v>211</v>
      </c>
      <c r="B212" t="n">
        <v>211</v>
      </c>
      <c r="C212" t="inlineStr">
        <is>
          <t>Redstone Tech Park North C</t>
        </is>
      </c>
      <c r="D212" t="inlineStr">
        <is>
          <t>Planned</t>
        </is>
      </c>
      <c r="E212" t="inlineStr">
        <is>
          <t>Redstone Tech Park North</t>
        </is>
      </c>
      <c r="F212" t="inlineStr">
        <is>
          <t>PLN2008-00253</t>
        </is>
      </c>
      <c r="G212" t="inlineStr">
        <is>
          <t>7595-69-4800</t>
        </is>
      </c>
      <c r="H212" t="inlineStr">
        <is>
          <t>11138 INDUSTRIAL RD</t>
        </is>
      </c>
      <c r="I212" t="n">
        <v>248665</v>
      </c>
      <c r="K212" t="inlineStr">
        <is>
          <t>REZ1996-0016</t>
        </is>
      </c>
      <c r="M212" t="inlineStr">
        <is>
          <t>Planned</t>
        </is>
      </c>
      <c r="O212" t="inlineStr">
        <is>
          <t>2026-04-21</t>
        </is>
      </c>
      <c r="P212" t="n">
        <v>237</v>
      </c>
      <c r="Q212" t="inlineStr">
        <is>
          <t>https://gisweb.pwcva.gov/arcgis/rest/services/Planning/Build_Out_Analysis/MapServer/9/237?f=html</t>
        </is>
      </c>
      <c r="R212" t="inlineStr">
        <is>
          <t>Planned</t>
        </is>
      </c>
    </row>
    <row r="213">
      <c r="A213" t="n">
        <v>212</v>
      </c>
      <c r="B213" t="n">
        <v>212</v>
      </c>
      <c r="C213" t="inlineStr">
        <is>
          <t>Redstone Tech Park North D</t>
        </is>
      </c>
      <c r="D213" t="inlineStr">
        <is>
          <t>Planned</t>
        </is>
      </c>
      <c r="E213" t="inlineStr">
        <is>
          <t>Redstone Tech Park North</t>
        </is>
      </c>
      <c r="F213" t="inlineStr">
        <is>
          <t>PLN2008-00253</t>
        </is>
      </c>
      <c r="G213" t="inlineStr">
        <is>
          <t>7595-78-0192</t>
        </is>
      </c>
      <c r="H213" t="inlineStr">
        <is>
          <t>11124 INDUSTRIAL RD</t>
        </is>
      </c>
      <c r="I213" t="n">
        <v>190336</v>
      </c>
      <c r="K213" t="inlineStr">
        <is>
          <t>REZ1996-0016</t>
        </is>
      </c>
      <c r="M213" t="inlineStr">
        <is>
          <t>Planned</t>
        </is>
      </c>
      <c r="O213" t="inlineStr">
        <is>
          <t>2026-04-21</t>
        </is>
      </c>
      <c r="P213" t="n">
        <v>236</v>
      </c>
      <c r="Q213" t="inlineStr">
        <is>
          <t>https://gisweb.pwcva.gov/arcgis/rest/services/Planning/Build_Out_Analysis/MapServer/9/236?f=html</t>
        </is>
      </c>
      <c r="R213" t="inlineStr">
        <is>
          <t>Planned</t>
        </is>
      </c>
    </row>
    <row r="214">
      <c r="A214" t="n">
        <v>213</v>
      </c>
      <c r="B214" t="n">
        <v>213</v>
      </c>
      <c r="C214" t="inlineStr">
        <is>
          <t>Redstone Tech Park North E</t>
        </is>
      </c>
      <c r="D214" t="inlineStr">
        <is>
          <t>Planned</t>
        </is>
      </c>
      <c r="E214" t="inlineStr">
        <is>
          <t>Redstone Tech Park North</t>
        </is>
      </c>
      <c r="F214" t="inlineStr">
        <is>
          <t>PLN2008-00253</t>
        </is>
      </c>
      <c r="G214" t="inlineStr">
        <is>
          <t>7595-88-0593</t>
        </is>
      </c>
      <c r="H214" t="inlineStr">
        <is>
          <t>11090 INDUSTRIAL RD</t>
        </is>
      </c>
      <c r="I214" t="n">
        <v>148500</v>
      </c>
      <c r="K214" t="inlineStr">
        <is>
          <t>REZ1996-0016</t>
        </is>
      </c>
      <c r="M214" t="inlineStr">
        <is>
          <t>Planned</t>
        </is>
      </c>
      <c r="O214" t="inlineStr">
        <is>
          <t>2026-04-21</t>
        </is>
      </c>
      <c r="P214" t="n">
        <v>235</v>
      </c>
      <c r="Q214" t="inlineStr">
        <is>
          <t>https://gisweb.pwcva.gov/arcgis/rest/services/Planning/Build_Out_Analysis/MapServer/9/235?f=html</t>
        </is>
      </c>
      <c r="R214" t="inlineStr">
        <is>
          <t>Planned</t>
        </is>
      </c>
    </row>
    <row r="215">
      <c r="A215" t="n">
        <v>214</v>
      </c>
      <c r="B215" t="n">
        <v>214</v>
      </c>
      <c r="C215" t="inlineStr">
        <is>
          <t>Redstone Tech Park South E</t>
        </is>
      </c>
      <c r="D215" t="inlineStr">
        <is>
          <t>Planned</t>
        </is>
      </c>
      <c r="E215" t="inlineStr">
        <is>
          <t>Redstone Tech Park South</t>
        </is>
      </c>
      <c r="F215" t="inlineStr">
        <is>
          <t>PLN2007-00406</t>
        </is>
      </c>
      <c r="G215" t="inlineStr">
        <is>
          <t>7595-78-4035</t>
        </is>
      </c>
      <c r="H215" t="inlineStr">
        <is>
          <t>11101 INDUSTRIAL RD</t>
        </is>
      </c>
      <c r="I215" t="n">
        <v>200785</v>
      </c>
      <c r="K215" t="inlineStr">
        <is>
          <t>REZ1998-0006</t>
        </is>
      </c>
      <c r="M215" t="inlineStr">
        <is>
          <t>Planned</t>
        </is>
      </c>
      <c r="O215" t="inlineStr">
        <is>
          <t>2026-04-17</t>
        </is>
      </c>
      <c r="P215" t="n">
        <v>225</v>
      </c>
      <c r="Q215" t="inlineStr">
        <is>
          <t>https://gisweb.pwcva.gov/arcgis/rest/services/Planning/Build_Out_Analysis/MapServer/9/225?f=html</t>
        </is>
      </c>
      <c r="R215" t="inlineStr">
        <is>
          <t>Planned</t>
        </is>
      </c>
    </row>
    <row r="216">
      <c r="A216" t="n">
        <v>215</v>
      </c>
      <c r="B216" t="n">
        <v>215</v>
      </c>
      <c r="C216" t="inlineStr">
        <is>
          <t>Redstone Tech Park South F</t>
        </is>
      </c>
      <c r="D216" t="inlineStr">
        <is>
          <t>Planned</t>
        </is>
      </c>
      <c r="E216" t="inlineStr">
        <is>
          <t>Redstone Tech Park South</t>
        </is>
      </c>
      <c r="F216" t="inlineStr">
        <is>
          <t>PLN2007-00406</t>
        </is>
      </c>
      <c r="G216" t="inlineStr">
        <is>
          <t>7595-77-5466</t>
        </is>
      </c>
      <c r="H216" t="inlineStr">
        <is>
          <t>9512 HORNBAKER RD</t>
        </is>
      </c>
      <c r="I216" t="n">
        <v>196102</v>
      </c>
      <c r="K216" t="inlineStr">
        <is>
          <t>PLN2007-00406</t>
        </is>
      </c>
      <c r="M216" t="inlineStr">
        <is>
          <t>Planned</t>
        </is>
      </c>
      <c r="O216" t="inlineStr">
        <is>
          <t>2026-04-17</t>
        </is>
      </c>
      <c r="P216" t="n">
        <v>224</v>
      </c>
      <c r="Q216" t="inlineStr">
        <is>
          <t>https://gisweb.pwcva.gov/arcgis/rest/services/Planning/Build_Out_Analysis/MapServer/9/224?f=html</t>
        </is>
      </c>
      <c r="R216" t="inlineStr">
        <is>
          <t>Planned</t>
        </is>
      </c>
    </row>
    <row r="217">
      <c r="A217" t="n">
        <v>216</v>
      </c>
      <c r="B217" t="n">
        <v>216</v>
      </c>
      <c r="C217" t="inlineStr">
        <is>
          <t>Rose East A</t>
        </is>
      </c>
      <c r="D217" t="inlineStr">
        <is>
          <t>Planned</t>
        </is>
      </c>
      <c r="E217" t="inlineStr">
        <is>
          <t>Rose East/West</t>
        </is>
      </c>
      <c r="F217" t="inlineStr">
        <is>
          <t>PLN2004-00071</t>
        </is>
      </c>
      <c r="G217" t="inlineStr">
        <is>
          <t>7596-09-7967</t>
        </is>
      </c>
      <c r="H217" t="inlineStr">
        <is>
          <t>6895 WELLINGTON RD</t>
        </is>
      </c>
      <c r="I217" t="n">
        <v>356640</v>
      </c>
      <c r="K217" t="inlineStr">
        <is>
          <t>PLN2004-00071</t>
        </is>
      </c>
      <c r="M217" t="inlineStr">
        <is>
          <t>Planned</t>
        </is>
      </c>
      <c r="O217" t="inlineStr">
        <is>
          <t>2026-04-17</t>
        </is>
      </c>
      <c r="P217" t="n">
        <v>218</v>
      </c>
      <c r="Q217" t="inlineStr">
        <is>
          <t>https://gisweb.pwcva.gov/arcgis/rest/services/Planning/Build_Out_Analysis/MapServer/9/218?f=html</t>
        </is>
      </c>
      <c r="R217" t="inlineStr">
        <is>
          <t>Planned</t>
        </is>
      </c>
    </row>
    <row r="218">
      <c r="A218" t="n">
        <v>217</v>
      </c>
      <c r="B218" t="n">
        <v>217</v>
      </c>
      <c r="C218" t="inlineStr">
        <is>
          <t>Rose East B</t>
        </is>
      </c>
      <c r="D218" t="inlineStr">
        <is>
          <t>Planned</t>
        </is>
      </c>
      <c r="E218" t="inlineStr">
        <is>
          <t>Rose East/West</t>
        </is>
      </c>
      <c r="F218" t="inlineStr">
        <is>
          <t>PLN2004-00071</t>
        </is>
      </c>
      <c r="G218" t="inlineStr">
        <is>
          <t>7596-09-7967</t>
        </is>
      </c>
      <c r="H218" t="inlineStr">
        <is>
          <t>6895 WELLINGTON RD</t>
        </is>
      </c>
      <c r="I218" t="n">
        <v>265546</v>
      </c>
      <c r="K218" t="inlineStr">
        <is>
          <t>PLN2004-00071</t>
        </is>
      </c>
      <c r="M218" t="inlineStr">
        <is>
          <t>Planned</t>
        </is>
      </c>
      <c r="O218" t="inlineStr">
        <is>
          <t>2026-04-17</t>
        </is>
      </c>
      <c r="P218" t="n">
        <v>217</v>
      </c>
      <c r="Q218" t="inlineStr">
        <is>
          <t>https://gisweb.pwcva.gov/arcgis/rest/services/Planning/Build_Out_Analysis/MapServer/9/217?f=html</t>
        </is>
      </c>
      <c r="R218" t="inlineStr">
        <is>
          <t>Planned</t>
        </is>
      </c>
    </row>
    <row r="219">
      <c r="A219" t="n">
        <v>218</v>
      </c>
      <c r="B219" t="n">
        <v>218</v>
      </c>
      <c r="C219" t="inlineStr">
        <is>
          <t>Rose West</t>
        </is>
      </c>
      <c r="D219" t="inlineStr">
        <is>
          <t>Planned</t>
        </is>
      </c>
      <c r="E219" t="inlineStr">
        <is>
          <t>Rose East/West</t>
        </is>
      </c>
      <c r="F219" t="inlineStr">
        <is>
          <t>PLN2004-00071</t>
        </is>
      </c>
      <c r="G219" t="inlineStr">
        <is>
          <t>7596-09-7967</t>
        </is>
      </c>
      <c r="H219" t="inlineStr">
        <is>
          <t xml:space="preserve">7911 MERRIFIELD GARDEN WAY MANASSAS, VA </t>
        </is>
      </c>
      <c r="I219" t="n">
        <v>246068</v>
      </c>
      <c r="K219" t="inlineStr">
        <is>
          <t>PLN2004-00071</t>
        </is>
      </c>
      <c r="M219" t="inlineStr">
        <is>
          <t>Planned</t>
        </is>
      </c>
      <c r="O219" t="inlineStr">
        <is>
          <t>2026-04-17</t>
        </is>
      </c>
      <c r="P219" t="n">
        <v>219</v>
      </c>
      <c r="Q219" t="inlineStr">
        <is>
          <t>https://gisweb.pwcva.gov/arcgis/rest/services/Planning/Build_Out_Analysis/MapServer/9/219?f=html</t>
        </is>
      </c>
      <c r="R219" t="inlineStr">
        <is>
          <t>Planned</t>
        </is>
      </c>
    </row>
    <row r="220">
      <c r="A220" t="n">
        <v>219</v>
      </c>
      <c r="B220" t="n">
        <v>219</v>
      </c>
      <c r="C220" t="inlineStr">
        <is>
          <t>Six Towers 1</t>
        </is>
      </c>
      <c r="D220" t="inlineStr">
        <is>
          <t>Pending</t>
        </is>
      </c>
      <c r="E220" t="inlineStr">
        <is>
          <t>Six Towers Industrial Park</t>
        </is>
      </c>
      <c r="F220" t="inlineStr">
        <is>
          <t>REZ2026-00019</t>
        </is>
      </c>
      <c r="G220" t="inlineStr">
        <is>
          <t>7892-50-1385</t>
        </is>
      </c>
      <c r="H220" t="inlineStr">
        <is>
          <t>7830 SIX TOWERS RD</t>
        </is>
      </c>
      <c r="I220" t="n">
        <v>472626</v>
      </c>
      <c r="K220" t="inlineStr">
        <is>
          <t>REZ2026-00019</t>
        </is>
      </c>
      <c r="M220" t="inlineStr">
        <is>
          <t>Planned</t>
        </is>
      </c>
      <c r="O220" t="inlineStr">
        <is>
          <t>2026-04-21</t>
        </is>
      </c>
      <c r="P220" t="n">
        <v>229</v>
      </c>
      <c r="Q220" t="inlineStr">
        <is>
          <t>https://gisweb.pwcva.gov/arcgis/rest/services/Planning/Build_Out_Analysis/MapServer/9/229?f=html</t>
        </is>
      </c>
      <c r="R220" t="inlineStr">
        <is>
          <t>Pending</t>
        </is>
      </c>
    </row>
    <row r="221">
      <c r="A221" t="n">
        <v>220</v>
      </c>
      <c r="B221" t="n">
        <v>220</v>
      </c>
      <c r="C221" t="inlineStr">
        <is>
          <t>Six Towers 2</t>
        </is>
      </c>
      <c r="D221" t="inlineStr">
        <is>
          <t>Pending</t>
        </is>
      </c>
      <c r="E221" t="inlineStr">
        <is>
          <t>Six Towers Industrial Park</t>
        </is>
      </c>
      <c r="F221" t="inlineStr">
        <is>
          <t>REZ2026-00019</t>
        </is>
      </c>
      <c r="G221" t="inlineStr">
        <is>
          <t>7892-50-1385</t>
        </is>
      </c>
      <c r="H221" t="inlineStr">
        <is>
          <t>7830 SIX TOWERS RD</t>
        </is>
      </c>
      <c r="I221" t="n">
        <v>472626</v>
      </c>
      <c r="K221" t="inlineStr">
        <is>
          <t>REZ2026-00019</t>
        </is>
      </c>
      <c r="M221" t="inlineStr">
        <is>
          <t>Planned</t>
        </is>
      </c>
      <c r="O221" t="inlineStr">
        <is>
          <t>2026-04-21</t>
        </is>
      </c>
      <c r="P221" t="n">
        <v>230</v>
      </c>
      <c r="Q221" t="inlineStr">
        <is>
          <t>https://gisweb.pwcva.gov/arcgis/rest/services/Planning/Build_Out_Analysis/MapServer/9/230?f=html</t>
        </is>
      </c>
      <c r="R221" t="inlineStr">
        <is>
          <t>Pending</t>
        </is>
      </c>
    </row>
    <row r="222">
      <c r="A222" t="n">
        <v>221</v>
      </c>
      <c r="B222" t="n">
        <v>221</v>
      </c>
      <c r="C222" t="inlineStr">
        <is>
          <t>South Point Phase II Building A</t>
        </is>
      </c>
      <c r="D222" t="inlineStr">
        <is>
          <t>Completed</t>
        </is>
      </c>
      <c r="E222" t="inlineStr">
        <is>
          <t>South Point Phase II</t>
        </is>
      </c>
      <c r="F222" t="inlineStr">
        <is>
          <t>REZ2020-00021</t>
        </is>
      </c>
      <c r="G222" t="inlineStr">
        <is>
          <t>7596-27-0053</t>
        </is>
      </c>
      <c r="H222" t="inlineStr">
        <is>
          <t>8300 BUCKEYE TIMBER DR</t>
        </is>
      </c>
      <c r="I222" t="n">
        <v>217934</v>
      </c>
      <c r="J222" t="n">
        <v>2026</v>
      </c>
      <c r="L222" t="inlineStr">
        <is>
          <t>BLD2024-01532</t>
        </is>
      </c>
      <c r="M222" t="inlineStr">
        <is>
          <t>Finaled</t>
        </is>
      </c>
      <c r="N222" t="inlineStr">
        <is>
          <t>2026-01-07</t>
        </is>
      </c>
      <c r="O222" t="inlineStr">
        <is>
          <t>2026-08-21</t>
        </is>
      </c>
      <c r="P222" t="n">
        <v>11</v>
      </c>
      <c r="Q222" t="inlineStr">
        <is>
          <t>https://gisweb.pwcva.gov/arcgis/rest/services/Planning/Build_Out_Analysis/MapServer/9/11?f=html</t>
        </is>
      </c>
      <c r="R222" t="inlineStr">
        <is>
          <t>Completed</t>
        </is>
      </c>
    </row>
    <row r="223">
      <c r="A223" t="n">
        <v>222</v>
      </c>
      <c r="B223" t="n">
        <v>222</v>
      </c>
      <c r="C223" t="inlineStr">
        <is>
          <t>South Point Phase II Building B</t>
        </is>
      </c>
      <c r="D223" t="inlineStr">
        <is>
          <t>Under Construction</t>
        </is>
      </c>
      <c r="E223" t="inlineStr">
        <is>
          <t>South Point Phase II</t>
        </is>
      </c>
      <c r="F223" t="inlineStr">
        <is>
          <t>REZ2020-00021</t>
        </is>
      </c>
      <c r="G223" t="inlineStr">
        <is>
          <t>7596-16-5979</t>
        </is>
      </c>
      <c r="H223" t="inlineStr">
        <is>
          <t>8400 BUCKEYE TIMBER DR</t>
        </is>
      </c>
      <c r="I223" t="n">
        <v>265000</v>
      </c>
      <c r="L223" t="inlineStr">
        <is>
          <t>BLD2025-00827</t>
        </is>
      </c>
      <c r="M223" t="inlineStr">
        <is>
          <t>Issued</t>
        </is>
      </c>
      <c r="O223" t="inlineStr">
        <is>
          <t>2026-02-02</t>
        </is>
      </c>
      <c r="P223" t="n">
        <v>12</v>
      </c>
      <c r="Q223" t="inlineStr">
        <is>
          <t>https://gisweb.pwcva.gov/arcgis/rest/services/Planning/Build_Out_Analysis/MapServer/9/12?f=html</t>
        </is>
      </c>
      <c r="R223" t="inlineStr">
        <is>
          <t>Under Construction</t>
        </is>
      </c>
    </row>
    <row r="224">
      <c r="A224" t="n">
        <v>223</v>
      </c>
      <c r="B224" t="n">
        <v>223</v>
      </c>
      <c r="C224" t="inlineStr">
        <is>
          <t>Southgate South 1</t>
        </is>
      </c>
      <c r="D224" t="inlineStr">
        <is>
          <t>Pending</t>
        </is>
      </c>
      <c r="E224" t="inlineStr">
        <is>
          <t>Southgate South</t>
        </is>
      </c>
      <c r="F224" t="inlineStr">
        <is>
          <t>REZ2026-00044</t>
        </is>
      </c>
      <c r="G224" t="inlineStr">
        <is>
          <t>8190-90-6518</t>
        </is>
      </c>
      <c r="H224" t="inlineStr">
        <is>
          <t>16401 DUMFRIES RD</t>
        </is>
      </c>
      <c r="I224" t="n">
        <v>303000</v>
      </c>
      <c r="K224" t="inlineStr">
        <is>
          <t>REZ2026-00044</t>
        </is>
      </c>
      <c r="M224" t="inlineStr">
        <is>
          <t>Planned</t>
        </is>
      </c>
      <c r="O224" t="inlineStr">
        <is>
          <t>2026-06-04</t>
        </is>
      </c>
      <c r="P224" t="n">
        <v>262</v>
      </c>
      <c r="Q224" t="inlineStr">
        <is>
          <t>https://gisweb.pwcva.gov/arcgis/rest/services/Planning/Build_Out_Analysis/MapServer/9/262?f=html</t>
        </is>
      </c>
      <c r="R224" t="inlineStr">
        <is>
          <t>Pending</t>
        </is>
      </c>
    </row>
    <row r="225">
      <c r="A225" t="n">
        <v>224</v>
      </c>
      <c r="B225" t="n">
        <v>224</v>
      </c>
      <c r="C225" t="inlineStr">
        <is>
          <t>Southgate South 2</t>
        </is>
      </c>
      <c r="D225" t="inlineStr">
        <is>
          <t>Pending</t>
        </is>
      </c>
      <c r="E225" t="inlineStr">
        <is>
          <t>Southgate South</t>
        </is>
      </c>
      <c r="F225" t="inlineStr">
        <is>
          <t>REZ2026-00044</t>
        </is>
      </c>
      <c r="G225" t="inlineStr">
        <is>
          <t>8190-90-6518</t>
        </is>
      </c>
      <c r="H225" t="inlineStr">
        <is>
          <t>16401 DUMFRIES RD</t>
        </is>
      </c>
      <c r="I225" t="n">
        <v>303000</v>
      </c>
      <c r="K225" t="inlineStr">
        <is>
          <t>REZ2026-00044</t>
        </is>
      </c>
      <c r="M225" t="inlineStr">
        <is>
          <t>Planned</t>
        </is>
      </c>
      <c r="O225" t="inlineStr">
        <is>
          <t>2026-06-04</t>
        </is>
      </c>
      <c r="P225" t="n">
        <v>264</v>
      </c>
      <c r="Q225" t="inlineStr">
        <is>
          <t>https://gisweb.pwcva.gov/arcgis/rest/services/Planning/Build_Out_Analysis/MapServer/9/264?f=html</t>
        </is>
      </c>
      <c r="R225" t="inlineStr">
        <is>
          <t>Pending</t>
        </is>
      </c>
    </row>
    <row r="226">
      <c r="A226" t="n">
        <v>225</v>
      </c>
      <c r="B226" t="n">
        <v>225</v>
      </c>
      <c r="C226" t="inlineStr">
        <is>
          <t>Southgate South 3</t>
        </is>
      </c>
      <c r="D226" t="inlineStr">
        <is>
          <t>Pending</t>
        </is>
      </c>
      <c r="E226" t="inlineStr">
        <is>
          <t>Southgate South</t>
        </is>
      </c>
      <c r="F226" t="inlineStr">
        <is>
          <t>REZ2026-00044</t>
        </is>
      </c>
      <c r="G226" t="inlineStr">
        <is>
          <t>8190-90-6518</t>
        </is>
      </c>
      <c r="H226" t="inlineStr">
        <is>
          <t>16401 DUMFRIES RD</t>
        </is>
      </c>
      <c r="I226" t="n">
        <v>303000</v>
      </c>
      <c r="K226" t="inlineStr">
        <is>
          <t>REZ2026-00044</t>
        </is>
      </c>
      <c r="M226" t="inlineStr">
        <is>
          <t>Planned</t>
        </is>
      </c>
      <c r="O226" t="inlineStr">
        <is>
          <t>2026-06-04</t>
        </is>
      </c>
      <c r="P226" t="n">
        <v>263</v>
      </c>
      <c r="Q226" t="inlineStr">
        <is>
          <t>https://gisweb.pwcva.gov/arcgis/rest/services/Planning/Build_Out_Analysis/MapServer/9/263?f=html</t>
        </is>
      </c>
      <c r="R226" t="inlineStr">
        <is>
          <t>Pending</t>
        </is>
      </c>
    </row>
    <row r="227">
      <c r="A227" t="n">
        <v>226</v>
      </c>
      <c r="B227" t="n">
        <v>226</v>
      </c>
      <c r="C227" t="inlineStr">
        <is>
          <t>Stack Northern Virginia NVA02A</t>
        </is>
      </c>
      <c r="D227" t="inlineStr">
        <is>
          <t>Completed</t>
        </is>
      </c>
      <c r="E227" t="inlineStr">
        <is>
          <t>Stack Infrastructure NVA02 Manassas</t>
        </is>
      </c>
      <c r="F227" t="inlineStr">
        <is>
          <t>REZ2019-00028</t>
        </is>
      </c>
      <c r="G227" t="inlineStr">
        <is>
          <t>7595-85-6929</t>
        </is>
      </c>
      <c r="H227" t="inlineStr">
        <is>
          <t>9750 HORNBAKER RD</t>
        </is>
      </c>
      <c r="I227" t="n">
        <v>226862</v>
      </c>
      <c r="J227" t="n">
        <v>2025</v>
      </c>
      <c r="L227" t="inlineStr">
        <is>
          <t>BLD2021-02881</t>
        </is>
      </c>
      <c r="M227" t="inlineStr">
        <is>
          <t>Finaled</t>
        </is>
      </c>
      <c r="N227" t="inlineStr">
        <is>
          <t>2025-10-30</t>
        </is>
      </c>
      <c r="O227" t="inlineStr">
        <is>
          <t>2026-08-21</t>
        </is>
      </c>
      <c r="P227" t="n">
        <v>37</v>
      </c>
      <c r="Q227" t="inlineStr">
        <is>
          <t>https://gisweb.pwcva.gov/arcgis/rest/services/Planning/Build_Out_Analysis/MapServer/9/37?f=html</t>
        </is>
      </c>
      <c r="R227" t="inlineStr">
        <is>
          <t>Completed</t>
        </is>
      </c>
    </row>
    <row r="228">
      <c r="A228" t="n">
        <v>227</v>
      </c>
      <c r="B228" t="n">
        <v>227</v>
      </c>
      <c r="C228" t="inlineStr">
        <is>
          <t>Stack Northern Virginia NVA02B</t>
        </is>
      </c>
      <c r="D228" t="inlineStr">
        <is>
          <t>Completed</t>
        </is>
      </c>
      <c r="E228" t="inlineStr">
        <is>
          <t>Stack Infrastructure NVA02 Manassas</t>
        </is>
      </c>
      <c r="F228" t="inlineStr">
        <is>
          <t>REZ2019-00028</t>
        </is>
      </c>
      <c r="G228" t="inlineStr">
        <is>
          <t>7595-85-3742</t>
        </is>
      </c>
      <c r="H228" t="inlineStr">
        <is>
          <t>9740 HORNBAKER RD</t>
        </is>
      </c>
      <c r="I228" t="n">
        <v>224652</v>
      </c>
      <c r="J228" t="n">
        <v>2025</v>
      </c>
      <c r="L228" t="inlineStr">
        <is>
          <t>BLD2022-07412</t>
        </is>
      </c>
      <c r="M228" t="inlineStr">
        <is>
          <t>Finaled</t>
        </is>
      </c>
      <c r="N228" t="inlineStr">
        <is>
          <t>2025-07-15</t>
        </is>
      </c>
      <c r="O228" t="inlineStr">
        <is>
          <t>2026-08-21</t>
        </is>
      </c>
      <c r="P228" t="n">
        <v>38</v>
      </c>
      <c r="Q228" t="inlineStr">
        <is>
          <t>https://gisweb.pwcva.gov/arcgis/rest/services/Planning/Build_Out_Analysis/MapServer/9/38?f=html</t>
        </is>
      </c>
      <c r="R228" t="inlineStr">
        <is>
          <t>Completed</t>
        </is>
      </c>
    </row>
    <row r="229">
      <c r="A229" t="n">
        <v>228</v>
      </c>
      <c r="B229" t="n">
        <v>228</v>
      </c>
      <c r="C229" t="inlineStr">
        <is>
          <t>Stack Northern Virginia NVA02C</t>
        </is>
      </c>
      <c r="D229" t="inlineStr">
        <is>
          <t>Completed</t>
        </is>
      </c>
      <c r="E229" t="inlineStr">
        <is>
          <t>Stack Infrastructure NVA02 Manassas</t>
        </is>
      </c>
      <c r="F229" t="inlineStr">
        <is>
          <t>REZ2019-00028</t>
        </is>
      </c>
      <c r="G229" t="inlineStr">
        <is>
          <t>7595-85-6929</t>
        </is>
      </c>
      <c r="H229" t="inlineStr">
        <is>
          <t>9730 HORNBAKER RD</t>
        </is>
      </c>
      <c r="I229" t="n">
        <v>14387</v>
      </c>
      <c r="J229" t="n">
        <v>2025</v>
      </c>
      <c r="L229" t="inlineStr">
        <is>
          <t>BLD2022-01720</t>
        </is>
      </c>
      <c r="M229" t="inlineStr">
        <is>
          <t>Finaled</t>
        </is>
      </c>
      <c r="N229" t="inlineStr">
        <is>
          <t>2025-11-03</t>
        </is>
      </c>
      <c r="O229" t="inlineStr">
        <is>
          <t>2026-08-21</t>
        </is>
      </c>
      <c r="P229" t="n">
        <v>39</v>
      </c>
      <c r="Q229" t="inlineStr">
        <is>
          <t>https://gisweb.pwcva.gov/arcgis/rest/services/Planning/Build_Out_Analysis/MapServer/9/39?f=html</t>
        </is>
      </c>
      <c r="R229" t="inlineStr">
        <is>
          <t>Completed</t>
        </is>
      </c>
    </row>
    <row r="230">
      <c r="A230" t="n">
        <v>229</v>
      </c>
      <c r="B230" t="n">
        <v>229</v>
      </c>
      <c r="C230" t="inlineStr">
        <is>
          <t>Stack Northern Virginia NVA02D</t>
        </is>
      </c>
      <c r="D230" t="inlineStr">
        <is>
          <t>Completed</t>
        </is>
      </c>
      <c r="E230" t="inlineStr">
        <is>
          <t>Stack Infrastructure NVA02 Manassas</t>
        </is>
      </c>
      <c r="F230" t="inlineStr">
        <is>
          <t>REZ2019-00028</t>
        </is>
      </c>
      <c r="G230" t="inlineStr">
        <is>
          <t>7595-76-6544.00</t>
        </is>
      </c>
      <c r="H230" t="inlineStr">
        <is>
          <t>9590 HORNBAKER RD</t>
        </is>
      </c>
      <c r="I230" t="n">
        <v>281000</v>
      </c>
      <c r="J230" t="n">
        <v>2023</v>
      </c>
      <c r="L230" t="inlineStr">
        <is>
          <t>BLD2022-00534</t>
        </is>
      </c>
      <c r="M230" t="inlineStr">
        <is>
          <t>Finaled</t>
        </is>
      </c>
      <c r="N230" t="inlineStr">
        <is>
          <t>2023-06-08</t>
        </is>
      </c>
      <c r="O230" t="inlineStr">
        <is>
          <t>2026-08-21</t>
        </is>
      </c>
      <c r="P230" t="n">
        <v>40</v>
      </c>
      <c r="Q230" t="inlineStr">
        <is>
          <t>https://gisweb.pwcva.gov/arcgis/rest/services/Planning/Build_Out_Analysis/MapServer/9/40?f=html</t>
        </is>
      </c>
      <c r="R230" t="inlineStr">
        <is>
          <t>Completed</t>
        </is>
      </c>
    </row>
    <row r="231">
      <c r="A231" t="n">
        <v>230</v>
      </c>
      <c r="B231" t="n">
        <v>230</v>
      </c>
      <c r="C231" t="inlineStr">
        <is>
          <t>Stack Northern Virginia NVA02E</t>
        </is>
      </c>
      <c r="D231" t="inlineStr">
        <is>
          <t>Completed</t>
        </is>
      </c>
      <c r="E231" t="inlineStr">
        <is>
          <t>Stack Infrastructure NVA02 Manassas</t>
        </is>
      </c>
      <c r="F231" t="inlineStr">
        <is>
          <t>REZ2019-00028</t>
        </is>
      </c>
      <c r="G231" t="inlineStr">
        <is>
          <t>7595-65-9789.00</t>
        </is>
      </c>
      <c r="H231" t="inlineStr">
        <is>
          <t>9570 HORNBAKER RD</t>
        </is>
      </c>
      <c r="I231" t="n">
        <v>259200</v>
      </c>
      <c r="J231" t="n">
        <v>2024</v>
      </c>
      <c r="L231" t="inlineStr">
        <is>
          <t>BLD2023-03853</t>
        </is>
      </c>
      <c r="M231" t="inlineStr">
        <is>
          <t>Finaled</t>
        </is>
      </c>
      <c r="N231" t="inlineStr">
        <is>
          <t>2024-08-29</t>
        </is>
      </c>
      <c r="O231" t="inlineStr">
        <is>
          <t>2026-08-21</t>
        </is>
      </c>
      <c r="P231" t="n">
        <v>42</v>
      </c>
      <c r="Q231" t="inlineStr">
        <is>
          <t>https://gisweb.pwcva.gov/arcgis/rest/services/Planning/Build_Out_Analysis/MapServer/9/42?f=html</t>
        </is>
      </c>
      <c r="R231" t="inlineStr">
        <is>
          <t>Completed</t>
        </is>
      </c>
    </row>
    <row r="232">
      <c r="A232" t="n">
        <v>231</v>
      </c>
      <c r="B232" t="n">
        <v>231</v>
      </c>
      <c r="C232" t="inlineStr">
        <is>
          <t>Stack Northern Virginia NVA02F</t>
        </is>
      </c>
      <c r="D232" t="inlineStr">
        <is>
          <t>Under Construction</t>
        </is>
      </c>
      <c r="E232" t="inlineStr">
        <is>
          <t>Stack Infrastructure NVA02 Manassas</t>
        </is>
      </c>
      <c r="F232" t="inlineStr">
        <is>
          <t>REZ2019-00028</t>
        </is>
      </c>
      <c r="G232" t="inlineStr">
        <is>
          <t>7595-75-3611</t>
        </is>
      </c>
      <c r="H232" t="inlineStr">
        <is>
          <t>9640 HORNBAKER RD</t>
        </is>
      </c>
      <c r="I232" t="n">
        <v>0</v>
      </c>
      <c r="L232" t="inlineStr">
        <is>
          <t>BLD2025-01136</t>
        </is>
      </c>
      <c r="M232" t="inlineStr">
        <is>
          <t>Issued</t>
        </is>
      </c>
      <c r="O232" t="inlineStr">
        <is>
          <t>2026-02-01</t>
        </is>
      </c>
      <c r="P232" t="n">
        <v>45</v>
      </c>
      <c r="Q232" t="inlineStr">
        <is>
          <t>https://gisweb.pwcva.gov/arcgis/rest/services/Planning/Build_Out_Analysis/MapServer/9/45?f=html</t>
        </is>
      </c>
      <c r="R232" t="inlineStr">
        <is>
          <t>Under Construction</t>
        </is>
      </c>
    </row>
    <row r="233">
      <c r="A233" t="n">
        <v>232</v>
      </c>
      <c r="B233" t="n">
        <v>232</v>
      </c>
      <c r="C233" t="inlineStr">
        <is>
          <t>Stack Northern Virginia NVA02G</t>
        </is>
      </c>
      <c r="D233" t="inlineStr">
        <is>
          <t>Under Construction</t>
        </is>
      </c>
      <c r="E233" t="inlineStr">
        <is>
          <t>Stack Infrastructure NVA02 Manassas</t>
        </is>
      </c>
      <c r="F233" t="inlineStr">
        <is>
          <t>REZ2019-00028</t>
        </is>
      </c>
      <c r="G233" t="inlineStr">
        <is>
          <t>7595-76-2590</t>
        </is>
      </c>
      <c r="H233" t="inlineStr">
        <is>
          <t>9530 HORNBAKER RD</t>
        </is>
      </c>
      <c r="I233" t="n">
        <v>185803</v>
      </c>
      <c r="K233" t="inlineStr">
        <is>
          <t>REZ2019-00028</t>
        </is>
      </c>
      <c r="L233" t="inlineStr">
        <is>
          <t>BLD2024-05348</t>
        </is>
      </c>
      <c r="M233" t="inlineStr">
        <is>
          <t>Issued</t>
        </is>
      </c>
      <c r="O233" t="inlineStr">
        <is>
          <t>2026-09-01</t>
        </is>
      </c>
      <c r="P233" t="n">
        <v>41</v>
      </c>
      <c r="Q233" t="inlineStr">
        <is>
          <t>https://gisweb.pwcva.gov/arcgis/rest/services/Planning/Build_Out_Analysis/MapServer/9/41?f=html</t>
        </is>
      </c>
      <c r="R233" t="inlineStr">
        <is>
          <t>Under Construction</t>
        </is>
      </c>
    </row>
    <row r="234">
      <c r="A234" t="n">
        <v>233</v>
      </c>
      <c r="B234" t="n">
        <v>233</v>
      </c>
      <c r="C234" t="inlineStr">
        <is>
          <t>Stack Northern Virginia NVA02H</t>
        </is>
      </c>
      <c r="D234" t="inlineStr">
        <is>
          <t>Under Construction</t>
        </is>
      </c>
      <c r="E234" t="inlineStr">
        <is>
          <t>Stack Infrastructure NVA02 YFT</t>
        </is>
      </c>
      <c r="F234" t="inlineStr">
        <is>
          <t>REZ2019-00034</t>
        </is>
      </c>
      <c r="G234" t="inlineStr">
        <is>
          <t>7595-54-7478</t>
        </is>
      </c>
      <c r="H234" t="inlineStr">
        <is>
          <t>10161 LINTON HALL RD</t>
        </is>
      </c>
      <c r="I234" t="n">
        <v>256280</v>
      </c>
      <c r="K234" t="inlineStr">
        <is>
          <t>REZ2019-00034</t>
        </is>
      </c>
      <c r="L234" t="inlineStr">
        <is>
          <t>BLD2025-06092</t>
        </is>
      </c>
      <c r="M234" t="inlineStr">
        <is>
          <t>Issued</t>
        </is>
      </c>
      <c r="O234" t="inlineStr">
        <is>
          <t>2026-07-16</t>
        </is>
      </c>
      <c r="P234" t="n">
        <v>43</v>
      </c>
      <c r="Q234" t="inlineStr">
        <is>
          <t>https://gisweb.pwcva.gov/arcgis/rest/services/Planning/Build_Out_Analysis/MapServer/9/43?f=html</t>
        </is>
      </c>
      <c r="R234" t="inlineStr">
        <is>
          <t>Under Construction</t>
        </is>
      </c>
    </row>
    <row r="235">
      <c r="A235" t="n">
        <v>234</v>
      </c>
      <c r="B235" t="n">
        <v>234</v>
      </c>
      <c r="C235" t="inlineStr">
        <is>
          <t>Stack Northern Virginia NVA02I</t>
        </is>
      </c>
      <c r="D235" t="inlineStr">
        <is>
          <t>Under Construction</t>
        </is>
      </c>
      <c r="E235" t="inlineStr">
        <is>
          <t>Stack Infrastructure NVA02 YFT</t>
        </is>
      </c>
      <c r="F235" t="inlineStr">
        <is>
          <t>REZ2019-00034</t>
        </is>
      </c>
      <c r="G235" t="inlineStr">
        <is>
          <t>7595-54-7478</t>
        </is>
      </c>
      <c r="H235" t="inlineStr">
        <is>
          <t>10167 LINTON HALL RD</t>
        </is>
      </c>
      <c r="I235" t="n">
        <v>256212</v>
      </c>
      <c r="K235" t="inlineStr">
        <is>
          <t>REZ2019-00034</t>
        </is>
      </c>
      <c r="L235" t="inlineStr">
        <is>
          <t>BLD2025-03391</t>
        </is>
      </c>
      <c r="M235" t="inlineStr">
        <is>
          <t>Issued</t>
        </is>
      </c>
      <c r="O235" t="inlineStr">
        <is>
          <t>2026-07-16</t>
        </is>
      </c>
      <c r="P235" t="n">
        <v>44</v>
      </c>
      <c r="Q235" t="inlineStr">
        <is>
          <t>https://gisweb.pwcva.gov/arcgis/rest/services/Planning/Build_Out_Analysis/MapServer/9/44?f=html</t>
        </is>
      </c>
      <c r="R235" t="inlineStr">
        <is>
          <t>Under Construction</t>
        </is>
      </c>
    </row>
    <row r="236">
      <c r="A236" t="n">
        <v>235</v>
      </c>
      <c r="B236" t="n">
        <v>235</v>
      </c>
      <c r="C236" t="inlineStr">
        <is>
          <t>Stack Northern Virginia NVA02J</t>
        </is>
      </c>
      <c r="D236" t="inlineStr">
        <is>
          <t>Under Construction</t>
        </is>
      </c>
      <c r="E236" t="inlineStr">
        <is>
          <t>Stack Infrastructure NVA02 YFT</t>
        </is>
      </c>
      <c r="F236" t="inlineStr">
        <is>
          <t>REZ2019-00034</t>
        </is>
      </c>
      <c r="G236" t="inlineStr">
        <is>
          <t>7595-54-7478</t>
        </is>
      </c>
      <c r="H236" t="inlineStr">
        <is>
          <t>10155 LINTON HALL RD</t>
        </is>
      </c>
      <c r="I236" t="n">
        <v>201000</v>
      </c>
      <c r="K236" t="inlineStr">
        <is>
          <t>REZ2019-00034</t>
        </is>
      </c>
      <c r="L236" t="inlineStr">
        <is>
          <t>BLD2026-01905</t>
        </is>
      </c>
      <c r="M236" t="inlineStr">
        <is>
          <t>Issued</t>
        </is>
      </c>
      <c r="O236" t="inlineStr">
        <is>
          <t>2026-07-16</t>
        </is>
      </c>
      <c r="P236" t="n">
        <v>63</v>
      </c>
      <c r="Q236" t="inlineStr">
        <is>
          <t>https://gisweb.pwcva.gov/arcgis/rest/services/Planning/Build_Out_Analysis/MapServer/9/63?f=html</t>
        </is>
      </c>
      <c r="R236" t="inlineStr">
        <is>
          <t>Under Construction</t>
        </is>
      </c>
    </row>
    <row r="237">
      <c r="A237" t="n">
        <v>236</v>
      </c>
      <c r="B237" t="n">
        <v>236</v>
      </c>
      <c r="C237" t="inlineStr">
        <is>
          <t>Stack Northern Virginia NVA05E</t>
        </is>
      </c>
      <c r="D237" t="inlineStr">
        <is>
          <t>Planned</t>
        </is>
      </c>
      <c r="E237" t="inlineStr">
        <is>
          <t>Stack Northern Virginia NVA05</t>
        </is>
      </c>
      <c r="F237" t="inlineStr">
        <is>
          <t>REZ2023-00026</t>
        </is>
      </c>
      <c r="G237" t="inlineStr">
        <is>
          <t>7696-33-1105</t>
        </is>
      </c>
      <c r="H237" t="inlineStr">
        <is>
          <t>8671 WELLINGTON RD</t>
        </is>
      </c>
      <c r="I237" t="n">
        <v>326500</v>
      </c>
      <c r="K237" t="inlineStr">
        <is>
          <t>REZ2023-00026</t>
        </is>
      </c>
      <c r="M237" t="inlineStr">
        <is>
          <t>Planned</t>
        </is>
      </c>
      <c r="O237" t="inlineStr">
        <is>
          <t>2026-06-08</t>
        </is>
      </c>
      <c r="P237" t="n">
        <v>33</v>
      </c>
      <c r="Q237" t="inlineStr">
        <is>
          <t>https://gisweb.pwcva.gov/arcgis/rest/services/Planning/Build_Out_Analysis/MapServer/9/33?f=html</t>
        </is>
      </c>
      <c r="R237" t="inlineStr">
        <is>
          <t>Planned</t>
        </is>
      </c>
    </row>
    <row r="238">
      <c r="A238" t="n">
        <v>237</v>
      </c>
      <c r="B238" t="n">
        <v>237</v>
      </c>
      <c r="C238" t="inlineStr">
        <is>
          <t>SUDLEY MANOR DRIVE A</t>
        </is>
      </c>
      <c r="D238" t="inlineStr">
        <is>
          <t>Pending</t>
        </is>
      </c>
      <c r="E238" t="inlineStr">
        <is>
          <t>Sudley Manor Drive</t>
        </is>
      </c>
      <c r="F238" t="inlineStr">
        <is>
          <t>REZ2026-00039</t>
        </is>
      </c>
      <c r="H238" t="inlineStr">
        <is>
          <t>11951 SUDLEY MANOR DR MANASSAS, VA 20109</t>
        </is>
      </c>
      <c r="I238" t="n">
        <v>293236</v>
      </c>
      <c r="K238" t="inlineStr">
        <is>
          <t>REZ2020-00010</t>
        </is>
      </c>
      <c r="M238" t="inlineStr">
        <is>
          <t>Planned</t>
        </is>
      </c>
      <c r="O238" t="inlineStr">
        <is>
          <t>2026-05-05</t>
        </is>
      </c>
      <c r="P238" t="n">
        <v>245</v>
      </c>
      <c r="Q238" t="inlineStr">
        <is>
          <t>https://gisweb.pwcva.gov/arcgis/rest/services/Planning/Build_Out_Analysis/MapServer/9/245?f=html</t>
        </is>
      </c>
      <c r="R238" t="inlineStr">
        <is>
          <t>Pending</t>
        </is>
      </c>
    </row>
    <row r="239">
      <c r="A239" t="n">
        <v>238</v>
      </c>
      <c r="B239" t="n">
        <v>238</v>
      </c>
      <c r="C239" t="inlineStr">
        <is>
          <t>Sudley Manor North</t>
        </is>
      </c>
      <c r="D239" t="inlineStr">
        <is>
          <t>Planned</t>
        </is>
      </c>
      <c r="E239" t="inlineStr">
        <is>
          <t>Sudley Manor North</t>
        </is>
      </c>
      <c r="F239" t="inlineStr">
        <is>
          <t>REZ2020-00010</t>
        </is>
      </c>
      <c r="G239" t="inlineStr">
        <is>
          <t>7596-43-9061</t>
        </is>
      </c>
      <c r="H239" t="inlineStr">
        <is>
          <t>11950 SUDLEY MANOR DR</t>
        </is>
      </c>
      <c r="I239" t="n">
        <v>417960</v>
      </c>
      <c r="K239" t="inlineStr">
        <is>
          <t>REZ2020-00010</t>
        </is>
      </c>
      <c r="M239" t="inlineStr">
        <is>
          <t>Planned</t>
        </is>
      </c>
      <c r="O239" t="inlineStr">
        <is>
          <t>2026-09-23</t>
        </is>
      </c>
      <c r="P239" t="n">
        <v>680</v>
      </c>
      <c r="Q239" t="inlineStr">
        <is>
          <t>https://gisweb.pwcva.gov/arcgis/rest/services/Planning/Build_Out_Analysis/MapServer/9/680?f=html</t>
        </is>
      </c>
      <c r="R239" t="inlineStr">
        <is>
          <t>Planned</t>
        </is>
      </c>
    </row>
    <row r="240">
      <c r="A240" t="n">
        <v>239</v>
      </c>
      <c r="B240" t="n">
        <v>239</v>
      </c>
      <c r="C240" t="inlineStr">
        <is>
          <t>TPC Data Centers</t>
        </is>
      </c>
      <c r="D240" t="inlineStr">
        <is>
          <t>Completed</t>
        </is>
      </c>
      <c r="E240" t="inlineStr">
        <is>
          <t>TPC Data Centers</t>
        </is>
      </c>
      <c r="F240" t="inlineStr">
        <is>
          <t>REZ2024-00008</t>
        </is>
      </c>
      <c r="G240" t="inlineStr">
        <is>
          <t>7696-42-1559</t>
        </is>
      </c>
      <c r="H240" t="inlineStr">
        <is>
          <t>8819 WELLINGTON RD</t>
        </is>
      </c>
      <c r="I240" t="n">
        <v>361500</v>
      </c>
      <c r="J240" t="n">
        <v>2026</v>
      </c>
      <c r="K240" t="inlineStr">
        <is>
          <t>REZ2024-00008</t>
        </is>
      </c>
      <c r="L240" t="inlineStr">
        <is>
          <t>BLD2024-04783</t>
        </is>
      </c>
      <c r="M240" t="inlineStr">
        <is>
          <t>Finaled</t>
        </is>
      </c>
      <c r="N240" t="inlineStr">
        <is>
          <t>2026-07-01</t>
        </is>
      </c>
      <c r="O240" t="inlineStr">
        <is>
          <t>2026-07-20</t>
        </is>
      </c>
      <c r="P240" t="n">
        <v>29</v>
      </c>
      <c r="Q240" t="inlineStr">
        <is>
          <t>https://gisweb.pwcva.gov/arcgis/rest/services/Planning/Build_Out_Analysis/MapServer/9/29?f=html</t>
        </is>
      </c>
      <c r="R240" t="inlineStr">
        <is>
          <t>Completed</t>
        </is>
      </c>
    </row>
    <row r="241">
      <c r="A241" t="n">
        <v>240</v>
      </c>
      <c r="B241" t="n">
        <v>240</v>
      </c>
      <c r="C241" t="inlineStr">
        <is>
          <t>Microsoft Azure MNZ07</t>
        </is>
      </c>
      <c r="D241" t="inlineStr">
        <is>
          <t>Pending</t>
        </is>
      </c>
      <c r="E241" t="inlineStr">
        <is>
          <t>University Business Park</t>
        </is>
      </c>
      <c r="F241" t="inlineStr">
        <is>
          <t>REZ2023-00019</t>
        </is>
      </c>
      <c r="G241" t="inlineStr">
        <is>
          <t>7497-43-7416</t>
        </is>
      </c>
      <c r="H241" t="inlineStr">
        <is>
          <t>13490 UNIVERSITY BLVD</t>
        </is>
      </c>
      <c r="I241" t="n">
        <v>385100</v>
      </c>
      <c r="K241" t="inlineStr">
        <is>
          <t>REZ1958-0021</t>
        </is>
      </c>
      <c r="M241" t="inlineStr">
        <is>
          <t>Planned</t>
        </is>
      </c>
      <c r="O241" t="inlineStr">
        <is>
          <t>2026-08-07</t>
        </is>
      </c>
      <c r="P241" t="n">
        <v>116</v>
      </c>
      <c r="Q241" t="inlineStr">
        <is>
          <t>https://gisweb.pwcva.gov/arcgis/rest/services/Planning/Build_Out_Analysis/MapServer/9/116?f=html</t>
        </is>
      </c>
      <c r="R241" t="inlineStr">
        <is>
          <t>Pending</t>
        </is>
      </c>
    </row>
    <row r="242">
      <c r="A242" t="n">
        <v>241</v>
      </c>
      <c r="B242" t="n">
        <v>241</v>
      </c>
      <c r="C242" t="inlineStr">
        <is>
          <t>Microsoft Azure MNZ08</t>
        </is>
      </c>
      <c r="D242" t="inlineStr">
        <is>
          <t>Pending</t>
        </is>
      </c>
      <c r="E242" t="inlineStr">
        <is>
          <t>University Business Park</t>
        </is>
      </c>
      <c r="F242" t="inlineStr">
        <is>
          <t>REZ2023-00019</t>
        </is>
      </c>
      <c r="G242" t="inlineStr">
        <is>
          <t>7497-43-7416</t>
        </is>
      </c>
      <c r="H242" t="inlineStr">
        <is>
          <t>13490 UNIVERSITY BLVD</t>
        </is>
      </c>
      <c r="I242" t="n">
        <v>385100</v>
      </c>
      <c r="K242" t="inlineStr">
        <is>
          <t>REZ1958-0021</t>
        </is>
      </c>
      <c r="M242" t="inlineStr">
        <is>
          <t>Planned</t>
        </is>
      </c>
      <c r="O242" t="inlineStr">
        <is>
          <t>2026-08-07</t>
        </is>
      </c>
      <c r="P242" t="n">
        <v>118</v>
      </c>
      <c r="Q242" t="inlineStr">
        <is>
          <t>https://gisweb.pwcva.gov/arcgis/rest/services/Planning/Build_Out_Analysis/MapServer/9/118?f=html</t>
        </is>
      </c>
      <c r="R242" t="inlineStr">
        <is>
          <t>Pending</t>
        </is>
      </c>
    </row>
    <row r="243">
      <c r="A243" t="n">
        <v>242</v>
      </c>
      <c r="B243" t="n">
        <v>242</v>
      </c>
      <c r="C243" t="inlineStr">
        <is>
          <t>Verizon Manassas 7777 Infantry Ridge</t>
        </is>
      </c>
      <c r="D243" t="inlineStr">
        <is>
          <t>Completed</t>
        </is>
      </c>
      <c r="E243" t="inlineStr">
        <is>
          <t>Verizon Manassas 7777 Infantry Ridge</t>
        </is>
      </c>
      <c r="F243" t="inlineStr">
        <is>
          <t>REZ1988-0030</t>
        </is>
      </c>
      <c r="G243" t="inlineStr">
        <is>
          <t>7697-47-3772</t>
        </is>
      </c>
      <c r="H243" t="inlineStr">
        <is>
          <t>7777 INFANTRY RIDGE RD</t>
        </is>
      </c>
      <c r="I243" t="n">
        <v>227465</v>
      </c>
      <c r="J243" t="n">
        <v>2002</v>
      </c>
      <c r="L243" t="inlineStr">
        <is>
          <t>BLD2026-02975</t>
        </is>
      </c>
      <c r="M243" t="inlineStr">
        <is>
          <t>Finaled</t>
        </is>
      </c>
      <c r="N243" t="inlineStr">
        <is>
          <t>2002-06-03</t>
        </is>
      </c>
      <c r="O243" t="inlineStr">
        <is>
          <t>2026-08-21</t>
        </is>
      </c>
      <c r="P243" t="n">
        <v>153</v>
      </c>
      <c r="Q243" t="inlineStr">
        <is>
          <t>https://gisweb.pwcva.gov/arcgis/rest/services/Planning/Build_Out_Analysis/MapServer/9/153?f=html</t>
        </is>
      </c>
      <c r="R243" t="inlineStr">
        <is>
          <t>Completed</t>
        </is>
      </c>
    </row>
    <row r="244">
      <c r="A244" t="n">
        <v>243</v>
      </c>
      <c r="B244" t="n">
        <v>243</v>
      </c>
      <c r="C244" t="inlineStr">
        <is>
          <t>Wellington Glen Technology Park</t>
        </is>
      </c>
      <c r="D244" t="inlineStr">
        <is>
          <t>Planned</t>
        </is>
      </c>
      <c r="E244" t="inlineStr">
        <is>
          <t>Wellington Glen Technology Park</t>
        </is>
      </c>
      <c r="F244" t="inlineStr">
        <is>
          <t>REZ2024-00018</t>
        </is>
      </c>
      <c r="G244" t="inlineStr">
        <is>
          <t>7596-54-4132</t>
        </is>
      </c>
      <c r="H244" t="inlineStr">
        <is>
          <t>11750 STONE CROP DR</t>
        </is>
      </c>
      <c r="I244" t="n">
        <v>475000</v>
      </c>
      <c r="M244" t="inlineStr">
        <is>
          <t>Planned</t>
        </is>
      </c>
      <c r="O244" t="inlineStr">
        <is>
          <t>2026-01-22</t>
        </is>
      </c>
      <c r="P244" t="n">
        <v>110</v>
      </c>
      <c r="Q244" t="inlineStr">
        <is>
          <t>https://gisweb.pwcva.gov/arcgis/rest/services/Planning/Build_Out_Analysis/MapServer/9/110?f=html</t>
        </is>
      </c>
      <c r="R244" t="inlineStr">
        <is>
          <t>Planned</t>
        </is>
      </c>
    </row>
    <row r="245">
      <c r="A245" t="n">
        <v>244</v>
      </c>
      <c r="B245" t="n">
        <v>244</v>
      </c>
      <c r="C245" t="inlineStr">
        <is>
          <t>Yondr Bristow Campus Building 1</t>
        </is>
      </c>
      <c r="D245" t="inlineStr">
        <is>
          <t>Completed</t>
        </is>
      </c>
      <c r="E245" t="inlineStr">
        <is>
          <t>Yondr Bristow</t>
        </is>
      </c>
      <c r="F245" t="inlineStr">
        <is>
          <t>REZ2017-00023</t>
        </is>
      </c>
      <c r="G245" t="inlineStr">
        <is>
          <t>7496-47-2405</t>
        </is>
      </c>
      <c r="H245" t="inlineStr">
        <is>
          <t>13051 ROLLINS FORD RD</t>
        </is>
      </c>
      <c r="I245" t="n">
        <v>324580</v>
      </c>
      <c r="J245" t="n">
        <v>2025</v>
      </c>
      <c r="K245" t="inlineStr">
        <is>
          <t>REZ2017-00023</t>
        </is>
      </c>
      <c r="L245" t="inlineStr">
        <is>
          <t>BLD2022-03616</t>
        </is>
      </c>
      <c r="M245" t="inlineStr">
        <is>
          <t>Finaled</t>
        </is>
      </c>
      <c r="N245" t="inlineStr">
        <is>
          <t>2025-06-23</t>
        </is>
      </c>
      <c r="O245" t="inlineStr">
        <is>
          <t>2026-05-29</t>
        </is>
      </c>
      <c r="P245" t="n">
        <v>93</v>
      </c>
      <c r="Q245" t="inlineStr">
        <is>
          <t>https://gisweb.pwcva.gov/arcgis/rest/services/Planning/Build_Out_Analysis/MapServer/9/93?f=html</t>
        </is>
      </c>
      <c r="R245" t="inlineStr">
        <is>
          <t>Completed</t>
        </is>
      </c>
    </row>
    <row r="246">
      <c r="A246" t="n">
        <v>245</v>
      </c>
      <c r="B246" t="n">
        <v>245</v>
      </c>
      <c r="C246" t="inlineStr">
        <is>
          <t>Yondr Bristow Campus Building 2</t>
        </is>
      </c>
      <c r="D246" t="inlineStr">
        <is>
          <t>Completed</t>
        </is>
      </c>
      <c r="E246" t="inlineStr">
        <is>
          <t>Yondr Bristow</t>
        </is>
      </c>
      <c r="F246" t="inlineStr">
        <is>
          <t>REZ2017-00023</t>
        </is>
      </c>
      <c r="G246" t="inlineStr">
        <is>
          <t>7496-47-2405</t>
        </is>
      </c>
      <c r="H246" t="inlineStr">
        <is>
          <t>13085 ROLLINS FORD RD</t>
        </is>
      </c>
      <c r="I246" t="n">
        <v>288530</v>
      </c>
      <c r="J246" t="n">
        <v>2025</v>
      </c>
      <c r="K246" t="inlineStr">
        <is>
          <t>REZ2017-00023</t>
        </is>
      </c>
      <c r="L246" t="inlineStr">
        <is>
          <t>BLD2023-01345</t>
        </is>
      </c>
      <c r="M246" t="inlineStr">
        <is>
          <t>Finaled</t>
        </is>
      </c>
      <c r="N246" t="inlineStr">
        <is>
          <t>2025-06-23</t>
        </is>
      </c>
      <c r="O246" t="inlineStr">
        <is>
          <t>2026-05-29</t>
        </is>
      </c>
      <c r="P246" t="n">
        <v>94</v>
      </c>
      <c r="Q246" t="inlineStr">
        <is>
          <t>https://gisweb.pwcva.gov/arcgis/rest/services/Planning/Build_Out_Analysis/MapServer/9/94?f=html</t>
        </is>
      </c>
      <c r="R246" t="inlineStr">
        <is>
          <t>Completed</t>
        </is>
      </c>
    </row>
    <row r="247">
      <c r="A247" t="n">
        <v>246</v>
      </c>
      <c r="B247" t="n">
        <v>246</v>
      </c>
      <c r="C247" t="inlineStr">
        <is>
          <t>Yondr Bristow Campus Building 3</t>
        </is>
      </c>
      <c r="D247" t="inlineStr">
        <is>
          <t>Completed</t>
        </is>
      </c>
      <c r="E247" t="inlineStr">
        <is>
          <t>Yondr Bristow</t>
        </is>
      </c>
      <c r="F247" t="inlineStr">
        <is>
          <t>REZ2017-00023</t>
        </is>
      </c>
      <c r="G247" t="inlineStr">
        <is>
          <t>7496-47-2405</t>
        </is>
      </c>
      <c r="H247" t="inlineStr">
        <is>
          <t>13040 ROLLINS FORD RD</t>
        </is>
      </c>
      <c r="I247" t="n">
        <v>288530</v>
      </c>
      <c r="J247" t="n">
        <v>2026</v>
      </c>
      <c r="K247" t="inlineStr">
        <is>
          <t>REZ2017-00023</t>
        </is>
      </c>
      <c r="L247" t="inlineStr">
        <is>
          <t>BLD2023-04428</t>
        </is>
      </c>
      <c r="M247" t="inlineStr">
        <is>
          <t>Finaled</t>
        </is>
      </c>
      <c r="N247" t="inlineStr">
        <is>
          <t>2026-09-16</t>
        </is>
      </c>
      <c r="O247" t="inlineStr">
        <is>
          <t>2026-10-01</t>
        </is>
      </c>
      <c r="P247" t="n">
        <v>95</v>
      </c>
      <c r="Q247" t="inlineStr">
        <is>
          <t>https://gisweb.pwcva.gov/arcgis/rest/services/Planning/Build_Out_Analysis/MapServer/9/95?f=html</t>
        </is>
      </c>
      <c r="R247" t="inlineStr">
        <is>
          <t>Completed</t>
        </is>
      </c>
    </row>
    <row r="248">
      <c r="A248" t="n">
        <v>247</v>
      </c>
      <c r="B248" t="n">
        <v>247</v>
      </c>
      <c r="C248" t="inlineStr">
        <is>
          <t>Yondr Bristow Campus Building 4</t>
        </is>
      </c>
      <c r="D248" t="inlineStr">
        <is>
          <t>Planned</t>
        </is>
      </c>
      <c r="E248" t="inlineStr">
        <is>
          <t>Yondr Bristow</t>
        </is>
      </c>
      <c r="F248" t="inlineStr">
        <is>
          <t>REZ2017-00023</t>
        </is>
      </c>
      <c r="G248" t="inlineStr">
        <is>
          <t>7496-47-2405</t>
        </is>
      </c>
      <c r="H248" t="inlineStr">
        <is>
          <t>13080 ROLLINS FORD RD</t>
        </is>
      </c>
      <c r="I248" t="n">
        <v>167346</v>
      </c>
      <c r="K248" t="inlineStr">
        <is>
          <t>REZ2017-00023</t>
        </is>
      </c>
      <c r="L248" t="inlineStr">
        <is>
          <t>BLD2027-01529</t>
        </is>
      </c>
      <c r="M248" t="inlineStr">
        <is>
          <t>Planned</t>
        </is>
      </c>
      <c r="O248" t="inlineStr">
        <is>
          <t>2026-10-01</t>
        </is>
      </c>
      <c r="P248" t="n">
        <v>258</v>
      </c>
      <c r="Q248" t="inlineStr">
        <is>
          <t>https://gisweb.pwcva.gov/arcgis/rest/services/Planning/Build_Out_Analysis/MapServer/9/258?f=html</t>
        </is>
      </c>
      <c r="R248" t="inlineStr">
        <is>
          <t>Planned</t>
        </is>
      </c>
    </row>
  </sheetData>
  <autoFilter ref="A1:R24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4" customWidth="1" min="1" max="1"/>
    <col width="16" customWidth="1" min="2" max="2"/>
    <col width="16" customWidth="1" min="3" max="3"/>
  </cols>
  <sheetData>
    <row r="1">
      <c r="A1" t="inlineStr">
        <is>
          <t>Loudoun County, VA data centers - data pulled 2026-10-15 from county public GIS (logis.loudoun.gov)</t>
        </is>
      </c>
    </row>
    <row r="2"/>
    <row r="3">
      <c r="A3" t="inlineStr">
        <is>
          <t>Status</t>
        </is>
      </c>
      <c r="B3" t="inlineStr">
        <is>
          <t>Buildings</t>
        </is>
      </c>
      <c r="C3" t="inlineStr">
        <is>
          <t>Applications/projects</t>
        </is>
      </c>
    </row>
    <row r="4">
      <c r="A4" t="inlineStr">
        <is>
          <t>Existing / operating (inferred)</t>
        </is>
      </c>
      <c r="B4" t="n">
        <v>184</v>
      </c>
      <c r="C4" t="n">
        <v>0</v>
      </c>
    </row>
    <row r="5">
      <c r="A5" t="inlineStr">
        <is>
          <t>Under construction / permitted, not complete (inferred)</t>
        </is>
      </c>
      <c r="B5" t="n">
        <v>39</v>
      </c>
      <c r="C5" t="n">
        <v>0</v>
      </c>
    </row>
    <row r="6">
      <c r="A6" t="inlineStr">
        <is>
          <t>Approved, not yet built (inferred)</t>
        </is>
      </c>
      <c r="B6" t="n">
        <v>0</v>
      </c>
      <c r="C6" t="n">
        <v>72</v>
      </c>
    </row>
    <row r="7">
      <c r="A7" t="inlineStr">
        <is>
          <t>Approved entitlement; buildings already on site</t>
        </is>
      </c>
      <c r="B7" t="n">
        <v>0</v>
      </c>
      <c r="C7" t="n">
        <v>132</v>
      </c>
    </row>
    <row r="8">
      <c r="A8" t="inlineStr">
        <is>
          <t>Pending application</t>
        </is>
      </c>
      <c r="B8" t="n">
        <v>0</v>
      </c>
      <c r="C8" t="n">
        <v>69</v>
      </c>
    </row>
    <row r="9">
      <c r="A9" t="inlineStr">
        <is>
          <t>Denied / withdrawn</t>
        </is>
      </c>
      <c r="B9" t="n">
        <v>0</v>
      </c>
      <c r="C9" t="n">
        <v>0</v>
      </c>
    </row>
    <row r="10"/>
    <row r="11">
      <c r="A11" t="inlineStr">
        <is>
          <t>Building points = BuildOut_LandUse layer 0, use COM_DATA_CENTER, development status 'Existing or Permitted' (223). County does not publish sq ft per building here (field empty).</t>
        </is>
      </c>
    </row>
    <row r="12">
      <c r="A12" t="inlineStr">
        <is>
          <t>Applications = LOLA_DATA layer 0 plans whose name/description mention 'data center' (zoning/legislative and engineering/site plans). Applicant names are not in the public layer.</t>
        </is>
      </c>
    </row>
    <row r="13">
      <c r="A13" t="inlineStr">
        <is>
          <t>Status labels with '(inferred)' are our interpretation. Denied/withdrawn: none found in the public layer for data center zoning cases (withdrawn cases are not published).</t>
        </is>
      </c>
    </row>
    <row r="14">
      <c r="A14" t="inlineStr">
        <is>
          <t>Planning-area sheet: county buildout estimates of data center sf (existing 35.7M sf, zoned remaining 44.9M sf), as of 7/1/2025.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7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3" t="inlineStr">
        <is>
          <t>Combined #</t>
        </is>
      </c>
      <c r="B1" s="3" t="inlineStr">
        <is>
          <t>map #</t>
        </is>
      </c>
      <c r="C1" s="3" t="inlineStr">
        <is>
          <t>project name</t>
        </is>
      </c>
      <c r="D1" s="3" t="inlineStr">
        <is>
          <t>type</t>
        </is>
      </c>
      <c r="E1" s="3" t="inlineStr">
        <is>
          <t>status</t>
        </is>
      </c>
      <c r="F1" s="3" t="inlineStr">
        <is>
          <t>status basis</t>
        </is>
      </c>
      <c r="G1" s="3" t="inlineStr">
        <is>
          <t>primary case</t>
        </is>
      </c>
      <c r="H1" s="3" t="inlineStr">
        <is>
          <t>all cases (type, county status)</t>
        </is>
      </c>
      <c r="I1" s="3" t="inlineStr">
        <is>
          <t>first applied</t>
        </is>
      </c>
      <c r="J1" s="3" t="inlineStr">
        <is>
          <t>description (trimmed)</t>
        </is>
      </c>
      <c r="K1" s="3" t="inlineStr">
        <is>
          <t>buildings on site (map #)</t>
        </is>
      </c>
      <c r="L1" s="3" t="inlineStr">
        <is>
          <t>building PINs</t>
        </is>
      </c>
      <c r="M1" s="3" t="inlineStr">
        <is>
          <t>lat</t>
        </is>
      </c>
      <c r="N1" s="3" t="inlineStr">
        <is>
          <t>lon</t>
        </is>
      </c>
      <c r="O1" s="3" t="inlineStr">
        <is>
          <t>source</t>
        </is>
      </c>
    </row>
    <row r="2">
      <c r="A2" t="n">
        <v>471</v>
      </c>
      <c r="B2" t="n">
        <v>224</v>
      </c>
      <c r="C2" t="inlineStr">
        <is>
          <t>RACEFIELD SUBSTATION</t>
        </is>
      </c>
      <c r="D2" t="inlineStr">
        <is>
          <t>Zoning/legislative</t>
        </is>
      </c>
      <c r="E2" t="inlineStr">
        <is>
          <t>Approved, not yet built (inferred)</t>
        </is>
      </c>
      <c r="F2" t="inlineStr">
        <is>
          <t>County-stated status of application(s): Approved. Built/not-built is INFERRED: no mapped data center building lies within the application area.</t>
        </is>
      </c>
      <c r="G2" t="inlineStr">
        <is>
          <t>CMPT-2022-0007</t>
        </is>
      </c>
      <c r="H2" t="inlineStr">
        <is>
          <t>CMPT-2022-0007 (Commission Permit, Approved)</t>
        </is>
      </c>
      <c r="I2" t="inlineStr">
        <is>
          <t>2023-12-13</t>
        </is>
      </c>
      <c r="J2" t="inlineStr">
        <is>
          <t>See LEGI-2023-0090 for all documents, timelines and workflow - RACEFIELD SUBSTATION : A Commission Permit for a Utility Substation to serve planned data center and an existing data center on property.</t>
        </is>
      </c>
      <c r="M2" t="n">
        <v>38.946135</v>
      </c>
      <c r="N2" t="n">
        <v>-77.551782</v>
      </c>
      <c r="O2" t="inlineStr">
        <is>
          <t>https://logis.loudoun.gov/gis/rest/services/Projects/LOLA_DATA/MapServer/0/query?where=PlanNumber%3D%27CMPT-2022-0007%27&amp;outFields=PlanNumber,PlanType,PlanStatus,PlanName,PlanApplicationDate,PlanDescription&amp;f=html</t>
        </is>
      </c>
    </row>
    <row r="3">
      <c r="A3" t="n">
        <v>472</v>
      </c>
      <c r="B3" t="n">
        <v>225</v>
      </c>
      <c r="C3" t="inlineStr">
        <is>
          <t>Loudoun Business Park</t>
        </is>
      </c>
      <c r="D3" t="inlineStr">
        <is>
          <t>Zoning/legislative</t>
        </is>
      </c>
      <c r="E3" t="inlineStr">
        <is>
          <t>Pending application</t>
        </is>
      </c>
      <c r="F3" t="inlineStr">
        <is>
          <t>County-stated status of application(s): In Review.</t>
        </is>
      </c>
      <c r="G3" t="inlineStr">
        <is>
          <t>SPEX-2025-0061</t>
        </is>
      </c>
      <c r="H3" t="inlineStr">
        <is>
          <t>SPEX-2025-0061 (Special Exception, In Review); SPEX-2025-0097 (Special Exception, In Review); CMPT-2025-0008 (Commission Permit, In Review); LEGI-2025-0034 (Legislative Application, In Review); CMPT-2026-0010 (Commission Permit, In Review)</t>
        </is>
      </c>
      <c r="I3" t="inlineStr">
        <is>
          <t>2025-07-09</t>
        </is>
      </c>
      <c r="J3" t="inlineStr">
        <is>
          <t>LOUDOUN BUSINESS PARK CMPT-2026-0010: A Commission Permit to permit a public utility. CMPT-2025-0008: A Commission Permit to permit a public utility. SPEX-2025-0061: A Special Exception to permit a data center in the Industrial Park (IP) Zoning District. SPEX-2025-0072: A Special Exception to permit</t>
        </is>
      </c>
      <c r="M3" t="n">
        <v>38.98152</v>
      </c>
      <c r="N3" t="n">
        <v>-77.437802</v>
      </c>
      <c r="O3" t="inlineStr">
        <is>
          <t>https://logis.loudoun.gov/gis/rest/services/Projects/LOLA_DATA/MapServer/0/query?where=PlanNumber%3D%27CMPT-2026-0010%27&amp;outFields=PlanNumber,PlanType,PlanStatus,PlanName,PlanApplicationDate,PlanDescription&amp;f=html</t>
        </is>
      </c>
    </row>
    <row r="4">
      <c r="A4" t="n">
        <v>473</v>
      </c>
      <c r="B4" t="n">
        <v>226</v>
      </c>
      <c r="C4" t="inlineStr">
        <is>
          <t>606 DATA CENTER</t>
        </is>
      </c>
      <c r="D4" t="inlineStr">
        <is>
          <t>Site/engineering plan</t>
        </is>
      </c>
      <c r="E4" t="inlineStr">
        <is>
          <t>Approved entitlement; buildings already on site</t>
        </is>
      </c>
      <c r="F4" t="inlineStr">
        <is>
          <t>County-stated status of application(s): Approved. Built/not-built is INFERRED: 2 data center building point(s) lie on/adjacent to the application area.</t>
        </is>
      </c>
      <c r="G4" t="inlineStr">
        <is>
          <t>CPAP-2018-0002</t>
        </is>
      </c>
      <c r="H4" t="inlineStr">
        <is>
          <t>CPAP-2018-0002 (Engineering Plan, Approved); CPAR-2018-0009 (Engineering Plan, Approved); CPAR-2018-0027 (Engineering Plan, Approved)</t>
        </is>
      </c>
      <c r="I4" t="inlineStr">
        <is>
          <t>2018-01-26</t>
        </is>
      </c>
      <c r="J4" t="inlineStr">
        <is>
          <t>606 DATA CENTER : REQUEST APPROVAL OF CONSTRUCTION PLANS AND PROFILES REVISION (CPAR) TOPREVIOUSLY APPROVED CPAP-2018-0002 TO MODIFY ROUGH GRADING AND EROSIONAND SEDIMENT CONTROLS TO ACCOMMODATE FUTURE DEVELOPMENT, IN THE PLANNED DEVELOPMENT- GENERAL INDUSTRIAL (PDGI) ZONING DISTRICT. HV</t>
        </is>
      </c>
      <c r="K4" t="inlineStr">
        <is>
          <t>134, 179</t>
        </is>
      </c>
      <c r="L4" t="inlineStr">
        <is>
          <t>124369522000</t>
        </is>
      </c>
      <c r="M4" t="n">
        <v>38.958524</v>
      </c>
      <c r="N4" t="n">
        <v>-77.505234</v>
      </c>
      <c r="O4" t="inlineStr">
        <is>
          <t>https://logis.loudoun.gov/gis/rest/services/Projects/LOLA_DATA/MapServer/0/query?where=PlanNumber%3D%27CPAR-2018-0027%27&amp;outFields=PlanNumber,PlanType,PlanStatus,PlanName,PlanApplicationDate,PlanDescription&amp;f=html</t>
        </is>
      </c>
    </row>
    <row r="5">
      <c r="A5" t="n">
        <v>474</v>
      </c>
      <c r="B5" t="n">
        <v>227</v>
      </c>
      <c r="C5" t="inlineStr">
        <is>
          <t>AREP BEAUMEADE DATA CENTER</t>
        </is>
      </c>
      <c r="D5" t="inlineStr">
        <is>
          <t>Site/engineering plan</t>
        </is>
      </c>
      <c r="E5" t="inlineStr">
        <is>
          <t>Approved entitlement; buildings already on site</t>
        </is>
      </c>
      <c r="F5" t="inlineStr">
        <is>
          <t>County-stated status of application(s): Approved. Built/not-built is INFERRED: 1 data center building point(s) lie on/adjacent to the application area.</t>
        </is>
      </c>
      <c r="G5" t="inlineStr">
        <is>
          <t>CPAP-2021-0010</t>
        </is>
      </c>
      <c r="H5" t="inlineStr">
        <is>
          <t>CPAP-2021-0010 (Engineering Plan, Approved); STMP-2021-0006 (Engineering Plan, Approved); CPAR-2021-0022 (Engineering Plan, Approved); SPAM-2022-0033 (Engineering Plan, Approved); EPLAN-2025-0072 (Engineering Plan, Approved)</t>
        </is>
      </c>
      <c r="I5" t="inlineStr">
        <is>
          <t>2021-02-25</t>
        </is>
      </c>
      <c r="J5" t="inlineStr">
        <is>
          <t>AREP BEAUMEADE DATA CENTER - Revision to previously approved STMP-2021-0006 and SPAM-2022-0033 to add 19 parking spaces</t>
        </is>
      </c>
      <c r="K5" t="inlineStr">
        <is>
          <t>178</t>
        </is>
      </c>
      <c r="L5" t="inlineStr">
        <is>
          <t>042152579000</t>
        </is>
      </c>
      <c r="M5" t="n">
        <v>39.019644</v>
      </c>
      <c r="N5" t="n">
        <v>-77.45032500000001</v>
      </c>
      <c r="O5" t="inlineStr">
        <is>
          <t>https://logis.loudoun.gov/gis/rest/services/Projects/LOLA_DATA/MapServer/0/query?where=PlanNumber%3D%27EPLAN-2025-0072%27&amp;outFields=PlanNumber,PlanType,PlanStatus,PlanName,PlanApplicationDate,PlanDescription&amp;f=html</t>
        </is>
      </c>
    </row>
    <row r="6">
      <c r="A6" t="n">
        <v>475</v>
      </c>
      <c r="B6" t="n">
        <v>228</v>
      </c>
      <c r="C6" t="inlineStr">
        <is>
          <t>INOVA Health System Phase 1</t>
        </is>
      </c>
      <c r="D6" t="inlineStr">
        <is>
          <t>Site/engineering plan</t>
        </is>
      </c>
      <c r="E6" t="inlineStr">
        <is>
          <t>Approved, not yet built (inferred)</t>
        </is>
      </c>
      <c r="F6" t="inlineStr">
        <is>
          <t>County-stated status of application(s): Approved. Built/not-built is INFERRED: no mapped data center building lies within the application area.</t>
        </is>
      </c>
      <c r="G6" t="inlineStr">
        <is>
          <t>EPLAN-2023-0051</t>
        </is>
      </c>
      <c r="H6" t="inlineStr">
        <is>
          <t>EPLAN-2023-0051 (Engineering Plan, Approved)</t>
        </is>
      </c>
      <c r="I6" t="inlineStr">
        <is>
          <t>2023-08-21</t>
        </is>
      </c>
      <c r="J6" t="inlineStr">
        <is>
          <t>Proposed new data center layout and associated infrastructure</t>
        </is>
      </c>
      <c r="M6" t="n">
        <v>39.117252</v>
      </c>
      <c r="N6" t="n">
        <v>-77.578317</v>
      </c>
      <c r="O6" t="inlineStr">
        <is>
          <t>https://logis.loudoun.gov/gis/rest/services/Projects/LOLA_DATA/MapServer/0/query?where=PlanNumber%3D%27EPLAN-2023-0051%27&amp;outFields=PlanNumber,PlanType,PlanStatus,PlanName,PlanApplicationDate,PlanDescription&amp;f=html</t>
        </is>
      </c>
    </row>
    <row r="7">
      <c r="A7" t="n">
        <v>476</v>
      </c>
      <c r="B7" t="n">
        <v>229</v>
      </c>
      <c r="C7" t="inlineStr">
        <is>
          <t>H5 DATA CENTER</t>
        </is>
      </c>
      <c r="D7" t="inlineStr">
        <is>
          <t>Site/engineering plan</t>
        </is>
      </c>
      <c r="E7" t="inlineStr">
        <is>
          <t>Approved entitlement; buildings already on site</t>
        </is>
      </c>
      <c r="F7" t="inlineStr">
        <is>
          <t>County-stated status of application(s): Approved. Built/not-built is INFERRED: 1 data center building point(s) lie on/adjacent to the application area.</t>
        </is>
      </c>
      <c r="G7" t="inlineStr">
        <is>
          <t>STMP-2022-0022</t>
        </is>
      </c>
      <c r="H7" t="inlineStr">
        <is>
          <t>STMP-2022-0022 (Engineering Plan, Approved); EPLAN-2023-0078 (Engineering Plan, Approved)</t>
        </is>
      </c>
      <c r="I7" t="inlineStr">
        <is>
          <t>2022-10-26</t>
        </is>
      </c>
      <c r="J7" t="inlineStr">
        <is>
          <t>SPAM Application to revise the site layout, grading plan and utility plan to reflect design revisions.</t>
        </is>
      </c>
      <c r="K7" t="inlineStr">
        <is>
          <t>7</t>
        </is>
      </c>
      <c r="L7" t="inlineStr">
        <is>
          <t>061307791000</t>
        </is>
      </c>
      <c r="M7" t="n">
        <v>39.013705</v>
      </c>
      <c r="N7" t="n">
        <v>-77.45165900000001</v>
      </c>
      <c r="O7" t="inlineStr">
        <is>
          <t>https://logis.loudoun.gov/gis/rest/services/Projects/LOLA_DATA/MapServer/0/query?where=PlanNumber%3D%27EPLAN-2023-0078%27&amp;outFields=PlanNumber,PlanType,PlanStatus,PlanName,PlanApplicationDate,PlanDescription&amp;f=html</t>
        </is>
      </c>
    </row>
    <row r="8">
      <c r="A8" t="n">
        <v>477</v>
      </c>
      <c r="B8" t="n">
        <v>230</v>
      </c>
      <c r="C8" t="inlineStr">
        <is>
          <t>Ashburn East Phase 1 &amp; 2</t>
        </is>
      </c>
      <c r="D8" t="inlineStr">
        <is>
          <t>Site/engineering plan</t>
        </is>
      </c>
      <c r="E8" t="inlineStr">
        <is>
          <t>Approved, not yet built (inferred)</t>
        </is>
      </c>
      <c r="F8" t="inlineStr">
        <is>
          <t>County-stated status of application(s): Approved. Built/not-built is INFERRED: no mapped data center building lies within the application area.</t>
        </is>
      </c>
      <c r="G8" t="inlineStr">
        <is>
          <t>EPLAN-2023-0083</t>
        </is>
      </c>
      <c r="H8" t="inlineStr">
        <is>
          <t>EPLAN-2023-0083 (Engineering Plan, Approved)</t>
        </is>
      </c>
      <c r="I8" t="inlineStr">
        <is>
          <t>2023-09-25</t>
        </is>
      </c>
      <c r="J8" t="inlineStr">
        <is>
          <t xml:space="preserve">ASHBURN EAST PH 2: This is an STMP application, and it is a revision to the previously approved STMP-2018-0006 and subsequent SPAM application SPAM-2019-0057 (Ashburn East Phase 1 &amp; 2). The previously approved plans proposed two data center buildings along with associated site utilities, travelways </t>
        </is>
      </c>
      <c r="M8" t="n">
        <v>39.117252</v>
      </c>
      <c r="N8" t="n">
        <v>-77.578317</v>
      </c>
      <c r="O8" t="inlineStr">
        <is>
          <t>https://logis.loudoun.gov/gis/rest/services/Projects/LOLA_DATA/MapServer/0/query?where=PlanNumber%3D%27EPLAN-2023-0083%27&amp;outFields=PlanNumber,PlanType,PlanStatus,PlanName,PlanApplicationDate,PlanDescription&amp;f=html</t>
        </is>
      </c>
    </row>
    <row r="9">
      <c r="A9" t="n">
        <v>478</v>
      </c>
      <c r="B9" t="n">
        <v>231</v>
      </c>
      <c r="C9" t="inlineStr">
        <is>
          <t>1501 Moran Road - AS02</t>
        </is>
      </c>
      <c r="D9" t="inlineStr">
        <is>
          <t>Site/engineering plan</t>
        </is>
      </c>
      <c r="E9" t="inlineStr">
        <is>
          <t>Approved, not yet built (inferred)</t>
        </is>
      </c>
      <c r="F9" t="inlineStr">
        <is>
          <t>County-stated status of application(s): Approved. Built/not-built is INFERRED: no mapped data center building lies within the application area.</t>
        </is>
      </c>
      <c r="G9" t="inlineStr">
        <is>
          <t>EPLAN-2023-0087</t>
        </is>
      </c>
      <c r="H9" t="inlineStr">
        <is>
          <t>EPLAN-2023-0087 (Engineering Plan, Approved)</t>
        </is>
      </c>
      <c r="I9" t="inlineStr">
        <is>
          <t>2023-09-29</t>
        </is>
      </c>
      <c r="J9" t="inlineStr">
        <is>
          <t>1501 MORAN ROAD - AS02: This plan proposes a data center with the associated utilities, roads, and parking. STPL</t>
        </is>
      </c>
      <c r="M9" t="n">
        <v>38.99501</v>
      </c>
      <c r="N9" t="n">
        <v>-77.446123</v>
      </c>
      <c r="O9" t="inlineStr">
        <is>
          <t>https://logis.loudoun.gov/gis/rest/services/Projects/LOLA_DATA/MapServer/0/query?where=PlanNumber%3D%27EPLAN-2023-0087%27&amp;outFields=PlanNumber,PlanType,PlanStatus,PlanName,PlanApplicationDate,PlanDescription&amp;f=html</t>
        </is>
      </c>
    </row>
    <row r="10">
      <c r="A10" t="n">
        <v>479</v>
      </c>
      <c r="B10" t="n">
        <v>232</v>
      </c>
      <c r="C10" t="inlineStr">
        <is>
          <t>Allegro North Campus - Building 2A</t>
        </is>
      </c>
      <c r="D10" t="inlineStr">
        <is>
          <t>Site/engineering plan</t>
        </is>
      </c>
      <c r="E10" t="inlineStr">
        <is>
          <t>Pending application</t>
        </is>
      </c>
      <c r="F10" t="inlineStr">
        <is>
          <t>County-stated status of application(s): In Review.</t>
        </is>
      </c>
      <c r="G10" t="inlineStr">
        <is>
          <t>EPLAN-2023-0104</t>
        </is>
      </c>
      <c r="H10" t="inlineStr">
        <is>
          <t>EPLAN-2023-0104 (Engineering Plan, In Review)</t>
        </is>
      </c>
      <c r="I10" t="inlineStr">
        <is>
          <t>2023-10-27</t>
        </is>
      </c>
      <c r="J10" t="inlineStr">
        <is>
          <t>(Conditional Approval) (STPL) ALLEGRO NORTH CAMPUS - BLDG 2A: Data Center and support facilities.</t>
        </is>
      </c>
      <c r="M10" t="n">
        <v>38.954486</v>
      </c>
      <c r="N10" t="n">
        <v>-77.548073</v>
      </c>
      <c r="O10" t="inlineStr">
        <is>
          <t>https://logis.loudoun.gov/gis/rest/services/Projects/LOLA_DATA/MapServer/0/query?where=PlanNumber%3D%27EPLAN-2023-0104%27&amp;outFields=PlanNumber,PlanType,PlanStatus,PlanName,PlanApplicationDate,PlanDescription&amp;f=html</t>
        </is>
      </c>
    </row>
    <row r="11">
      <c r="A11" t="n">
        <v>480</v>
      </c>
      <c r="B11" t="n">
        <v>233</v>
      </c>
      <c r="C11" t="inlineStr">
        <is>
          <t>Project Motion - Phase 3</t>
        </is>
      </c>
      <c r="D11" t="inlineStr">
        <is>
          <t>Site/engineering plan</t>
        </is>
      </c>
      <c r="E11" t="inlineStr">
        <is>
          <t>Approved entitlement; buildings already on site</t>
        </is>
      </c>
      <c r="F11" t="inlineStr">
        <is>
          <t>County-stated status of application(s): Approved. Built/not-built is INFERRED: 3 data center building point(s) lie on/adjacent to the application area.</t>
        </is>
      </c>
      <c r="G11" t="inlineStr">
        <is>
          <t>EPLAN-2023-0111</t>
        </is>
      </c>
      <c r="H11" t="inlineStr">
        <is>
          <t>EPLAN-2023-0111 (Engineering Plan, Approved)</t>
        </is>
      </c>
      <c r="I11" t="inlineStr">
        <is>
          <t>2023-11-09</t>
        </is>
      </c>
      <c r="J11" t="inlineStr">
        <is>
          <t>PROJECT MOTION PH 3: Site Plan (STMP) for Data Center and support facilities.</t>
        </is>
      </c>
      <c r="K11" t="inlineStr">
        <is>
          <t>109, 165, 222</t>
        </is>
      </c>
      <c r="L11" t="inlineStr">
        <is>
          <t>162176713000</t>
        </is>
      </c>
      <c r="M11" t="n">
        <v>38.94277</v>
      </c>
      <c r="N11" t="n">
        <v>-77.528132</v>
      </c>
      <c r="O11" t="inlineStr">
        <is>
          <t>https://logis.loudoun.gov/gis/rest/services/Projects/LOLA_DATA/MapServer/0/query?where=PlanNumber%3D%27EPLAN-2023-0111%27&amp;outFields=PlanNumber,PlanType,PlanStatus,PlanName,PlanApplicationDate,PlanDescription&amp;f=html</t>
        </is>
      </c>
    </row>
    <row r="12">
      <c r="A12" t="n">
        <v>481</v>
      </c>
      <c r="B12" t="n">
        <v>234</v>
      </c>
      <c r="C12" t="inlineStr">
        <is>
          <t>JK TECHNOLOGY PARK #3</t>
        </is>
      </c>
      <c r="D12" t="inlineStr">
        <is>
          <t>Site/engineering plan</t>
        </is>
      </c>
      <c r="E12" t="inlineStr">
        <is>
          <t>Pending application</t>
        </is>
      </c>
      <c r="F12" t="inlineStr">
        <is>
          <t>County-stated status of application(s): In Review.</t>
        </is>
      </c>
      <c r="G12" t="inlineStr">
        <is>
          <t>EPLAN-2023-0115</t>
        </is>
      </c>
      <c r="H12" t="inlineStr">
        <is>
          <t>EPLAN-2023-0115 (Engineering Plan, In Review)</t>
        </is>
      </c>
      <c r="I12" t="inlineStr">
        <is>
          <t>2023-11-20</t>
        </is>
      </c>
      <c r="J12" t="inlineStr">
        <is>
          <t>(Conditional Approval) JK TECHNOLOGY PARK #3: Proposed Data Center and associated infrastructure (STPL)</t>
        </is>
      </c>
      <c r="M12" t="n">
        <v>38.945754</v>
      </c>
      <c r="N12" t="n">
        <v>-77.54097</v>
      </c>
      <c r="O12" t="inlineStr">
        <is>
          <t>https://logis.loudoun.gov/gis/rest/services/Projects/LOLA_DATA/MapServer/0/query?where=PlanNumber%3D%27EPLAN-2023-0115%27&amp;outFields=PlanNumber,PlanType,PlanStatus,PlanName,PlanApplicationDate,PlanDescription&amp;f=html</t>
        </is>
      </c>
    </row>
    <row r="13">
      <c r="A13" t="n">
        <v>482</v>
      </c>
      <c r="B13" t="n">
        <v>235</v>
      </c>
      <c r="C13" t="inlineStr">
        <is>
          <t>Pacific Corporate Park</t>
        </is>
      </c>
      <c r="D13" t="inlineStr">
        <is>
          <t>Site/engineering plan</t>
        </is>
      </c>
      <c r="E13" t="inlineStr">
        <is>
          <t>Approved entitlement; buildings already on site</t>
        </is>
      </c>
      <c r="F13" t="inlineStr">
        <is>
          <t>County-stated status of application(s): Approved. Built/not-built is INFERRED: 2 data center building point(s) lie on/adjacent to the application area.</t>
        </is>
      </c>
      <c r="G13" t="inlineStr">
        <is>
          <t>EPLAN-2023-0116</t>
        </is>
      </c>
      <c r="H13" t="inlineStr">
        <is>
          <t>EPLAN-2023-0116 (Engineering Plan, Approved)</t>
        </is>
      </c>
      <c r="I13" t="inlineStr">
        <is>
          <t>2023-11-20</t>
        </is>
      </c>
      <c r="J13" t="inlineStr">
        <is>
          <t>Bluebeam ID 305-463-286, PACIFIC CORPORATE PARK: Fast track site plan for construction of 3 data center buildings and a distribution substation. Includes new buildings, travelways, parking, stormwater facilities, sanitary lines, water lines, shared use paths/ sidewalks, landscaping and lighting.</t>
        </is>
      </c>
      <c r="K13" t="inlineStr">
        <is>
          <t>220, 221</t>
        </is>
      </c>
      <c r="L13" t="inlineStr">
        <is>
          <t>044461959000</t>
        </is>
      </c>
      <c r="M13" t="n">
        <v>39.004633</v>
      </c>
      <c r="N13" t="n">
        <v>-77.4469</v>
      </c>
      <c r="O13" t="inlineStr">
        <is>
          <t>https://logis.loudoun.gov/gis/rest/services/Projects/LOLA_DATA/MapServer/0/query?where=PlanNumber%3D%27EPLAN-2023-0116%27&amp;outFields=PlanNumber,PlanType,PlanStatus,PlanName,PlanApplicationDate,PlanDescription&amp;f=html</t>
        </is>
      </c>
    </row>
    <row r="14">
      <c r="A14" t="n">
        <v>483</v>
      </c>
      <c r="B14" t="n">
        <v>236</v>
      </c>
      <c r="C14" t="inlineStr">
        <is>
          <t>JK Technology Park #2</t>
        </is>
      </c>
      <c r="D14" t="inlineStr">
        <is>
          <t>Site/engineering plan</t>
        </is>
      </c>
      <c r="E14" t="inlineStr">
        <is>
          <t>Pending application</t>
        </is>
      </c>
      <c r="F14" t="inlineStr">
        <is>
          <t>County-stated status of application(s): In Review.</t>
        </is>
      </c>
      <c r="G14" t="inlineStr">
        <is>
          <t>EPLAN-2023-0122</t>
        </is>
      </c>
      <c r="H14" t="inlineStr">
        <is>
          <t>EPLAN-2023-0122 (Engineering Plan, In Review)</t>
        </is>
      </c>
      <c r="I14" t="inlineStr">
        <is>
          <t>2023-12-01</t>
        </is>
      </c>
      <c r="J14" t="inlineStr">
        <is>
          <t>JK Technology Park #2 - STPL for construction of two (2) data center buildings with associated infrastructure and relocation of pond proposed with future Dulles West Boulevard (designed with CRCP-2020-0012)</t>
        </is>
      </c>
      <c r="M14" t="n">
        <v>38.948364</v>
      </c>
      <c r="N14" t="n">
        <v>-77.544206</v>
      </c>
      <c r="O14" t="inlineStr">
        <is>
          <t>https://logis.loudoun.gov/gis/rest/services/Projects/LOLA_DATA/MapServer/0/query?where=PlanNumber%3D%27EPLAN-2023-0122%27&amp;outFields=PlanNumber,PlanType,PlanStatus,PlanName,PlanApplicationDate,PlanDescription&amp;f=html</t>
        </is>
      </c>
    </row>
    <row r="15">
      <c r="A15" t="n">
        <v>484</v>
      </c>
      <c r="B15" t="n">
        <v>237</v>
      </c>
      <c r="C15" t="inlineStr">
        <is>
          <t>PROJECT ASPEN</t>
        </is>
      </c>
      <c r="D15" t="inlineStr">
        <is>
          <t>Site/engineering plan</t>
        </is>
      </c>
      <c r="E15" t="inlineStr">
        <is>
          <t>Approved entitlement; buildings already on site</t>
        </is>
      </c>
      <c r="F15" t="inlineStr">
        <is>
          <t>County-stated status of application(s): Approved. Built/not-built is INFERRED: 3 data center building point(s) lie on/adjacent to the application area.</t>
        </is>
      </c>
      <c r="G15" t="inlineStr">
        <is>
          <t>STMP-2020-0015</t>
        </is>
      </c>
      <c r="H15" t="inlineStr">
        <is>
          <t>STMP-2020-0015 (Engineering Plan, Approved); EPLAN-2023-0128 (Engineering Plan, Approved)</t>
        </is>
      </c>
      <c r="I15" t="inlineStr">
        <is>
          <t>2020-10-27</t>
        </is>
      </c>
      <c r="J15" t="inlineStr">
        <is>
          <t>PROJECT ASPEN: FAST TRACK Site Plan is for the Phase 3 extension of the existing Data Center complex with associated support facilities.</t>
        </is>
      </c>
      <c r="K15" t="inlineStr">
        <is>
          <t>118, 126, 127</t>
        </is>
      </c>
      <c r="L15" t="inlineStr">
        <is>
          <t>194498227000</t>
        </is>
      </c>
      <c r="M15" t="n">
        <v>39.05193</v>
      </c>
      <c r="N15" t="n">
        <v>-77.536203</v>
      </c>
      <c r="O15" t="inlineStr">
        <is>
          <t>https://logis.loudoun.gov/gis/rest/services/Projects/LOLA_DATA/MapServer/0/query?where=PlanNumber%3D%27EPLAN-2023-0128%27&amp;outFields=PlanNumber,PlanType,PlanStatus,PlanName,PlanApplicationDate,PlanDescription&amp;f=html</t>
        </is>
      </c>
    </row>
    <row r="16">
      <c r="A16" t="n">
        <v>485</v>
      </c>
      <c r="B16" t="n">
        <v>238</v>
      </c>
      <c r="C16" t="inlineStr">
        <is>
          <t>Allegro North Campus - Building 2B-2E Site Plan</t>
        </is>
      </c>
      <c r="D16" t="inlineStr">
        <is>
          <t>Site/engineering plan</t>
        </is>
      </c>
      <c r="E16" t="inlineStr">
        <is>
          <t>Pending application</t>
        </is>
      </c>
      <c r="F16" t="inlineStr">
        <is>
          <t>County-stated status of application(s): In Review.</t>
        </is>
      </c>
      <c r="G16" t="inlineStr">
        <is>
          <t>EPLAN-2023-0130</t>
        </is>
      </c>
      <c r="H16" t="inlineStr">
        <is>
          <t>EPLAN-2023-0130 (Engineering Plan, In Review)</t>
        </is>
      </c>
      <c r="I16" t="inlineStr">
        <is>
          <t>2023-12-08</t>
        </is>
      </c>
      <c r="J16" t="inlineStr">
        <is>
          <t>ALLEGRO NORTH CAMPUS - BLDG 2B-2E: The Site Plan is for Buildings 2B-2E of the North Campus of a data center complex with associated support facilities.</t>
        </is>
      </c>
      <c r="M16" t="n">
        <v>38.956039</v>
      </c>
      <c r="N16" t="n">
        <v>-77.54574100000001</v>
      </c>
      <c r="O16" t="inlineStr">
        <is>
          <t>https://logis.loudoun.gov/gis/rest/services/Projects/LOLA_DATA/MapServer/0/query?where=PlanNumber%3D%27EPLAN-2023-0130%27&amp;outFields=PlanNumber,PlanType,PlanStatus,PlanName,PlanApplicationDate,PlanDescription&amp;f=html</t>
        </is>
      </c>
    </row>
    <row r="17">
      <c r="A17" t="n">
        <v>486</v>
      </c>
      <c r="B17" t="n">
        <v>239</v>
      </c>
      <c r="C17" t="inlineStr">
        <is>
          <t>Vantage VA16</t>
        </is>
      </c>
      <c r="D17" t="inlineStr">
        <is>
          <t>Site/engineering plan</t>
        </is>
      </c>
      <c r="E17" t="inlineStr">
        <is>
          <t>Approved entitlement; buildings already on site</t>
        </is>
      </c>
      <c r="F17" t="inlineStr">
        <is>
          <t>County-stated status of application(s): Approved. Built/not-built is INFERRED: 1 data center building point(s) lie on/adjacent to the application area.</t>
        </is>
      </c>
      <c r="G17" t="inlineStr">
        <is>
          <t>EPLAN-2023-0132</t>
        </is>
      </c>
      <c r="H17" t="inlineStr">
        <is>
          <t>EPLAN-2023-0132 (Engineering Plan, Approved)</t>
        </is>
      </c>
      <c r="I17" t="inlineStr">
        <is>
          <t>2023-12-08</t>
        </is>
      </c>
      <c r="J17" t="inlineStr">
        <is>
          <t>VANTAGE DATA CENTER (VA16): Fast Track Application for a proposed Data Center building and the associated infrastructure.</t>
        </is>
      </c>
      <c r="K17" t="inlineStr">
        <is>
          <t>214</t>
        </is>
      </c>
      <c r="L17" t="inlineStr">
        <is>
          <t>044175589000</t>
        </is>
      </c>
      <c r="M17" t="n">
        <v>38.998665</v>
      </c>
      <c r="N17" t="n">
        <v>-77.44074000000001</v>
      </c>
      <c r="O17" t="inlineStr">
        <is>
          <t>https://logis.loudoun.gov/gis/rest/services/Projects/LOLA_DATA/MapServer/0/query?where=PlanNumber%3D%27EPLAN-2023-0132%27&amp;outFields=PlanNumber,PlanType,PlanStatus,PlanName,PlanApplicationDate,PlanDescription&amp;f=html</t>
        </is>
      </c>
    </row>
    <row r="18">
      <c r="A18" t="n">
        <v>487</v>
      </c>
      <c r="B18" t="n">
        <v>240</v>
      </c>
      <c r="C18" t="inlineStr">
        <is>
          <t>STACK ASHBURN DATA CENTER</t>
        </is>
      </c>
      <c r="D18" t="inlineStr">
        <is>
          <t>Site/engineering plan</t>
        </is>
      </c>
      <c r="E18" t="inlineStr">
        <is>
          <t>Approved entitlement; buildings already on site</t>
        </is>
      </c>
      <c r="F18" t="inlineStr">
        <is>
          <t>County-stated status of application(s): Approved. Built/not-built is INFERRED: 1 data center building point(s) lie on/adjacent to the application area.</t>
        </is>
      </c>
      <c r="G18" t="inlineStr">
        <is>
          <t>STPL-2020-0005</t>
        </is>
      </c>
      <c r="H18" t="inlineStr">
        <is>
          <t>STPL-2020-0005 (Engineering Plan, Approved); EPLAN-2023-0138 (Engineering Plan, Approved)</t>
        </is>
      </c>
      <c r="I18" t="inlineStr">
        <is>
          <t>2020-02-07</t>
        </is>
      </c>
      <c r="J18" t="inlineStr">
        <is>
          <t>STACK ASHBURN DATA CENTER (SPAM): This is a Site Plan Amendment to STPL-2020-0005 Stack Ashburn Data Center for the relocation of tree conservation landscaping necessitated by the proposed Loudoun Water Reclaim Water utility and easement line (processed separately with LW No. 20220117).</t>
        </is>
      </c>
      <c r="K18" t="inlineStr">
        <is>
          <t>30</t>
        </is>
      </c>
      <c r="L18" t="inlineStr">
        <is>
          <t>044261032000</t>
        </is>
      </c>
      <c r="M18" t="n">
        <v>39.004567</v>
      </c>
      <c r="N18" t="n">
        <v>-77.441866</v>
      </c>
      <c r="O18" t="inlineStr">
        <is>
          <t>https://logis.loudoun.gov/gis/rest/services/Projects/LOLA_DATA/MapServer/0/query?where=PlanNumber%3D%27EPLAN-2023-0138%27&amp;outFields=PlanNumber,PlanType,PlanStatus,PlanName,PlanApplicationDate,PlanDescription&amp;f=html</t>
        </is>
      </c>
    </row>
    <row r="19">
      <c r="A19" t="n">
        <v>488</v>
      </c>
      <c r="B19" t="n">
        <v>241</v>
      </c>
      <c r="C19" t="inlineStr">
        <is>
          <t>Prologis - Erin's Run Drive</t>
        </is>
      </c>
      <c r="D19" t="inlineStr">
        <is>
          <t>Site/engineering plan</t>
        </is>
      </c>
      <c r="E19" t="inlineStr">
        <is>
          <t>Pending application</t>
        </is>
      </c>
      <c r="F19" t="inlineStr">
        <is>
          <t>County-stated status of application(s): In Review.</t>
        </is>
      </c>
      <c r="G19" t="inlineStr">
        <is>
          <t>EPLAN-2024-0036</t>
        </is>
      </c>
      <c r="H19" t="inlineStr">
        <is>
          <t>EPLAN-2024-0036 (Engineering Plan, In Review)</t>
        </is>
      </c>
      <c r="I19" t="inlineStr">
        <is>
          <t>2024-04-02</t>
        </is>
      </c>
      <c r="J19" t="inlineStr">
        <is>
          <t>STPL- Proposed redevelopment of existing parking lot into 4 data center buildings with associated improvements</t>
        </is>
      </c>
      <c r="M19" t="n">
        <v>38.953331</v>
      </c>
      <c r="N19" t="n">
        <v>-77.495565</v>
      </c>
      <c r="O19" t="inlineStr">
        <is>
          <t>https://logis.loudoun.gov/gis/rest/services/Projects/LOLA_DATA/MapServer/0/query?where=PlanNumber%3D%27EPLAN-2024-0036%27&amp;outFields=PlanNumber,PlanType,PlanStatus,PlanName,PlanApplicationDate,PlanDescription&amp;f=html</t>
        </is>
      </c>
    </row>
    <row r="20">
      <c r="A20" t="n">
        <v>489</v>
      </c>
      <c r="B20" t="n">
        <v>242</v>
      </c>
      <c r="C20" t="inlineStr">
        <is>
          <t>Thayer Rd</t>
        </is>
      </c>
      <c r="D20" t="inlineStr">
        <is>
          <t>Site/engineering plan</t>
        </is>
      </c>
      <c r="E20" t="inlineStr">
        <is>
          <t>Pending application</t>
        </is>
      </c>
      <c r="F20" t="inlineStr">
        <is>
          <t>County-stated status of application(s): In Review.</t>
        </is>
      </c>
      <c r="G20" t="inlineStr">
        <is>
          <t>EPLAN-2024-0058</t>
        </is>
      </c>
      <c r="H20" t="inlineStr">
        <is>
          <t>EPLAN-2024-0058 (Engineering Plan, In Review)</t>
        </is>
      </c>
      <c r="I20" t="inlineStr">
        <is>
          <t>2024-05-08</t>
        </is>
      </c>
      <c r="J20" t="inlineStr">
        <is>
          <t>(Conditional Approval) Thayer Road - This project consists of a proposed 2-story data center with a road around it, utilities, and other associated infrastructure.</t>
        </is>
      </c>
      <c r="M20" t="n">
        <v>39.026675</v>
      </c>
      <c r="N20" t="n">
        <v>-77.424053</v>
      </c>
      <c r="O20" t="inlineStr">
        <is>
          <t>https://logis.loudoun.gov/gis/rest/services/Projects/LOLA_DATA/MapServer/0/query?where=PlanNumber%3D%27EPLAN-2024-0058%27&amp;outFields=PlanNumber,PlanType,PlanStatus,PlanName,PlanApplicationDate,PlanDescription&amp;f=html</t>
        </is>
      </c>
    </row>
    <row r="21">
      <c r="A21" t="n">
        <v>490</v>
      </c>
      <c r="B21" t="n">
        <v>243</v>
      </c>
      <c r="C21" t="inlineStr">
        <is>
          <t>TUSCARORA CROSSING LANDBAY 7</t>
        </is>
      </c>
      <c r="D21" t="inlineStr">
        <is>
          <t>Site/engineering plan</t>
        </is>
      </c>
      <c r="E21" t="inlineStr">
        <is>
          <t>Approved, not yet built (inferred)</t>
        </is>
      </c>
      <c r="F21" t="inlineStr">
        <is>
          <t>County-stated status of application(s): Approved. Built/not-built is INFERRED: no mapped data center building lies within the application area.</t>
        </is>
      </c>
      <c r="G21" t="inlineStr">
        <is>
          <t>EPLAN-2024-0059</t>
        </is>
      </c>
      <c r="H21" t="inlineStr">
        <is>
          <t>EPLAN-2024-0059 (Engineering Plan, Approved)</t>
        </is>
      </c>
      <c r="I21" t="inlineStr">
        <is>
          <t>2024-05-08</t>
        </is>
      </c>
      <c r="J21" t="inlineStr">
        <is>
          <t>TUSCARORA CROSSING LB 7: REQUEST APPROVAL OF A MODIFIED PROCESS SITE PLAN (STMP) FOR TWO DATA CENTER BUILDINGS in LB 7A and 7B - ZONED PD-IP</t>
        </is>
      </c>
      <c r="M21" t="n">
        <v>39.084559</v>
      </c>
      <c r="N21" t="n">
        <v>-77.52959799999999</v>
      </c>
      <c r="O21" t="inlineStr">
        <is>
          <t>https://logis.loudoun.gov/gis/rest/services/Projects/LOLA_DATA/MapServer/0/query?where=PlanNumber%3D%27EPLAN-2024-0059%27&amp;outFields=PlanNumber,PlanType,PlanStatus,PlanName,PlanApplicationDate,PlanDescription&amp;f=html</t>
        </is>
      </c>
    </row>
    <row r="22">
      <c r="A22" t="n">
        <v>491</v>
      </c>
      <c r="B22" t="n">
        <v>244</v>
      </c>
      <c r="C22" t="inlineStr">
        <is>
          <t>Digital Dulles Phase III</t>
        </is>
      </c>
      <c r="D22" t="inlineStr">
        <is>
          <t>Site/engineering plan</t>
        </is>
      </c>
      <c r="E22" t="inlineStr">
        <is>
          <t>Pending application</t>
        </is>
      </c>
      <c r="F22" t="inlineStr">
        <is>
          <t>County-stated status of application(s): In Review.</t>
        </is>
      </c>
      <c r="G22" t="inlineStr">
        <is>
          <t>EPLAN-2024-0060</t>
        </is>
      </c>
      <c r="H22" t="inlineStr">
        <is>
          <t>EPLAN-2024-0060 (Engineering Plan, In Review)</t>
        </is>
      </c>
      <c r="I22" t="inlineStr">
        <is>
          <t>2024-05-08</t>
        </is>
      </c>
      <c r="J22" t="inlineStr">
        <is>
          <t>DIGITAL DULLES BLDGS 1-4, 10, 12, 13 + SUBSTATION PADS: Proposed development of seven data center buildings with associated infrastructure.</t>
        </is>
      </c>
      <c r="K22" t="inlineStr">
        <is>
          <t>172, 173, 215, 216</t>
        </is>
      </c>
      <c r="L22" t="inlineStr">
        <is>
          <t>093365404000</t>
        </is>
      </c>
      <c r="M22" t="n">
        <v>38.95958</v>
      </c>
      <c r="N22" t="n">
        <v>-77.48923000000001</v>
      </c>
      <c r="O22" t="inlineStr">
        <is>
          <t>https://logis.loudoun.gov/gis/rest/services/Projects/LOLA_DATA/MapServer/0/query?where=PlanNumber%3D%27EPLAN-2024-0060%27&amp;outFields=PlanNumber,PlanType,PlanStatus,PlanName,PlanApplicationDate,PlanDescription&amp;f=html</t>
        </is>
      </c>
    </row>
    <row r="23">
      <c r="A23" t="n">
        <v>492</v>
      </c>
      <c r="B23" t="n">
        <v>245</v>
      </c>
      <c r="C23" t="inlineStr">
        <is>
          <t>Digital Filigree</t>
        </is>
      </c>
      <c r="D23" t="inlineStr">
        <is>
          <t>Site/engineering plan</t>
        </is>
      </c>
      <c r="E23" t="inlineStr">
        <is>
          <t>Approved, not yet built (inferred)</t>
        </is>
      </c>
      <c r="F23" t="inlineStr">
        <is>
          <t>County-stated status of application(s): Approved. Built/not-built is INFERRED: no mapped data center building lies within the application area.</t>
        </is>
      </c>
      <c r="G23" t="inlineStr">
        <is>
          <t>EPLAN-2024-0062</t>
        </is>
      </c>
      <c r="H23" t="inlineStr">
        <is>
          <t>EPLAN-2024-0062 (Engineering Plan, Approved)</t>
        </is>
      </c>
      <c r="I23" t="inlineStr">
        <is>
          <t>2024-05-13</t>
        </is>
      </c>
      <c r="J23" t="inlineStr">
        <is>
          <t>DIGITAL FILIGREE DATA CENTER: Modified Processing (Fast-Track) for proposed Data Center building, with improvements including but not limited to a proposed guard booth, proposed drives aisles, parking, utilities, SWM facilities, sanitary sewer lines, water lines, and landscaping.</t>
        </is>
      </c>
      <c r="M23" t="n">
        <v>39.013941</v>
      </c>
      <c r="N23" t="n">
        <v>-77.45649400000001</v>
      </c>
      <c r="O23" t="inlineStr">
        <is>
          <t>https://logis.loudoun.gov/gis/rest/services/Projects/LOLA_DATA/MapServer/0/query?where=PlanNumber%3D%27EPLAN-2024-0062%27&amp;outFields=PlanNumber,PlanType,PlanStatus,PlanName,PlanApplicationDate,PlanDescription&amp;f=html</t>
        </is>
      </c>
    </row>
    <row r="24">
      <c r="A24" t="n">
        <v>493</v>
      </c>
      <c r="B24" t="n">
        <v>246</v>
      </c>
      <c r="C24" t="inlineStr">
        <is>
          <t>Loudoun Center LC3 Data Center SPAM</t>
        </is>
      </c>
      <c r="D24" t="inlineStr">
        <is>
          <t>Site/engineering plan</t>
        </is>
      </c>
      <c r="E24" t="inlineStr">
        <is>
          <t>Approved entitlement; buildings already on site</t>
        </is>
      </c>
      <c r="F24" t="inlineStr">
        <is>
          <t>County-stated status of application(s): Approved. Built/not-built is INFERRED: 2 data center building point(s) lie on/adjacent to the application area.</t>
        </is>
      </c>
      <c r="G24" t="inlineStr">
        <is>
          <t>EPLAN-2024-0069</t>
        </is>
      </c>
      <c r="H24" t="inlineStr">
        <is>
          <t>EPLAN-2024-0069 (Engineering Plan, Approved)</t>
        </is>
      </c>
      <c r="I24" t="inlineStr">
        <is>
          <t>2024-05-31</t>
        </is>
      </c>
      <c r="J24" t="inlineStr">
        <is>
          <t>LC3 DATA CENTER: THIS APPLICATION IS AN AMENDMENT TO STPL-2020-0044, TO ADD A PERIMETER SECURITY FENCE AND GUARD SHACK TO THE PREVIOUSLY APPROVED SITE PLAN.</t>
        </is>
      </c>
      <c r="K24" t="inlineStr">
        <is>
          <t>119, 177</t>
        </is>
      </c>
      <c r="L24" t="inlineStr">
        <is>
          <t>061275931000; 061285496000</t>
        </is>
      </c>
      <c r="M24" t="n">
        <v>39.01196</v>
      </c>
      <c r="N24" t="n">
        <v>-77.461759</v>
      </c>
      <c r="O24" t="inlineStr">
        <is>
          <t>https://logis.loudoun.gov/gis/rest/services/Projects/LOLA_DATA/MapServer/0/query?where=PlanNumber%3D%27EPLAN-2024-0069%27&amp;outFields=PlanNumber,PlanType,PlanStatus,PlanName,PlanApplicationDate,PlanDescription&amp;f=html</t>
        </is>
      </c>
    </row>
    <row r="25">
      <c r="A25" t="n">
        <v>494</v>
      </c>
      <c r="B25" t="n">
        <v>247</v>
      </c>
      <c r="C25" t="inlineStr">
        <is>
          <t>Ashburn Data Center</t>
        </is>
      </c>
      <c r="D25" t="inlineStr">
        <is>
          <t>Site/engineering plan</t>
        </is>
      </c>
      <c r="E25" t="inlineStr">
        <is>
          <t>Pending application</t>
        </is>
      </c>
      <c r="F25" t="inlineStr">
        <is>
          <t>County-stated status of application(s): In Review.</t>
        </is>
      </c>
      <c r="G25" t="inlineStr">
        <is>
          <t>EPLAN-2024-0077</t>
        </is>
      </c>
      <c r="H25" t="inlineStr">
        <is>
          <t>EPLAN-2024-0077 (Engineering Plan, In Review)</t>
        </is>
      </c>
      <c r="I25" t="inlineStr">
        <is>
          <t>2024-06-17</t>
        </is>
      </c>
      <c r="J25" t="inlineStr">
        <is>
          <t>Site Plan for development of 3 Data Center Buildings</t>
        </is>
      </c>
      <c r="M25" t="n">
        <v>39.024051</v>
      </c>
      <c r="N25" t="n">
        <v>-77.44653099999999</v>
      </c>
      <c r="O25" t="inlineStr">
        <is>
          <t>https://logis.loudoun.gov/gis/rest/services/Projects/LOLA_DATA/MapServer/0/query?where=PlanNumber%3D%27EPLAN-2024-0077%27&amp;outFields=PlanNumber,PlanType,PlanStatus,PlanName,PlanApplicationDate,PlanDescription&amp;f=html</t>
        </is>
      </c>
    </row>
    <row r="26">
      <c r="A26" t="n">
        <v>495</v>
      </c>
      <c r="B26" t="n">
        <v>248</v>
      </c>
      <c r="C26" t="inlineStr">
        <is>
          <t>Dulles Design</t>
        </is>
      </c>
      <c r="D26" t="inlineStr">
        <is>
          <t>Site/engineering plan</t>
        </is>
      </c>
      <c r="E26" t="inlineStr">
        <is>
          <t>Pending application</t>
        </is>
      </c>
      <c r="F26" t="inlineStr">
        <is>
          <t>County-stated status of application(s): In Review.</t>
        </is>
      </c>
      <c r="G26" t="inlineStr">
        <is>
          <t>EPLAN-2024-0081</t>
        </is>
      </c>
      <c r="H26" t="inlineStr">
        <is>
          <t>EPLAN-2024-0081 (Engineering Plan, In Review)</t>
        </is>
      </c>
      <c r="I26" t="inlineStr">
        <is>
          <t>2024-06-20</t>
        </is>
      </c>
      <c r="J26" t="inlineStr">
        <is>
          <t>(Conditional Approval) DULLES DESIGN DATA CENTER: Proposed 2-Story Data Center (STPL)</t>
        </is>
      </c>
      <c r="M26" t="n">
        <v>39.019937</v>
      </c>
      <c r="N26" t="n">
        <v>-77.42774199999999</v>
      </c>
      <c r="O26" t="inlineStr">
        <is>
          <t>https://logis.loudoun.gov/gis/rest/services/Projects/LOLA_DATA/MapServer/0/query?where=PlanNumber%3D%27EPLAN-2024-0081%27&amp;outFields=PlanNumber,PlanType,PlanStatus,PlanName,PlanApplicationDate,PlanDescription&amp;f=html</t>
        </is>
      </c>
    </row>
    <row r="27">
      <c r="A27" t="n">
        <v>496</v>
      </c>
      <c r="B27" t="n">
        <v>249</v>
      </c>
      <c r="C27" t="inlineStr">
        <is>
          <t>IAD03 Relocation Drive Phase II</t>
        </is>
      </c>
      <c r="D27" t="inlineStr">
        <is>
          <t>Site/engineering plan</t>
        </is>
      </c>
      <c r="E27" t="inlineStr">
        <is>
          <t>Approved entitlement; buildings already on site</t>
        </is>
      </c>
      <c r="F27" t="inlineStr">
        <is>
          <t>County-stated status of application(s): Approved. Built/not-built is INFERRED: 1 data center building point(s) lie on/adjacent to the application area.</t>
        </is>
      </c>
      <c r="G27" t="inlineStr">
        <is>
          <t>EPLAN-2024-0082</t>
        </is>
      </c>
      <c r="H27" t="inlineStr">
        <is>
          <t>EPLAN-2024-0082 (Engineering Plan, Approved)</t>
        </is>
      </c>
      <c r="I27" t="inlineStr">
        <is>
          <t>2024-06-21</t>
        </is>
      </c>
      <c r="J27" t="inlineStr">
        <is>
          <t>IAD03 Relocation Drive Phase II - Proposed Data Center building addition to add approximately 69k sf of GFA to the existing data center on the property.</t>
        </is>
      </c>
      <c r="K27" t="inlineStr">
        <is>
          <t>191</t>
        </is>
      </c>
      <c r="L27" t="inlineStr">
        <is>
          <t>045279612000</t>
        </is>
      </c>
      <c r="M27" t="n">
        <v>38.988456</v>
      </c>
      <c r="N27" t="n">
        <v>-77.440907</v>
      </c>
      <c r="O27" t="inlineStr">
        <is>
          <t>https://logis.loudoun.gov/gis/rest/services/Projects/LOLA_DATA/MapServer/0/query?where=PlanNumber%3D%27EPLAN-2024-0082%27&amp;outFields=PlanNumber,PlanType,PlanStatus,PlanName,PlanApplicationDate,PlanDescription&amp;f=html</t>
        </is>
      </c>
    </row>
    <row r="28">
      <c r="A28" t="n">
        <v>497</v>
      </c>
      <c r="B28" t="n">
        <v>250</v>
      </c>
      <c r="C28" t="inlineStr">
        <is>
          <t>DULLES BERRY LC8 DATA CENTER</t>
        </is>
      </c>
      <c r="D28" t="inlineStr">
        <is>
          <t>Site/engineering plan</t>
        </is>
      </c>
      <c r="E28" t="inlineStr">
        <is>
          <t>Pending application</t>
        </is>
      </c>
      <c r="F28" t="inlineStr">
        <is>
          <t>County-stated status of application(s): Approved, In Review.</t>
        </is>
      </c>
      <c r="G28" t="inlineStr">
        <is>
          <t>STMP-2022-0009</t>
        </is>
      </c>
      <c r="H28" t="inlineStr">
        <is>
          <t>STMP-2022-0009 (Engineering Plan, Approved); EPLAN-2024-0093 (Engineering Plan, Approved); EPLAN-2026-0014 (Engineering Plan, In Review)</t>
        </is>
      </c>
      <c r="I28" t="inlineStr">
        <is>
          <t>2022-06-22</t>
        </is>
      </c>
      <c r="J28" t="inlineStr">
        <is>
          <t>DULLES BERRY LC8 DATA CENTER - This application is for the revision to approved EPLAN-2024-0093 Dulles Berry LC8 Data Center. Revisions include a proposed retaining wall, revisions to the limits of disturbance, associated grading, and minor revisions to utilities and tree conservation areas.</t>
        </is>
      </c>
      <c r="K28" t="inlineStr">
        <is>
          <t>187</t>
        </is>
      </c>
      <c r="L28" t="inlineStr">
        <is>
          <t>089208954000</t>
        </is>
      </c>
      <c r="M28" t="n">
        <v>39.001438</v>
      </c>
      <c r="N28" t="n">
        <v>-77.46981100000001</v>
      </c>
      <c r="O28" t="inlineStr">
        <is>
          <t>https://logis.loudoun.gov/gis/rest/services/Projects/LOLA_DATA/MapServer/0/query?where=PlanNumber%3D%27EPLAN-2026-0014%27&amp;outFields=PlanNumber,PlanType,PlanStatus,PlanName,PlanApplicationDate,PlanDescription&amp;f=html</t>
        </is>
      </c>
    </row>
    <row r="29">
      <c r="A29" t="n">
        <v>498</v>
      </c>
      <c r="B29" t="n">
        <v>251</v>
      </c>
      <c r="C29" t="inlineStr">
        <is>
          <t>110 Terminal Drive Data Center</t>
        </is>
      </c>
      <c r="D29" t="inlineStr">
        <is>
          <t>Site/engineering plan</t>
        </is>
      </c>
      <c r="E29" t="inlineStr">
        <is>
          <t>Pending application</t>
        </is>
      </c>
      <c r="F29" t="inlineStr">
        <is>
          <t>County-stated status of application(s): In Review.</t>
        </is>
      </c>
      <c r="G29" t="inlineStr">
        <is>
          <t>EPLAN-2024-0105</t>
        </is>
      </c>
      <c r="H29" t="inlineStr">
        <is>
          <t>EPLAN-2024-0105 (Engineering Plan, In Review)</t>
        </is>
      </c>
      <c r="I29" t="inlineStr">
        <is>
          <t>2024-08-01</t>
        </is>
      </c>
      <c r="J29" t="inlineStr">
        <is>
          <t>110 TERMINAL DRIVE DATA CENTER: Proposed Data Center and its associated infrastructure improvements.</t>
        </is>
      </c>
      <c r="M29" t="n">
        <v>38.985308</v>
      </c>
      <c r="N29" t="n">
        <v>-77.418864</v>
      </c>
      <c r="O29" t="inlineStr">
        <is>
          <t>https://logis.loudoun.gov/gis/rest/services/Projects/LOLA_DATA/MapServer/0/query?where=PlanNumber%3D%27EPLAN-2024-0105%27&amp;outFields=PlanNumber,PlanType,PlanStatus,PlanName,PlanApplicationDate,PlanDescription&amp;f=html</t>
        </is>
      </c>
    </row>
    <row r="30">
      <c r="A30" t="n">
        <v>499</v>
      </c>
      <c r="B30" t="n">
        <v>252</v>
      </c>
      <c r="C30" t="inlineStr">
        <is>
          <t>Data Centers at Compass Creek</t>
        </is>
      </c>
      <c r="D30" t="inlineStr">
        <is>
          <t>Site/engineering plan</t>
        </is>
      </c>
      <c r="E30" t="inlineStr">
        <is>
          <t>Approved, not yet built (inferred)</t>
        </is>
      </c>
      <c r="F30" t="inlineStr">
        <is>
          <t>County-stated status of application(s): Approved. Built/not-built is INFERRED: no mapped data center building lies within the application area.</t>
        </is>
      </c>
      <c r="G30" t="inlineStr">
        <is>
          <t>EPLAN-2024-0114</t>
        </is>
      </c>
      <c r="H30" t="inlineStr">
        <is>
          <t>EPLAN-2024-0114 (Engineering Plan, Approved)</t>
        </is>
      </c>
      <c r="I30" t="inlineStr">
        <is>
          <t>2024-08-14</t>
        </is>
      </c>
      <c r="J30" t="inlineStr">
        <is>
          <t>DATA CENTERS AT COMPASS CREEK: Site Plan Revision to STPL-2023-0004 (SPAM was not allowed due to SF changes)</t>
        </is>
      </c>
      <c r="M30" t="n">
        <v>39.117252</v>
      </c>
      <c r="N30" t="n">
        <v>-77.578317</v>
      </c>
      <c r="O30" t="inlineStr">
        <is>
          <t>https://logis.loudoun.gov/gis/rest/services/Projects/LOLA_DATA/MapServer/0/query?where=PlanNumber%3D%27EPLAN-2024-0114%27&amp;outFields=PlanNumber,PlanType,PlanStatus,PlanName,PlanApplicationDate,PlanDescription&amp;f=html</t>
        </is>
      </c>
    </row>
    <row r="31">
      <c r="A31" t="n">
        <v>500</v>
      </c>
      <c r="B31" t="n">
        <v>253</v>
      </c>
      <c r="C31" t="inlineStr">
        <is>
          <t>Site Plan Amendment for EPLAN-2023-0128</t>
        </is>
      </c>
      <c r="D31" t="inlineStr">
        <is>
          <t>Site/engineering plan</t>
        </is>
      </c>
      <c r="E31" t="inlineStr">
        <is>
          <t>Approved entitlement; buildings already on site</t>
        </is>
      </c>
      <c r="F31" t="inlineStr">
        <is>
          <t>County-stated status of application(s): Approved. Built/not-built is INFERRED: 3 data center building point(s) lie on/adjacent to the application area.</t>
        </is>
      </c>
      <c r="G31" t="inlineStr">
        <is>
          <t>EPLAN-2024-0139</t>
        </is>
      </c>
      <c r="H31" t="inlineStr">
        <is>
          <t>EPLAN-2024-0139 (Engineering Plan, Approved)</t>
        </is>
      </c>
      <c r="I31" t="inlineStr">
        <is>
          <t>2024-09-20</t>
        </is>
      </c>
      <c r="J31" t="inlineStr">
        <is>
          <t>PROJECT ASPEN SPAM: This is a revision to EPLAN-2023-0128 to adjust the Mechanical Yard (MYD) per new specifications provided by the Owner. The revision does not change the Data Center, Electrical Yard or any of the outer loop road. (SPAM)</t>
        </is>
      </c>
      <c r="K31" t="inlineStr">
        <is>
          <t>118, 126, 127</t>
        </is>
      </c>
      <c r="L31" t="inlineStr">
        <is>
          <t>194498227000</t>
        </is>
      </c>
      <c r="M31" t="n">
        <v>39.05193</v>
      </c>
      <c r="N31" t="n">
        <v>-77.536203</v>
      </c>
      <c r="O31" t="inlineStr">
        <is>
          <t>https://logis.loudoun.gov/gis/rest/services/Projects/LOLA_DATA/MapServer/0/query?where=PlanNumber%3D%27EPLAN-2024-0139%27&amp;outFields=PlanNumber,PlanType,PlanStatus,PlanName,PlanApplicationDate,PlanDescription&amp;f=html</t>
        </is>
      </c>
    </row>
    <row r="32">
      <c r="A32" t="n">
        <v>501</v>
      </c>
      <c r="B32" t="n">
        <v>254</v>
      </c>
      <c r="C32" t="inlineStr">
        <is>
          <t>Dulles Electric Data Centers</t>
        </is>
      </c>
      <c r="D32" t="inlineStr">
        <is>
          <t>Site/engineering plan</t>
        </is>
      </c>
      <c r="E32" t="inlineStr">
        <is>
          <t>Pending application</t>
        </is>
      </c>
      <c r="F32" t="inlineStr">
        <is>
          <t>County-stated status of application(s): In Review.</t>
        </is>
      </c>
      <c r="G32" t="inlineStr">
        <is>
          <t>EPLAN-2024-0154</t>
        </is>
      </c>
      <c r="H32" t="inlineStr">
        <is>
          <t>EPLAN-2024-0154 (Engineering Plan, In Review)</t>
        </is>
      </c>
      <c r="I32" t="inlineStr">
        <is>
          <t>2024-10-16</t>
        </is>
      </c>
      <c r="J32" t="inlineStr">
        <is>
          <t>(Conditionally Approved) DULLES ELECTRIC DATA CENTERS: Construction of two 2-story data center buildings and associated infrastructure.</t>
        </is>
      </c>
      <c r="M32" t="n">
        <v>38.99159</v>
      </c>
      <c r="N32" t="n">
        <v>-77.427407</v>
      </c>
      <c r="O32" t="inlineStr">
        <is>
          <t>https://logis.loudoun.gov/gis/rest/services/Projects/LOLA_DATA/MapServer/0/query?where=PlanNumber%3D%27EPLAN-2024-0154%27&amp;outFields=PlanNumber,PlanType,PlanStatus,PlanName,PlanApplicationDate,PlanDescription&amp;f=html</t>
        </is>
      </c>
    </row>
    <row r="33">
      <c r="A33" t="n">
        <v>502</v>
      </c>
      <c r="B33" t="n">
        <v>255</v>
      </c>
      <c r="C33" t="inlineStr">
        <is>
          <t>Mercure Business Park Lot 22</t>
        </is>
      </c>
      <c r="D33" t="inlineStr">
        <is>
          <t>Site/engineering plan</t>
        </is>
      </c>
      <c r="E33" t="inlineStr">
        <is>
          <t>Pending application</t>
        </is>
      </c>
      <c r="F33" t="inlineStr">
        <is>
          <t>County-stated status of application(s): In Review.</t>
        </is>
      </c>
      <c r="G33" t="inlineStr">
        <is>
          <t>EPLAN-2024-0161</t>
        </is>
      </c>
      <c r="H33" t="inlineStr">
        <is>
          <t>EPLAN-2024-0161 (Engineering Plan, In Review)</t>
        </is>
      </c>
      <c r="I33" t="inlineStr">
        <is>
          <t>2024-10-30</t>
        </is>
      </c>
      <c r="J33" t="inlineStr">
        <is>
          <t>MERCURE BUSINESS PARK LOT 22 - The purpose of this site plan amendment is to change the use of the existing building from flex warehouse to data center.</t>
        </is>
      </c>
      <c r="M33" t="n">
        <v>38.985782</v>
      </c>
      <c r="N33" t="n">
        <v>-77.478256</v>
      </c>
      <c r="O33" t="inlineStr">
        <is>
          <t>https://logis.loudoun.gov/gis/rest/services/Projects/LOLA_DATA/MapServer/0/query?where=PlanNumber%3D%27EPLAN-2024-0161%27&amp;outFields=PlanNumber,PlanType,PlanStatus,PlanName,PlanApplicationDate,PlanDescription&amp;f=html</t>
        </is>
      </c>
    </row>
    <row r="34">
      <c r="A34" t="n">
        <v>503</v>
      </c>
      <c r="B34" t="n">
        <v>256</v>
      </c>
      <c r="C34" t="inlineStr">
        <is>
          <t>Mercure Business Park Lot 19 &amp; LOT 20</t>
        </is>
      </c>
      <c r="D34" t="inlineStr">
        <is>
          <t>Site/engineering plan</t>
        </is>
      </c>
      <c r="E34" t="inlineStr">
        <is>
          <t>Pending application</t>
        </is>
      </c>
      <c r="F34" t="inlineStr">
        <is>
          <t>County-stated status of application(s): In Review.</t>
        </is>
      </c>
      <c r="G34" t="inlineStr">
        <is>
          <t>EPLAN-2024-0162</t>
        </is>
      </c>
      <c r="H34" t="inlineStr">
        <is>
          <t>EPLAN-2024-0162 (Engineering Plan, In Review)</t>
        </is>
      </c>
      <c r="I34" t="inlineStr">
        <is>
          <t>2024-10-30</t>
        </is>
      </c>
      <c r="J34" t="inlineStr">
        <is>
          <t>MERCURE BUSINESS PARK LOTS 19 AND 20 - The purpose of this site plan amendment is to change the use of the existing building from flex warehouse to data center.</t>
        </is>
      </c>
      <c r="M34" t="n">
        <v>38.982985</v>
      </c>
      <c r="N34" t="n">
        <v>-77.47917099999999</v>
      </c>
      <c r="O34" t="inlineStr">
        <is>
          <t>https://logis.loudoun.gov/gis/rest/services/Projects/LOLA_DATA/MapServer/0/query?where=PlanNumber%3D%27EPLAN-2024-0162%27&amp;outFields=PlanNumber,PlanType,PlanStatus,PlanName,PlanApplicationDate,PlanDescription&amp;f=html</t>
        </is>
      </c>
    </row>
    <row r="35">
      <c r="A35" t="n">
        <v>504</v>
      </c>
      <c r="B35" t="n">
        <v>257</v>
      </c>
      <c r="C35" t="inlineStr">
        <is>
          <t>Clintmar</t>
        </is>
      </c>
      <c r="D35" t="inlineStr">
        <is>
          <t>Site/engineering plan</t>
        </is>
      </c>
      <c r="E35" t="inlineStr">
        <is>
          <t>Pending application</t>
        </is>
      </c>
      <c r="F35" t="inlineStr">
        <is>
          <t>County-stated status of application(s): In Review.</t>
        </is>
      </c>
      <c r="G35" t="inlineStr">
        <is>
          <t>EPLAN-2024-0163</t>
        </is>
      </c>
      <c r="H35" t="inlineStr">
        <is>
          <t>EPLAN-2024-0163 (Engineering Plan, In Review)</t>
        </is>
      </c>
      <c r="I35" t="inlineStr">
        <is>
          <t>2024-11-01</t>
        </is>
      </c>
      <c r="J35" t="inlineStr">
        <is>
          <t>CLINTMAR DATA CENTERS: The development of vacant parcels to provide a 2-story Data Center with associated infrastructure and improvements. (Bluebeam Session# 640-079-749)</t>
        </is>
      </c>
      <c r="M35" t="n">
        <v>38.954173</v>
      </c>
      <c r="N35" t="n">
        <v>-77.53397699999999</v>
      </c>
      <c r="O35" t="inlineStr">
        <is>
          <t>https://logis.loudoun.gov/gis/rest/services/Projects/LOLA_DATA/MapServer/0/query?where=PlanNumber%3D%27EPLAN-2024-0163%27&amp;outFields=PlanNumber,PlanType,PlanStatus,PlanName,PlanApplicationDate,PlanDescription&amp;f=html</t>
        </is>
      </c>
    </row>
    <row r="36">
      <c r="A36" t="n">
        <v>505</v>
      </c>
      <c r="B36" t="n">
        <v>258</v>
      </c>
      <c r="C36" t="inlineStr">
        <is>
          <t>22990 Indian Creek Drive</t>
        </is>
      </c>
      <c r="D36" t="inlineStr">
        <is>
          <t>Site/engineering plan</t>
        </is>
      </c>
      <c r="E36" t="inlineStr">
        <is>
          <t>Pending application</t>
        </is>
      </c>
      <c r="F36" t="inlineStr">
        <is>
          <t>County-stated status of application(s): In Review.</t>
        </is>
      </c>
      <c r="G36" t="inlineStr">
        <is>
          <t>EPLAN-2024-0178</t>
        </is>
      </c>
      <c r="H36" t="inlineStr">
        <is>
          <t>EPLAN-2024-0178 (Engineering Plan, In Review)</t>
        </is>
      </c>
      <c r="I36" t="inlineStr">
        <is>
          <t>2024-11-11</t>
        </is>
      </c>
      <c r="J36" t="inlineStr">
        <is>
          <t>22990 INDIAN CREEK DR - The purpose of this site plan amendment is to change the use of the existing building from flex warehouse to data center.</t>
        </is>
      </c>
      <c r="M36" t="n">
        <v>38.981147</v>
      </c>
      <c r="N36" t="n">
        <v>-77.43167699999999</v>
      </c>
      <c r="O36" t="inlineStr">
        <is>
          <t>https://logis.loudoun.gov/gis/rest/services/Projects/LOLA_DATA/MapServer/0/query?where=PlanNumber%3D%27EPLAN-2024-0178%27&amp;outFields=PlanNumber,PlanType,PlanStatus,PlanName,PlanApplicationDate,PlanDescription&amp;f=html</t>
        </is>
      </c>
    </row>
    <row r="37">
      <c r="A37" t="n">
        <v>506</v>
      </c>
      <c r="B37" t="n">
        <v>259</v>
      </c>
      <c r="C37" t="inlineStr">
        <is>
          <t>44122 Mercure Circle</t>
        </is>
      </c>
      <c r="D37" t="inlineStr">
        <is>
          <t>Site/engineering plan</t>
        </is>
      </c>
      <c r="E37" t="inlineStr">
        <is>
          <t>Pending application</t>
        </is>
      </c>
      <c r="F37" t="inlineStr">
        <is>
          <t>County-stated status of application(s): In Review.</t>
        </is>
      </c>
      <c r="G37" t="inlineStr">
        <is>
          <t>EPLAN-2024-0180</t>
        </is>
      </c>
      <c r="H37" t="inlineStr">
        <is>
          <t>EPLAN-2024-0180 (Engineering Plan, In Review)</t>
        </is>
      </c>
      <c r="I37" t="inlineStr">
        <is>
          <t>2024-11-14</t>
        </is>
      </c>
      <c r="J37" t="inlineStr">
        <is>
          <t>MERCURE BUSINESS PARK LOT 4A1B - The purpose of this site plan is to change the use of the existing building from flex warehouse to data center.</t>
        </is>
      </c>
      <c r="M37" t="n">
        <v>38.984671</v>
      </c>
      <c r="N37" t="n">
        <v>-77.482163</v>
      </c>
      <c r="O37" t="inlineStr">
        <is>
          <t>https://logis.loudoun.gov/gis/rest/services/Projects/LOLA_DATA/MapServer/0/query?where=PlanNumber%3D%27EPLAN-2024-0180%27&amp;outFields=PlanNumber,PlanType,PlanStatus,PlanName,PlanApplicationDate,PlanDescription&amp;f=html</t>
        </is>
      </c>
    </row>
    <row r="38">
      <c r="A38" t="n">
        <v>507</v>
      </c>
      <c r="B38" t="n">
        <v>260</v>
      </c>
      <c r="C38" t="inlineStr">
        <is>
          <t>44112 Mercure Circle</t>
        </is>
      </c>
      <c r="D38" t="inlineStr">
        <is>
          <t>Site/engineering plan</t>
        </is>
      </c>
      <c r="E38" t="inlineStr">
        <is>
          <t>Pending application</t>
        </is>
      </c>
      <c r="F38" t="inlineStr">
        <is>
          <t>County-stated status of application(s): In Review.</t>
        </is>
      </c>
      <c r="G38" t="inlineStr">
        <is>
          <t>EPLAN-2024-0181</t>
        </is>
      </c>
      <c r="H38" t="inlineStr">
        <is>
          <t>EPLAN-2024-0181 (Engineering Plan, In Review)</t>
        </is>
      </c>
      <c r="I38" t="inlineStr">
        <is>
          <t>2024-11-14</t>
        </is>
      </c>
      <c r="J38" t="inlineStr">
        <is>
          <t>MERCURE BUSINESS PARK LOT 4A1A: The purpose of this site plan amendment is to change the use of the existing building from flex warehouse to data center.</t>
        </is>
      </c>
      <c r="M38" t="n">
        <v>38.983846</v>
      </c>
      <c r="N38" t="n">
        <v>-77.48197999999999</v>
      </c>
      <c r="O38" t="inlineStr">
        <is>
          <t>https://logis.loudoun.gov/gis/rest/services/Projects/LOLA_DATA/MapServer/0/query?where=PlanNumber%3D%27EPLAN-2024-0181%27&amp;outFields=PlanNumber,PlanType,PlanStatus,PlanName,PlanApplicationDate,PlanDescription&amp;f=html</t>
        </is>
      </c>
    </row>
    <row r="39">
      <c r="A39" t="n">
        <v>508</v>
      </c>
      <c r="B39" t="n">
        <v>261</v>
      </c>
      <c r="C39" t="inlineStr">
        <is>
          <t>Farah-Naples Data Center Site Plan</t>
        </is>
      </c>
      <c r="D39" t="inlineStr">
        <is>
          <t>Site/engineering plan</t>
        </is>
      </c>
      <c r="E39" t="inlineStr">
        <is>
          <t>Pending application</t>
        </is>
      </c>
      <c r="F39" t="inlineStr">
        <is>
          <t>County-stated status of application(s): In Review.</t>
        </is>
      </c>
      <c r="G39" t="inlineStr">
        <is>
          <t>EPLAN-2024-0184</t>
        </is>
      </c>
      <c r="H39" t="inlineStr">
        <is>
          <t>EPLAN-2024-0184 (Engineering Plan, In Review)</t>
        </is>
      </c>
      <c r="I39" t="inlineStr">
        <is>
          <t>2024-11-19</t>
        </is>
      </c>
      <c r="J39" t="inlineStr">
        <is>
          <t>This project proposes construction of an approximately 100,000 SF data center, parking lot and associated utilities to serve the building. The total disturbed area is 10.58 AC.</t>
        </is>
      </c>
      <c r="M39" t="n">
        <v>38.956844</v>
      </c>
      <c r="N39" t="n">
        <v>-77.51367</v>
      </c>
      <c r="O39" t="inlineStr">
        <is>
          <t>https://logis.loudoun.gov/gis/rest/services/Projects/LOLA_DATA/MapServer/0/query?where=PlanNumber%3D%27EPLAN-2024-0184%27&amp;outFields=PlanNumber,PlanType,PlanStatus,PlanName,PlanApplicationDate,PlanDescription&amp;f=html</t>
        </is>
      </c>
    </row>
    <row r="40">
      <c r="A40" t="n">
        <v>509</v>
      </c>
      <c r="B40" t="n">
        <v>262</v>
      </c>
      <c r="C40" t="inlineStr">
        <is>
          <t>NTT VA6 AND VA7 SITE PLAN AMENDMENT 2024</t>
        </is>
      </c>
      <c r="D40" t="inlineStr">
        <is>
          <t>Site/engineering plan</t>
        </is>
      </c>
      <c r="E40" t="inlineStr">
        <is>
          <t>Approved, not yet built (inferred)</t>
        </is>
      </c>
      <c r="F40" t="inlineStr">
        <is>
          <t>County-stated status of application(s): Approved. Built/not-built is INFERRED: no mapped data center building lies within the application area.</t>
        </is>
      </c>
      <c r="G40" t="inlineStr">
        <is>
          <t>EPLAN-2024-0188</t>
        </is>
      </c>
      <c r="H40" t="inlineStr">
        <is>
          <t>EPLAN-2024-0188 (Engineering Plan, Approved)</t>
        </is>
      </c>
      <c r="I40" t="inlineStr">
        <is>
          <t>2024-11-21</t>
        </is>
      </c>
      <c r="J40" t="inlineStr">
        <is>
          <t>NTT VA7 DATA CENTER: SPAM of STMP-2021-0005 to revise Bldg VA7 to the new prototype.</t>
        </is>
      </c>
      <c r="M40" t="n">
        <v>39.117252</v>
      </c>
      <c r="N40" t="n">
        <v>-77.578317</v>
      </c>
      <c r="O40" t="inlineStr">
        <is>
          <t>https://logis.loudoun.gov/gis/rest/services/Projects/LOLA_DATA/MapServer/0/query?where=PlanNumber%3D%27EPLAN-2024-0188%27&amp;outFields=PlanNumber,PlanType,PlanStatus,PlanName,PlanApplicationDate,PlanDescription&amp;f=html</t>
        </is>
      </c>
    </row>
    <row r="41">
      <c r="A41" t="n">
        <v>510</v>
      </c>
      <c r="B41" t="n">
        <v>263</v>
      </c>
      <c r="C41" t="inlineStr">
        <is>
          <t>ParagonPark III Technology Park</t>
        </is>
      </c>
      <c r="D41" t="inlineStr">
        <is>
          <t>Site/engineering plan</t>
        </is>
      </c>
      <c r="E41" t="inlineStr">
        <is>
          <t>Pending application</t>
        </is>
      </c>
      <c r="F41" t="inlineStr">
        <is>
          <t>County-stated status of application(s): In Review.</t>
        </is>
      </c>
      <c r="G41" t="inlineStr">
        <is>
          <t>EPLAN-2024-0200</t>
        </is>
      </c>
      <c r="H41" t="inlineStr">
        <is>
          <t>EPLAN-2024-0200 (Engineering Plan, In Review)</t>
        </is>
      </c>
      <c r="I41" t="inlineStr">
        <is>
          <t>2024-12-11</t>
        </is>
      </c>
      <c r="J41" t="inlineStr">
        <is>
          <t>PARAGON PARK III TECH PARK: STPL for two Data Centers building, ROW dedication for right turn lane off Pacific Blvd, parking, SWM/BMP, public water and sanitary sewer lines, and landscaping.</t>
        </is>
      </c>
      <c r="M41" t="n">
        <v>39.117252</v>
      </c>
      <c r="N41" t="n">
        <v>-77.578317</v>
      </c>
      <c r="O41" t="inlineStr">
        <is>
          <t>https://logis.loudoun.gov/gis/rest/services/Projects/LOLA_DATA/MapServer/0/query?where=PlanNumber%3D%27EPLAN-2024-0200%27&amp;outFields=PlanNumber,PlanType,PlanStatus,PlanName,PlanApplicationDate,PlanDescription&amp;f=html</t>
        </is>
      </c>
    </row>
    <row r="42">
      <c r="A42" t="n">
        <v>511</v>
      </c>
      <c r="B42" t="n">
        <v>264</v>
      </c>
      <c r="C42" t="inlineStr">
        <is>
          <t>Tech Park at Dulles</t>
        </is>
      </c>
      <c r="D42" t="inlineStr">
        <is>
          <t>Site/engineering plan</t>
        </is>
      </c>
      <c r="E42" t="inlineStr">
        <is>
          <t>Pending application</t>
        </is>
      </c>
      <c r="F42" t="inlineStr">
        <is>
          <t>County-stated status of application(s): In Review.</t>
        </is>
      </c>
      <c r="G42" t="inlineStr">
        <is>
          <t>EPLAN-2024-0205</t>
        </is>
      </c>
      <c r="H42" t="inlineStr">
        <is>
          <t>EPLAN-2024-0205 (Engineering Plan, In Review)</t>
        </is>
      </c>
      <c r="I42" t="inlineStr">
        <is>
          <t>2024-12-20</t>
        </is>
      </c>
      <c r="J42" t="inlineStr">
        <is>
          <t>Site plan for the construction of 3 Data Center buildings, a warehouse building, and associated infrastructure</t>
        </is>
      </c>
      <c r="M42" t="n">
        <v>38.953331</v>
      </c>
      <c r="N42" t="n">
        <v>-77.50018799999999</v>
      </c>
      <c r="O42" t="inlineStr">
        <is>
          <t>https://logis.loudoun.gov/gis/rest/services/Projects/LOLA_DATA/MapServer/0/query?where=PlanNumber%3D%27EPLAN-2024-0205%27&amp;outFields=PlanNumber,PlanType,PlanStatus,PlanName,PlanApplicationDate,PlanDescription&amp;f=html</t>
        </is>
      </c>
    </row>
    <row r="43">
      <c r="A43" t="n">
        <v>512</v>
      </c>
      <c r="B43" t="n">
        <v>265</v>
      </c>
      <c r="C43" t="inlineStr">
        <is>
          <t>Compass Creek Section 4</t>
        </is>
      </c>
      <c r="D43" t="inlineStr">
        <is>
          <t>Site/engineering plan</t>
        </is>
      </c>
      <c r="E43" t="inlineStr">
        <is>
          <t>Approved, not yet built (inferred)</t>
        </is>
      </c>
      <c r="F43" t="inlineStr">
        <is>
          <t>County-stated status of application(s): Approved. Built/not-built is INFERRED: no mapped data center building lies within the application area.</t>
        </is>
      </c>
      <c r="G43" t="inlineStr">
        <is>
          <t>EPLAN-2024-0207</t>
        </is>
      </c>
      <c r="H43" t="inlineStr">
        <is>
          <t>EPLAN-2024-0207 (Engineering Plan, Approved)</t>
        </is>
      </c>
      <c r="I43" t="inlineStr">
        <is>
          <t>2024-12-23</t>
        </is>
      </c>
      <c r="J43" t="inlineStr">
        <is>
          <t>DATA CENTERS @ COMPASS CREEK SPAM: Site Plan Amendment to existing EPLAN-2024-0114</t>
        </is>
      </c>
      <c r="M43" t="n">
        <v>39.117252</v>
      </c>
      <c r="N43" t="n">
        <v>-77.578317</v>
      </c>
      <c r="O43" t="inlineStr">
        <is>
          <t>https://logis.loudoun.gov/gis/rest/services/Projects/LOLA_DATA/MapServer/0/query?where=PlanNumber%3D%27EPLAN-2024-0207%27&amp;outFields=PlanNumber,PlanType,PlanStatus,PlanName,PlanApplicationDate,PlanDescription&amp;f=html</t>
        </is>
      </c>
    </row>
    <row r="44">
      <c r="A44" t="n">
        <v>513</v>
      </c>
      <c r="B44" t="n">
        <v>266</v>
      </c>
      <c r="C44" t="inlineStr">
        <is>
          <t>Samuels Mill Assemblage</t>
        </is>
      </c>
      <c r="D44" t="inlineStr">
        <is>
          <t>Site/engineering plan</t>
        </is>
      </c>
      <c r="E44" t="inlineStr">
        <is>
          <t>Pending application</t>
        </is>
      </c>
      <c r="F44" t="inlineStr">
        <is>
          <t>County-stated status of application(s): In Review.</t>
        </is>
      </c>
      <c r="G44" t="inlineStr">
        <is>
          <t>EPLAN-2024-0211</t>
        </is>
      </c>
      <c r="H44" t="inlineStr">
        <is>
          <t>EPLAN-2024-0211 (Engineering Plan, In Review)</t>
        </is>
      </c>
      <c r="I44" t="inlineStr">
        <is>
          <t>2024-12-30</t>
        </is>
      </c>
      <c r="J44" t="inlineStr">
        <is>
          <t>SAMUELS MILL ASSEMBLAGE: 2-story data center and associated infrastructure.</t>
        </is>
      </c>
      <c r="M44" t="n">
        <v>39.078914</v>
      </c>
      <c r="N44" t="n">
        <v>-77.528918</v>
      </c>
      <c r="O44" t="inlineStr">
        <is>
          <t>https://logis.loudoun.gov/gis/rest/services/Projects/LOLA_DATA/MapServer/0/query?where=PlanNumber%3D%27EPLAN-2024-0211%27&amp;outFields=PlanNumber,PlanType,PlanStatus,PlanName,PlanApplicationDate,PlanDescription&amp;f=html</t>
        </is>
      </c>
    </row>
    <row r="45">
      <c r="A45" t="n">
        <v>514</v>
      </c>
      <c r="B45" t="n">
        <v>267</v>
      </c>
      <c r="C45" t="inlineStr">
        <is>
          <t>Project Motion - Phase 4</t>
        </is>
      </c>
      <c r="D45" t="inlineStr">
        <is>
          <t>Site/engineering plan</t>
        </is>
      </c>
      <c r="E45" t="inlineStr">
        <is>
          <t>Pending application</t>
        </is>
      </c>
      <c r="F45" t="inlineStr">
        <is>
          <t>County-stated status of application(s): In Review.</t>
        </is>
      </c>
      <c r="G45" t="inlineStr">
        <is>
          <t>EPLAN-2024-0212</t>
        </is>
      </c>
      <c r="H45" t="inlineStr">
        <is>
          <t>EPLAN-2024-0212 (Engineering Plan, In Review)</t>
        </is>
      </c>
      <c r="I45" t="inlineStr">
        <is>
          <t>2024-12-31</t>
        </is>
      </c>
      <c r="J45" t="inlineStr">
        <is>
          <t>(Conditional Approval) PROJECT MOTION - PH 4: Site Plan for Data Center and support facilities.</t>
        </is>
      </c>
      <c r="K45" t="inlineStr">
        <is>
          <t>109, 165, 222</t>
        </is>
      </c>
      <c r="L45" t="inlineStr">
        <is>
          <t>162176713000</t>
        </is>
      </c>
      <c r="M45" t="n">
        <v>38.94277</v>
      </c>
      <c r="N45" t="n">
        <v>-77.528132</v>
      </c>
      <c r="O45" t="inlineStr">
        <is>
          <t>https://logis.loudoun.gov/gis/rest/services/Projects/LOLA_DATA/MapServer/0/query?where=PlanNumber%3D%27EPLAN-2024-0212%27&amp;outFields=PlanNumber,PlanType,PlanStatus,PlanName,PlanApplicationDate,PlanDescription&amp;f=html</t>
        </is>
      </c>
    </row>
    <row r="46">
      <c r="A46" t="n">
        <v>515</v>
      </c>
      <c r="B46" t="n">
        <v>268</v>
      </c>
      <c r="C46" t="inlineStr">
        <is>
          <t>Parcel J at Ashburn Center</t>
        </is>
      </c>
      <c r="D46" t="inlineStr">
        <is>
          <t>Site/engineering plan</t>
        </is>
      </c>
      <c r="E46" t="inlineStr">
        <is>
          <t>Approved entitlement; buildings already on site</t>
        </is>
      </c>
      <c r="F46" t="inlineStr">
        <is>
          <t>County-stated status of application(s): Approved. Built/not-built is INFERRED: 2 data center building point(s) lie on/adjacent to the application area.</t>
        </is>
      </c>
      <c r="G46" t="inlineStr">
        <is>
          <t>EPLAN-2025-0004</t>
        </is>
      </c>
      <c r="H46" t="inlineStr">
        <is>
          <t>EPLAN-2025-0004 (Engineering Plan, Approved)</t>
        </is>
      </c>
      <c r="I46" t="inlineStr">
        <is>
          <t>2025-01-03</t>
        </is>
      </c>
      <c r="J46" t="inlineStr">
        <is>
          <t>Gen yard design for a data center</t>
        </is>
      </c>
      <c r="K46" t="inlineStr">
        <is>
          <t>5, 6</t>
        </is>
      </c>
      <c r="L46" t="inlineStr">
        <is>
          <t>088381462000</t>
        </is>
      </c>
      <c r="M46" t="n">
        <v>39.015094</v>
      </c>
      <c r="N46" t="n">
        <v>-77.482652</v>
      </c>
      <c r="O46" t="inlineStr">
        <is>
          <t>https://logis.loudoun.gov/gis/rest/services/Projects/LOLA_DATA/MapServer/0/query?where=PlanNumber%3D%27EPLAN-2025-0004%27&amp;outFields=PlanNumber,PlanType,PlanStatus,PlanName,PlanApplicationDate,PlanDescription&amp;f=html</t>
        </is>
      </c>
    </row>
    <row r="47">
      <c r="A47" t="n">
        <v>516</v>
      </c>
      <c r="B47" t="n">
        <v>269</v>
      </c>
      <c r="C47" t="inlineStr">
        <is>
          <t>H&amp;M PROPERTY</t>
        </is>
      </c>
      <c r="D47" t="inlineStr">
        <is>
          <t>Site/engineering plan</t>
        </is>
      </c>
      <c r="E47" t="inlineStr">
        <is>
          <t>Approved entitlement; buildings already on site</t>
        </is>
      </c>
      <c r="F47" t="inlineStr">
        <is>
          <t>County-stated status of application(s): Approved. Built/not-built is INFERRED: 2 data center building point(s) lie on/adjacent to the application area.</t>
        </is>
      </c>
      <c r="G47" t="inlineStr">
        <is>
          <t>STMP-2020-0016</t>
        </is>
      </c>
      <c r="H47" t="inlineStr">
        <is>
          <t>STMP-2020-0016 (Engineering Plan, Approved); EPLAN-2025-0012 (Engineering Plan, Approved)</t>
        </is>
      </c>
      <c r="I47" t="inlineStr">
        <is>
          <t>2020-11-04</t>
        </is>
      </c>
      <c r="J47" t="inlineStr">
        <is>
          <t>Proposed Data Center</t>
        </is>
      </c>
      <c r="K47" t="inlineStr">
        <is>
          <t>189, 223</t>
        </is>
      </c>
      <c r="L47" t="inlineStr">
        <is>
          <t>096183926000</t>
        </is>
      </c>
      <c r="M47" t="n">
        <v>38.921615</v>
      </c>
      <c r="N47" t="n">
        <v>-77.482795</v>
      </c>
      <c r="O47" t="inlineStr">
        <is>
          <t>https://logis.loudoun.gov/gis/rest/services/Projects/LOLA_DATA/MapServer/0/query?where=PlanNumber%3D%27EPLAN-2025-0012%27&amp;outFields=PlanNumber,PlanType,PlanStatus,PlanName,PlanApplicationDate,PlanDescription&amp;f=html</t>
        </is>
      </c>
    </row>
    <row r="48">
      <c r="A48" t="n">
        <v>517</v>
      </c>
      <c r="B48" t="n">
        <v>270</v>
      </c>
      <c r="C48" t="inlineStr">
        <is>
          <t>Sterling Technology Park</t>
        </is>
      </c>
      <c r="D48" t="inlineStr">
        <is>
          <t>Site/engineering plan</t>
        </is>
      </c>
      <c r="E48" t="inlineStr">
        <is>
          <t>Pending application</t>
        </is>
      </c>
      <c r="F48" t="inlineStr">
        <is>
          <t>County-stated status of application(s): In Review.</t>
        </is>
      </c>
      <c r="G48" t="inlineStr">
        <is>
          <t>EPLAN-2025-0027</t>
        </is>
      </c>
      <c r="H48" t="inlineStr">
        <is>
          <t>EPLAN-2025-0027 (Engineering Plan, In Review)</t>
        </is>
      </c>
      <c r="I48" t="inlineStr">
        <is>
          <t>2025-02-12</t>
        </is>
      </c>
      <c r="J48" t="inlineStr">
        <is>
          <t>(Conditional Approval) Sterling Technology Park - Proposed Construction of Data Center Building ,Mechanical Yards, Guard Booth, and related infrastructure</t>
        </is>
      </c>
      <c r="M48" t="n">
        <v>38.996071</v>
      </c>
      <c r="N48" t="n">
        <v>-77.428844</v>
      </c>
      <c r="O48" t="inlineStr">
        <is>
          <t>https://logis.loudoun.gov/gis/rest/services/Projects/LOLA_DATA/MapServer/0/query?where=PlanNumber%3D%27EPLAN-2025-0027%27&amp;outFields=PlanNumber,PlanType,PlanStatus,PlanName,PlanApplicationDate,PlanDescription&amp;f=html</t>
        </is>
      </c>
    </row>
    <row r="49">
      <c r="A49" t="n">
        <v>518</v>
      </c>
      <c r="B49" t="n">
        <v>271</v>
      </c>
      <c r="C49" t="inlineStr">
        <is>
          <t>Ashburn Shallow Bay</t>
        </is>
      </c>
      <c r="D49" t="inlineStr">
        <is>
          <t>Site/engineering plan</t>
        </is>
      </c>
      <c r="E49" t="inlineStr">
        <is>
          <t>Pending application</t>
        </is>
      </c>
      <c r="F49" t="inlineStr">
        <is>
          <t>County-stated status of application(s): In Review.</t>
        </is>
      </c>
      <c r="G49" t="inlineStr">
        <is>
          <t>EPLAN-2025-0028</t>
        </is>
      </c>
      <c r="H49" t="inlineStr">
        <is>
          <t>EPLAN-2025-0028 (Engineering Plan, In Review)</t>
        </is>
      </c>
      <c r="I49" t="inlineStr">
        <is>
          <t>2025-02-12</t>
        </is>
      </c>
      <c r="J49" t="inlineStr">
        <is>
          <t>(Conditional Approval) Ashburn Shallow Bay - Proposed Construction of one Data Center building, Guard Booth, Circulation Drives, and associated infrastructure.</t>
        </is>
      </c>
      <c r="M49" t="n">
        <v>39.021116</v>
      </c>
      <c r="N49" t="n">
        <v>-77.456917</v>
      </c>
      <c r="O49" t="inlineStr">
        <is>
          <t>https://logis.loudoun.gov/gis/rest/services/Projects/LOLA_DATA/MapServer/0/query?where=PlanNumber%3D%27EPLAN-2025-0028%27&amp;outFields=PlanNumber,PlanType,PlanStatus,PlanName,PlanApplicationDate,PlanDescription&amp;f=html</t>
        </is>
      </c>
    </row>
    <row r="50">
      <c r="A50" t="n">
        <v>519</v>
      </c>
      <c r="B50" t="n">
        <v>272</v>
      </c>
      <c r="C50" t="inlineStr">
        <is>
          <t>Ashbrook Tech Center</t>
        </is>
      </c>
      <c r="D50" t="inlineStr">
        <is>
          <t>Site/engineering plan</t>
        </is>
      </c>
      <c r="E50" t="inlineStr">
        <is>
          <t>Pending application</t>
        </is>
      </c>
      <c r="F50" t="inlineStr">
        <is>
          <t>County-stated status of application(s): In Review.</t>
        </is>
      </c>
      <c r="G50" t="inlineStr">
        <is>
          <t>EPLAN-2025-0061</t>
        </is>
      </c>
      <c r="H50" t="inlineStr">
        <is>
          <t>EPLAN-2025-0061 (Engineering Plan, In Review)</t>
        </is>
      </c>
      <c r="I50" t="inlineStr">
        <is>
          <t>2025-03-21</t>
        </is>
      </c>
      <c r="J50" t="inlineStr">
        <is>
          <t>ASHBROOK TECH CENTER: Site plan application for the development of three data center buildings with one substation and improvements per applicable proffers.</t>
        </is>
      </c>
      <c r="M50" t="n">
        <v>39.064508</v>
      </c>
      <c r="N50" t="n">
        <v>-77.473365</v>
      </c>
      <c r="O50" t="inlineStr">
        <is>
          <t>https://logis.loudoun.gov/gis/rest/services/Projects/LOLA_DATA/MapServer/0/query?where=PlanNumber%3D%27EPLAN-2025-0061%27&amp;outFields=PlanNumber,PlanType,PlanStatus,PlanName,PlanApplicationDate,PlanDescription&amp;f=html</t>
        </is>
      </c>
    </row>
    <row r="51">
      <c r="A51" t="n">
        <v>520</v>
      </c>
      <c r="B51" t="n">
        <v>273</v>
      </c>
      <c r="C51" t="inlineStr">
        <is>
          <t>Prologis Park Building 4</t>
        </is>
      </c>
      <c r="D51" t="inlineStr">
        <is>
          <t>Site/engineering plan</t>
        </is>
      </c>
      <c r="E51" t="inlineStr">
        <is>
          <t>Pending application</t>
        </is>
      </c>
      <c r="F51" t="inlineStr">
        <is>
          <t>County-stated status of application(s): In Review.</t>
        </is>
      </c>
      <c r="G51" t="inlineStr">
        <is>
          <t>EPLAN-2025-0102</t>
        </is>
      </c>
      <c r="H51" t="inlineStr">
        <is>
          <t>EPLAN-2025-0102 (Engineering Plan, In Review)</t>
        </is>
      </c>
      <c r="I51" t="inlineStr">
        <is>
          <t>2025-06-18</t>
        </is>
      </c>
      <c r="J51" t="inlineStr">
        <is>
          <t>THE SUBJECT OF THIS APPLICATION CONSISTS OF THE DESIGN OF A 1-STORY DATA CENTER BUILDING AND ASSOCIATED UTILITIES AND INFRASTRUCTURE.</t>
        </is>
      </c>
      <c r="K51" t="inlineStr">
        <is>
          <t>114, 115, 116</t>
        </is>
      </c>
      <c r="L51" t="inlineStr">
        <is>
          <t>124299328000</t>
        </is>
      </c>
      <c r="M51" t="n">
        <v>38.957222</v>
      </c>
      <c r="N51" t="n">
        <v>-77.497714</v>
      </c>
      <c r="O51" t="inlineStr">
        <is>
          <t>https://logis.loudoun.gov/gis/rest/services/Projects/LOLA_DATA/MapServer/0/query?where=PlanNumber%3D%27EPLAN-2025-0102%27&amp;outFields=PlanNumber,PlanType,PlanStatus,PlanName,PlanApplicationDate,PlanDescription&amp;f=html</t>
        </is>
      </c>
    </row>
    <row r="52">
      <c r="A52" t="n">
        <v>521</v>
      </c>
      <c r="B52" t="n">
        <v>274</v>
      </c>
      <c r="C52" t="inlineStr">
        <is>
          <t>CyrusOne Sterling 11 Data Center Phase 2</t>
        </is>
      </c>
      <c r="D52" t="inlineStr">
        <is>
          <t>Site/engineering plan</t>
        </is>
      </c>
      <c r="E52" t="inlineStr">
        <is>
          <t>Approved entitlement; buildings already on site</t>
        </is>
      </c>
      <c r="F52" t="inlineStr">
        <is>
          <t>County-stated status of application(s): Approved. Built/not-built is INFERRED: 2 data center building point(s) lie on/adjacent to the application area.</t>
        </is>
      </c>
      <c r="G52" t="inlineStr">
        <is>
          <t>EPLAN-2025-0124</t>
        </is>
      </c>
      <c r="H52" t="inlineStr">
        <is>
          <t>EPLAN-2025-0124 (Engineering Plan, Approved)</t>
        </is>
      </c>
      <c r="I52" t="inlineStr">
        <is>
          <t>2025-07-31</t>
        </is>
      </c>
      <c r="J52" t="inlineStr">
        <is>
          <t>CYRUSONE STERLING 11 DATA CENTER - PHASE 2: Revision to the approved plan (STMP-2022-0017) showing electrical &amp; telecom duct banks as well as an updated loading dock footprint.</t>
        </is>
      </c>
      <c r="K52" t="inlineStr">
        <is>
          <t>134, 179</t>
        </is>
      </c>
      <c r="L52" t="inlineStr">
        <is>
          <t>124369522000</t>
        </is>
      </c>
      <c r="M52" t="n">
        <v>38.958524</v>
      </c>
      <c r="N52" t="n">
        <v>-77.505234</v>
      </c>
      <c r="O52" t="inlineStr">
        <is>
          <t>https://logis.loudoun.gov/gis/rest/services/Projects/LOLA_DATA/MapServer/0/query?where=PlanNumber%3D%27EPLAN-2025-0124%27&amp;outFields=PlanNumber,PlanType,PlanStatus,PlanName,PlanApplicationDate,PlanDescription&amp;f=html</t>
        </is>
      </c>
    </row>
    <row r="53">
      <c r="A53" t="n">
        <v>522</v>
      </c>
      <c r="B53" t="n">
        <v>275</v>
      </c>
      <c r="C53" t="inlineStr">
        <is>
          <t>Greenlin Park</t>
        </is>
      </c>
      <c r="D53" t="inlineStr">
        <is>
          <t>Site/engineering plan</t>
        </is>
      </c>
      <c r="E53" t="inlineStr">
        <is>
          <t>Pending application</t>
        </is>
      </c>
      <c r="F53" t="inlineStr">
        <is>
          <t>County-stated status of application(s): In Review.</t>
        </is>
      </c>
      <c r="G53" t="inlineStr">
        <is>
          <t>EPLAN-2025-0126</t>
        </is>
      </c>
      <c r="H53" t="inlineStr">
        <is>
          <t>EPLAN-2025-0126 (Engineering Plan, In Review)</t>
        </is>
      </c>
      <c r="I53" t="inlineStr">
        <is>
          <t>2025-08-08</t>
        </is>
      </c>
      <c r="J53" t="inlineStr">
        <is>
          <t>GREENLIN PARK: The properties are currently zoned PD-IP, located in the ariport impact OD, and is under the 1993 Revised Loudoun County Zoning Ordinance. The properties will be developed into four 1-story data centers with a substation and associated improvements. The total disturbed area is 51.62 A</t>
        </is>
      </c>
      <c r="M53" t="n">
        <v>39.055131</v>
      </c>
      <c r="N53" t="n">
        <v>-77.551466</v>
      </c>
      <c r="O53" t="inlineStr">
        <is>
          <t>https://logis.loudoun.gov/gis/rest/services/Projects/LOLA_DATA/MapServer/0/query?where=PlanNumber%3D%27EPLAN-2025-0126%27&amp;outFields=PlanNumber,PlanType,PlanStatus,PlanName,PlanApplicationDate,PlanDescription&amp;f=html</t>
        </is>
      </c>
    </row>
    <row r="54">
      <c r="A54" t="n">
        <v>523</v>
      </c>
      <c r="B54" t="n">
        <v>276</v>
      </c>
      <c r="C54" t="inlineStr">
        <is>
          <t>1501 Moran Road - AS02 Final Site Plan REVISION</t>
        </is>
      </c>
      <c r="D54" t="inlineStr">
        <is>
          <t>Site/engineering plan</t>
        </is>
      </c>
      <c r="E54" t="inlineStr">
        <is>
          <t>Approved, not yet built (inferred)</t>
        </is>
      </c>
      <c r="F54" t="inlineStr">
        <is>
          <t>County-stated status of application(s): Approved. Built/not-built is INFERRED: no mapped data center building lies within the application area.</t>
        </is>
      </c>
      <c r="G54" t="inlineStr">
        <is>
          <t>EPLAN-2025-0149</t>
        </is>
      </c>
      <c r="H54" t="inlineStr">
        <is>
          <t>EPLAN-2025-0149 (Engineering Plan, Approved)</t>
        </is>
      </c>
      <c r="I54" t="inlineStr">
        <is>
          <t>2025-09-05</t>
        </is>
      </c>
      <c r="J54" t="inlineStr">
        <is>
          <t>Site Plan Amendment to previously approved EPLAN-2023-0087 which is a 42 megawatt data center with the associated infrastructure, roads, parking, &amp; utilities.</t>
        </is>
      </c>
      <c r="M54" t="n">
        <v>38.99501</v>
      </c>
      <c r="N54" t="n">
        <v>-77.446123</v>
      </c>
      <c r="O54" t="inlineStr">
        <is>
          <t>https://logis.loudoun.gov/gis/rest/services/Projects/LOLA_DATA/MapServer/0/query?where=PlanNumber%3D%27EPLAN-2025-0149%27&amp;outFields=PlanNumber,PlanType,PlanStatus,PlanName,PlanApplicationDate,PlanDescription&amp;f=html</t>
        </is>
      </c>
    </row>
    <row r="55">
      <c r="A55" t="n">
        <v>524</v>
      </c>
      <c r="B55" t="n">
        <v>277</v>
      </c>
      <c r="C55" t="inlineStr">
        <is>
          <t>Corscale VA2 Building 1 SPAM 1</t>
        </is>
      </c>
      <c r="D55" t="inlineStr">
        <is>
          <t>Site/engineering plan</t>
        </is>
      </c>
      <c r="E55" t="inlineStr">
        <is>
          <t>Approved, not yet built (inferred)</t>
        </is>
      </c>
      <c r="F55" t="inlineStr">
        <is>
          <t>County-stated status of application(s): Approved. Built/not-built is INFERRED: no mapped data center building lies within the application area.</t>
        </is>
      </c>
      <c r="G55" t="inlineStr">
        <is>
          <t>EPLAN-2025-0152</t>
        </is>
      </c>
      <c r="H55" t="inlineStr">
        <is>
          <t>EPLAN-2025-0152 (Engineering Plan, Approved)</t>
        </is>
      </c>
      <c r="I55" t="inlineStr">
        <is>
          <t>2025-09-10</t>
        </is>
      </c>
      <c r="J55" t="inlineStr">
        <is>
          <t>CORSCALE VA2 BLDG 1 (SPAM): Revision to STPL-2022-0012, a data center within the Kincora IP District.</t>
        </is>
      </c>
      <c r="M55" t="n">
        <v>39.037598</v>
      </c>
      <c r="N55" t="n">
        <v>-77.43378300000001</v>
      </c>
      <c r="O55" t="inlineStr">
        <is>
          <t>https://logis.loudoun.gov/gis/rest/services/Projects/LOLA_DATA/MapServer/0/query?where=PlanNumber%3D%27EPLAN-2025-0152%27&amp;outFields=PlanNumber,PlanType,PlanStatus,PlanName,PlanApplicationDate,PlanDescription&amp;f=html</t>
        </is>
      </c>
    </row>
    <row r="56">
      <c r="A56" t="n">
        <v>525</v>
      </c>
      <c r="B56" t="n">
        <v>278</v>
      </c>
      <c r="C56" t="inlineStr">
        <is>
          <t>21673 Beaumeade Cirlce</t>
        </is>
      </c>
      <c r="D56" t="inlineStr">
        <is>
          <t>Site/engineering plan</t>
        </is>
      </c>
      <c r="E56" t="inlineStr">
        <is>
          <t>Pending application</t>
        </is>
      </c>
      <c r="F56" t="inlineStr">
        <is>
          <t>County-stated status of application(s): In Review.</t>
        </is>
      </c>
      <c r="G56" t="inlineStr">
        <is>
          <t>EPLAN-2025-0171</t>
        </is>
      </c>
      <c r="H56" t="inlineStr">
        <is>
          <t>EPLAN-2025-0171 (Engineering Plan, In Review)</t>
        </is>
      </c>
      <c r="I56" t="inlineStr">
        <is>
          <t>2025-10-10</t>
        </is>
      </c>
      <c r="J56" t="inlineStr">
        <is>
          <t>(Conditional Approval) Datacenter site revision updated building footprint for Building 2, revised storm sewer layout, revised parking, gate and fence location, access road and curb and gutter updated, water and reclaimed water realigned, water service line and sanitary sewer lateral locations updat</t>
        </is>
      </c>
      <c r="K56" t="inlineStr">
        <is>
          <t>158</t>
        </is>
      </c>
      <c r="L56" t="inlineStr">
        <is>
          <t>060189720000</t>
        </is>
      </c>
      <c r="M56" t="n">
        <v>39.018806</v>
      </c>
      <c r="N56" t="n">
        <v>-77.45822200000001</v>
      </c>
      <c r="O56" t="inlineStr">
        <is>
          <t>https://logis.loudoun.gov/gis/rest/services/Projects/LOLA_DATA/MapServer/0/query?where=PlanNumber%3D%27EPLAN-2025-0171%27&amp;outFields=PlanNumber,PlanType,PlanStatus,PlanName,PlanApplicationDate,PlanDescription&amp;f=html</t>
        </is>
      </c>
    </row>
    <row r="57">
      <c r="A57" t="n">
        <v>526</v>
      </c>
      <c r="B57" t="n">
        <v>279</v>
      </c>
      <c r="C57" t="inlineStr">
        <is>
          <t>Site Plan Amendment for H5 Data Center</t>
        </is>
      </c>
      <c r="D57" t="inlineStr">
        <is>
          <t>Site/engineering plan</t>
        </is>
      </c>
      <c r="E57" t="inlineStr">
        <is>
          <t>Pending application</t>
        </is>
      </c>
      <c r="F57" t="inlineStr">
        <is>
          <t>County-stated status of application(s): In Review.</t>
        </is>
      </c>
      <c r="G57" t="inlineStr">
        <is>
          <t>EPLAN-2025-0180</t>
        </is>
      </c>
      <c r="H57" t="inlineStr">
        <is>
          <t>EPLAN-2025-0180 (Engineering Plan, In Review)</t>
        </is>
      </c>
      <c r="I57" t="inlineStr">
        <is>
          <t>2025-10-17</t>
        </is>
      </c>
      <c r="J57" t="inlineStr">
        <is>
          <t>Revisions to an approved Data Center Site plan to make minor site design adjustments to accommodate the updated security gate, gate equipment and security fence. This plan is associated with EPLAN-2023-0078</t>
        </is>
      </c>
      <c r="K57" t="inlineStr">
        <is>
          <t>7</t>
        </is>
      </c>
      <c r="L57" t="inlineStr">
        <is>
          <t>061307791000</t>
        </is>
      </c>
      <c r="M57" t="n">
        <v>39.013705</v>
      </c>
      <c r="N57" t="n">
        <v>-77.45165900000001</v>
      </c>
      <c r="O57" t="inlineStr">
        <is>
          <t>https://logis.loudoun.gov/gis/rest/services/Projects/LOLA_DATA/MapServer/0/query?where=PlanNumber%3D%27EPLAN-2025-0180%27&amp;outFields=PlanNumber,PlanType,PlanStatus,PlanName,PlanApplicationDate,PlanDescription&amp;f=html</t>
        </is>
      </c>
    </row>
    <row r="58">
      <c r="A58" t="n">
        <v>527</v>
      </c>
      <c r="B58" t="n">
        <v>280</v>
      </c>
      <c r="C58" t="inlineStr">
        <is>
          <t>LC11 &amp; LC12 DATA CENTER</t>
        </is>
      </c>
      <c r="D58" t="inlineStr">
        <is>
          <t>Site/engineering plan</t>
        </is>
      </c>
      <c r="E58" t="inlineStr">
        <is>
          <t>Pending application</t>
        </is>
      </c>
      <c r="F58" t="inlineStr">
        <is>
          <t>County-stated status of application(s): In Review.</t>
        </is>
      </c>
      <c r="G58" t="inlineStr">
        <is>
          <t>EPLAN-2025-0181</t>
        </is>
      </c>
      <c r="H58" t="inlineStr">
        <is>
          <t>EPLAN-2025-0181 (Engineering Plan, In Review)</t>
        </is>
      </c>
      <c r="I58" t="inlineStr">
        <is>
          <t>2025-10-17</t>
        </is>
      </c>
      <c r="J58" t="inlineStr">
        <is>
          <t>LC11 &amp; LC12 DATA CENTER - REVISION TO APPROVED STPL-2023-0001. REVISIONS INCLUDEADDITION OF SECURITY FENCE AND GUARD SHACK, PAVEMENT/PARKING REVISIONS AND MINOR UTILITY REVISIONS.</t>
        </is>
      </c>
      <c r="K58" t="inlineStr">
        <is>
          <t>217</t>
        </is>
      </c>
      <c r="L58" t="inlineStr">
        <is>
          <t>089496314000</t>
        </is>
      </c>
      <c r="M58" t="n">
        <v>39.006036</v>
      </c>
      <c r="N58" t="n">
        <v>-77.476804</v>
      </c>
      <c r="O58" t="inlineStr">
        <is>
          <t>https://logis.loudoun.gov/gis/rest/services/Projects/LOLA_DATA/MapServer/0/query?where=PlanNumber%3D%27EPLAN-2025-0181%27&amp;outFields=PlanNumber,PlanType,PlanStatus,PlanName,PlanApplicationDate,PlanDescription&amp;f=html</t>
        </is>
      </c>
    </row>
    <row r="59">
      <c r="A59" t="n">
        <v>528</v>
      </c>
      <c r="B59" t="n">
        <v>281</v>
      </c>
      <c r="C59" t="inlineStr">
        <is>
          <t>BELMONT INNOVATION CAMPUS BUILDINGS 1,2 &amp; 5</t>
        </is>
      </c>
      <c r="D59" t="inlineStr">
        <is>
          <t>Site/engineering plan</t>
        </is>
      </c>
      <c r="E59" t="inlineStr">
        <is>
          <t>Pending application</t>
        </is>
      </c>
      <c r="F59" t="inlineStr">
        <is>
          <t>County-stated status of application(s): In Review.</t>
        </is>
      </c>
      <c r="G59" t="inlineStr">
        <is>
          <t>EPLAN-2025-0195</t>
        </is>
      </c>
      <c r="H59" t="inlineStr">
        <is>
          <t>EPLAN-2025-0195 (Engineering Plan, In Review)</t>
        </is>
      </c>
      <c r="I59" t="inlineStr">
        <is>
          <t>2025-11-05</t>
        </is>
      </c>
      <c r="J59" t="inlineStr">
        <is>
          <t>BELMONT INNOVATION CAMPUS BUILDINGS 1, 2 and 5 - CONSTRUCTION OF 3 DATA CENTER BUILDINGS WITH ALL ASSOCIATED ACCESS &amp; UTILITIES.</t>
        </is>
      </c>
      <c r="M59" t="n">
        <v>39.070565</v>
      </c>
      <c r="N59" t="n">
        <v>-77.509006</v>
      </c>
      <c r="O59" t="inlineStr">
        <is>
          <t>https://logis.loudoun.gov/gis/rest/services/Projects/LOLA_DATA/MapServer/0/query?where=PlanNumber%3D%27EPLAN-2025-0195%27&amp;outFields=PlanNumber,PlanType,PlanStatus,PlanName,PlanApplicationDate,PlanDescription&amp;f=html</t>
        </is>
      </c>
    </row>
    <row r="60">
      <c r="A60" t="n">
        <v>529</v>
      </c>
      <c r="B60" t="n">
        <v>282</v>
      </c>
      <c r="C60" t="inlineStr">
        <is>
          <t>LC9 &amp; LC10 Data Center</t>
        </is>
      </c>
      <c r="D60" t="inlineStr">
        <is>
          <t>Site/engineering plan</t>
        </is>
      </c>
      <c r="E60" t="inlineStr">
        <is>
          <t>Pending application</t>
        </is>
      </c>
      <c r="F60" t="inlineStr">
        <is>
          <t>County-stated status of application(s): In Review.</t>
        </is>
      </c>
      <c r="G60" t="inlineStr">
        <is>
          <t>EPLAN-2026-0039</t>
        </is>
      </c>
      <c r="H60" t="inlineStr">
        <is>
          <t>EPLAN-2026-0039 (Engineering Plan, In Review)</t>
        </is>
      </c>
      <c r="I60" t="inlineStr">
        <is>
          <t>2026-03-31</t>
        </is>
      </c>
      <c r="J60" t="inlineStr">
        <is>
          <t>LC9 &amp; LC10 DATA CENTER - CONSTRUCTION OF A TWO (2) 2-STORY DATA CENTER BUILDINGS AND ASSOCIATED INFRASTRUCTURE</t>
        </is>
      </c>
      <c r="K60" t="inlineStr">
        <is>
          <t>187</t>
        </is>
      </c>
      <c r="L60" t="inlineStr">
        <is>
          <t>089208954000</t>
        </is>
      </c>
      <c r="M60" t="n">
        <v>39.002819</v>
      </c>
      <c r="N60" t="n">
        <v>-77.469628</v>
      </c>
      <c r="O60" t="inlineStr">
        <is>
          <t>https://logis.loudoun.gov/gis/rest/services/Projects/LOLA_DATA/MapServer/0/query?where=PlanNumber%3D%27EPLAN-2026-0039%27&amp;outFields=PlanNumber,PlanType,PlanStatus,PlanName,PlanApplicationDate,PlanDescription&amp;f=html</t>
        </is>
      </c>
    </row>
    <row r="61">
      <c r="A61" t="n">
        <v>530</v>
      </c>
      <c r="B61" t="n">
        <v>283</v>
      </c>
      <c r="C61" t="inlineStr">
        <is>
          <t>Site Plan Amendment for NTT Global Data Centers VA</t>
        </is>
      </c>
      <c r="D61" t="inlineStr">
        <is>
          <t>Site/engineering plan</t>
        </is>
      </c>
      <c r="E61" t="inlineStr">
        <is>
          <t>Pending application</t>
        </is>
      </c>
      <c r="F61" t="inlineStr">
        <is>
          <t>County-stated status of application(s): In Review.</t>
        </is>
      </c>
      <c r="G61" t="inlineStr">
        <is>
          <t>EPLAN-2026-0075</t>
        </is>
      </c>
      <c r="H61" t="inlineStr">
        <is>
          <t>EPLAN-2026-0075 (Engineering Plan, In Review)</t>
        </is>
      </c>
      <c r="I61" t="inlineStr">
        <is>
          <t>2026-05-28</t>
        </is>
      </c>
      <c r="J61" t="inlineStr">
        <is>
          <t>Revision associated with this site plan revision include additional floor area for the guard shack booth at the secure entrance to the subject site per approved site plan STMP-2022-0004</t>
        </is>
      </c>
      <c r="K61" t="inlineStr">
        <is>
          <t>88</t>
        </is>
      </c>
      <c r="L61" t="inlineStr">
        <is>
          <t>087100681000</t>
        </is>
      </c>
      <c r="M61" t="n">
        <v>39.017691</v>
      </c>
      <c r="N61" t="n">
        <v>-77.475081</v>
      </c>
      <c r="O61" t="inlineStr">
        <is>
          <t>https://logis.loudoun.gov/gis/rest/services/Projects/LOLA_DATA/MapServer/0/query?where=PlanNumber%3D%27EPLAN-2026-0075%27&amp;outFields=PlanNumber,PlanType,PlanStatus,PlanName,PlanApplicationDate,PlanDescription&amp;f=html</t>
        </is>
      </c>
    </row>
    <row r="62">
      <c r="A62" t="n">
        <v>531</v>
      </c>
      <c r="B62" t="n">
        <v>284</v>
      </c>
      <c r="C62" t="inlineStr">
        <is>
          <t>Twin Creeks Buildings 4 &amp; 5</t>
        </is>
      </c>
      <c r="D62" t="inlineStr">
        <is>
          <t>Site/engineering plan</t>
        </is>
      </c>
      <c r="E62" t="inlineStr">
        <is>
          <t>Pending application</t>
        </is>
      </c>
      <c r="F62" t="inlineStr">
        <is>
          <t>County-stated status of application(s): In Review.</t>
        </is>
      </c>
      <c r="G62" t="inlineStr">
        <is>
          <t>EPLAN-2026-0078</t>
        </is>
      </c>
      <c r="H62" t="inlineStr">
        <is>
          <t>EPLAN-2026-0078 (Engineering Plan, In Review)</t>
        </is>
      </c>
      <c r="I62" t="inlineStr">
        <is>
          <t>2026-06-03</t>
        </is>
      </c>
      <c r="J62" t="inlineStr">
        <is>
          <t>TWIN CREEKS DATA CENTERS: Site containing two data center buildings with associated infrastructure and landscaping. (REVISION OF APPROVED PLAN STPL-2022-0040)</t>
        </is>
      </c>
      <c r="M62" t="n">
        <v>39.074127</v>
      </c>
      <c r="N62" t="n">
        <v>-77.526346</v>
      </c>
      <c r="O62" t="inlineStr">
        <is>
          <t>https://logis.loudoun.gov/gis/rest/services/Projects/LOLA_DATA/MapServer/0/query?where=PlanNumber%3D%27EPLAN-2026-0078%27&amp;outFields=PlanNumber,PlanType,PlanStatus,PlanName,PlanApplicationDate,PlanDescription&amp;f=html</t>
        </is>
      </c>
    </row>
    <row r="63">
      <c r="A63" t="n">
        <v>532</v>
      </c>
      <c r="B63" t="n">
        <v>285</v>
      </c>
      <c r="C63" t="inlineStr">
        <is>
          <t>Arcola Grove Data Centers Site Plan</t>
        </is>
      </c>
      <c r="D63" t="inlineStr">
        <is>
          <t>Site/engineering plan</t>
        </is>
      </c>
      <c r="E63" t="inlineStr">
        <is>
          <t>Pending application</t>
        </is>
      </c>
      <c r="F63" t="inlineStr">
        <is>
          <t>County-stated status of application(s): In Review.</t>
        </is>
      </c>
      <c r="G63" t="inlineStr">
        <is>
          <t>EPLAN-2026-0083</t>
        </is>
      </c>
      <c r="H63" t="inlineStr">
        <is>
          <t>EPLAN-2026-0083 (Engineering Plan, In Review)</t>
        </is>
      </c>
      <c r="I63" t="inlineStr">
        <is>
          <t>2026-06-17</t>
        </is>
      </c>
      <c r="J63" t="inlineStr">
        <is>
          <t>Site Plan for 2 proposed Data Center buildings, guard booth and all associated infrastructure.</t>
        </is>
      </c>
      <c r="M63" t="n">
        <v>38.942647</v>
      </c>
      <c r="N63" t="n">
        <v>-77.537779</v>
      </c>
      <c r="O63" t="inlineStr">
        <is>
          <t>https://logis.loudoun.gov/gis/rest/services/Projects/LOLA_DATA/MapServer/0/query?where=PlanNumber%3D%27EPLAN-2026-0083%27&amp;outFields=PlanNumber,PlanType,PlanStatus,PlanName,PlanApplicationDate,PlanDescription&amp;f=html</t>
        </is>
      </c>
    </row>
    <row r="64">
      <c r="A64" t="n">
        <v>533</v>
      </c>
      <c r="B64" t="n">
        <v>286</v>
      </c>
      <c r="C64" t="inlineStr">
        <is>
          <t>Thayer Road</t>
        </is>
      </c>
      <c r="D64" t="inlineStr">
        <is>
          <t>Site/engineering plan</t>
        </is>
      </c>
      <c r="E64" t="inlineStr">
        <is>
          <t>Pending application</t>
        </is>
      </c>
      <c r="F64" t="inlineStr">
        <is>
          <t>County-stated status of application(s): In Review.</t>
        </is>
      </c>
      <c r="G64" t="inlineStr">
        <is>
          <t>EPLAN-2026-0084</t>
        </is>
      </c>
      <c r="H64" t="inlineStr">
        <is>
          <t>EPLAN-2026-0084 (Engineering Plan, In Review)</t>
        </is>
      </c>
      <c r="I64" t="inlineStr">
        <is>
          <t>2026-06-25</t>
        </is>
      </c>
      <c r="J64" t="inlineStr">
        <is>
          <t>THAYER RD DATA CENTER SPAM: THIS SPAM IS TO ADJUST THE BUILDING HEIGHT OF THE PROPOSED BUILDING FROM 45' TO 65'. NOTE THAT THE SIGNING ENGINEER FOR GORDON IS ONLY VALIDATING THE CHANGE IN BUILDING HEIGHT ON THE CLOUDED SHEETS IN THE SHEET INDEX ONLY. Amending EPLAN-2024-0058</t>
        </is>
      </c>
      <c r="M64" t="n">
        <v>39.026675</v>
      </c>
      <c r="N64" t="n">
        <v>-77.424053</v>
      </c>
      <c r="O64" t="inlineStr">
        <is>
          <t>https://logis.loudoun.gov/gis/rest/services/Projects/LOLA_DATA/MapServer/0/query?where=PlanNumber%3D%27EPLAN-2026-0084%27&amp;outFields=PlanNumber,PlanType,PlanStatus,PlanName,PlanApplicationDate,PlanDescription&amp;f=html</t>
        </is>
      </c>
    </row>
    <row r="65">
      <c r="A65" t="n">
        <v>534</v>
      </c>
      <c r="B65" t="n">
        <v>287</v>
      </c>
      <c r="C65" t="inlineStr">
        <is>
          <t>Bridgefield Tech Center</t>
        </is>
      </c>
      <c r="D65" t="inlineStr">
        <is>
          <t>Site/engineering plan</t>
        </is>
      </c>
      <c r="E65" t="inlineStr">
        <is>
          <t>Pending application</t>
        </is>
      </c>
      <c r="F65" t="inlineStr">
        <is>
          <t>County-stated status of application(s): In Review.</t>
        </is>
      </c>
      <c r="G65" t="inlineStr">
        <is>
          <t>EPLAN-2026-0110</t>
        </is>
      </c>
      <c r="H65" t="inlineStr">
        <is>
          <t>EPLAN-2026-0110 (Engineering Plan, In Review)</t>
        </is>
      </c>
      <c r="I65" t="inlineStr">
        <is>
          <t>2026-07-28</t>
        </is>
      </c>
      <c r="J65" t="inlineStr">
        <is>
          <t>BRIDGEFIELD TECH CENTER: Site plan application for the development of data center buildings.</t>
        </is>
      </c>
      <c r="M65" t="n">
        <v>39.061527</v>
      </c>
      <c r="N65" t="n">
        <v>-77.444738</v>
      </c>
      <c r="O65" t="inlineStr">
        <is>
          <t>https://logis.loudoun.gov/gis/rest/services/Projects/LOLA_DATA/MapServer/0/query?where=PlanNumber%3D%27EPLAN-2026-0110%27&amp;outFields=PlanNumber,PlanType,PlanStatus,PlanName,PlanApplicationDate,PlanDescription&amp;f=html</t>
        </is>
      </c>
    </row>
    <row r="66">
      <c r="A66" t="n">
        <v>535</v>
      </c>
      <c r="B66" t="n">
        <v>288</v>
      </c>
      <c r="C66" t="inlineStr">
        <is>
          <t>Twin Creeks Buildings 1-3</t>
        </is>
      </c>
      <c r="D66" t="inlineStr">
        <is>
          <t>Site/engineering plan</t>
        </is>
      </c>
      <c r="E66" t="inlineStr">
        <is>
          <t>Pending application</t>
        </is>
      </c>
      <c r="F66" t="inlineStr">
        <is>
          <t>County-stated status of application(s): In Review.</t>
        </is>
      </c>
      <c r="G66" t="inlineStr">
        <is>
          <t>EPLAN-2026-0111</t>
        </is>
      </c>
      <c r="H66" t="inlineStr">
        <is>
          <t>EPLAN-2026-0111 (Engineering Plan, In Review)</t>
        </is>
      </c>
      <c r="I66" t="inlineStr">
        <is>
          <t>2026-07-29</t>
        </is>
      </c>
      <c r="J66" t="inlineStr">
        <is>
          <t>Project proposing Data Center buildings 1-3 of the Twin Creeks site with associated landscaping and infrastructure.</t>
        </is>
      </c>
      <c r="M66" t="n">
        <v>39.073987</v>
      </c>
      <c r="N66" t="n">
        <v>-77.517009</v>
      </c>
      <c r="O66" t="inlineStr">
        <is>
          <t>https://logis.loudoun.gov/gis/rest/services/Projects/LOLA_DATA/MapServer/0/query?where=PlanNumber%3D%27EPLAN-2026-0111%27&amp;outFields=PlanNumber,PlanType,PlanStatus,PlanName,PlanApplicationDate,PlanDescription&amp;f=html</t>
        </is>
      </c>
    </row>
    <row r="67">
      <c r="A67" t="n">
        <v>536</v>
      </c>
      <c r="B67" t="n">
        <v>289</v>
      </c>
      <c r="C67" t="inlineStr">
        <is>
          <t>AWS 42949 Fadeley Lane</t>
        </is>
      </c>
      <c r="D67" t="inlineStr">
        <is>
          <t>Site/engineering plan</t>
        </is>
      </c>
      <c r="E67" t="inlineStr">
        <is>
          <t>Pending application</t>
        </is>
      </c>
      <c r="F67" t="inlineStr">
        <is>
          <t>County-stated status of application(s): In Review.</t>
        </is>
      </c>
      <c r="G67" t="inlineStr">
        <is>
          <t>EPLAN-2026-0116</t>
        </is>
      </c>
      <c r="H67" t="inlineStr">
        <is>
          <t>EPLAN-2026-0116 (Engineering Plan, In Review)</t>
        </is>
      </c>
      <c r="I67" t="inlineStr">
        <is>
          <t>2026-08-11</t>
        </is>
      </c>
      <c r="J67" t="inlineStr">
        <is>
          <t>The applicant requests approval for a minor addition to a principal building on an approved Special Exception pursuant to Section 10.11.01.H.2. for a 14,177-square-foot footprint addition to the existing data center facility (Building 081) at 42949 Fadeley Lane. The proposed minor addition to the ex</t>
        </is>
      </c>
      <c r="K67" t="inlineStr">
        <is>
          <t>71, 72, 73, 74, 75, 153</t>
        </is>
      </c>
      <c r="L67" t="inlineStr">
        <is>
          <t>162392026000</t>
        </is>
      </c>
      <c r="M67" t="n">
        <v>38.948735</v>
      </c>
      <c r="N67" t="n">
        <v>-77.52183100000001</v>
      </c>
      <c r="O67" t="inlineStr">
        <is>
          <t>https://logis.loudoun.gov/gis/rest/services/Projects/LOLA_DATA/MapServer/0/query?where=PlanNumber%3D%27EPLAN-2026-0116%27&amp;outFields=PlanNumber,PlanType,PlanStatus,PlanName,PlanApplicationDate,PlanDescription&amp;f=html</t>
        </is>
      </c>
    </row>
    <row r="68">
      <c r="A68" t="n">
        <v>537</v>
      </c>
      <c r="B68" t="n">
        <v>290</v>
      </c>
      <c r="C68" t="inlineStr">
        <is>
          <t>Cross Mill Center</t>
        </is>
      </c>
      <c r="D68" t="inlineStr">
        <is>
          <t>Site/engineering plan</t>
        </is>
      </c>
      <c r="E68" t="inlineStr">
        <is>
          <t>Pending application</t>
        </is>
      </c>
      <c r="F68" t="inlineStr">
        <is>
          <t>County-stated status of application(s): In Review.</t>
        </is>
      </c>
      <c r="G68" t="inlineStr">
        <is>
          <t>EPLAN-2026-0140</t>
        </is>
      </c>
      <c r="H68" t="inlineStr">
        <is>
          <t>EPLAN-2026-0140 (Engineering Plan, In Review)</t>
        </is>
      </c>
      <c r="I68" t="inlineStr">
        <is>
          <t>2026-09-17</t>
        </is>
      </c>
      <c r="J68" t="inlineStr">
        <is>
          <t>CROSS MILL CENTER - This plan proposes the development of two data center buildings with associated infrastructure and construction of proffered road improvmeents along Sycolin Road</t>
        </is>
      </c>
      <c r="M68" t="n">
        <v>39.062834</v>
      </c>
      <c r="N68" t="n">
        <v>-77.550211</v>
      </c>
      <c r="O68" t="inlineStr">
        <is>
          <t>https://logis.loudoun.gov/gis/rest/services/Projects/LOLA_DATA/MapServer/0/query?where=PlanNumber%3D%27EPLAN-2026-0140%27&amp;outFields=PlanNumber,PlanType,PlanStatus,PlanName,PlanApplicationDate,PlanDescription&amp;f=html</t>
        </is>
      </c>
    </row>
    <row r="69">
      <c r="A69" t="n">
        <v>538</v>
      </c>
      <c r="B69" t="n">
        <v>291</v>
      </c>
      <c r="C69" t="inlineStr">
        <is>
          <t>ALIGNED ENERGY DATA CENTER</t>
        </is>
      </c>
      <c r="D69" t="inlineStr">
        <is>
          <t>Zoning/legislative</t>
        </is>
      </c>
      <c r="E69" t="inlineStr">
        <is>
          <t>Approved entitlement; buildings already on site</t>
        </is>
      </c>
      <c r="F69" t="inlineStr">
        <is>
          <t>County-stated status of application(s): Approved. Built/not-built is INFERRED: 1 data center building point(s) lie on/adjacent to the application area.</t>
        </is>
      </c>
      <c r="G69" t="inlineStr">
        <is>
          <t>LEGI-2023-0035</t>
        </is>
      </c>
      <c r="H69" t="inlineStr">
        <is>
          <t>LEGI-2023-0035 (Legislative Application, Approved); SPEX-2022-0024 (Special Exception, Approved); ZMAP-2022-0008 (Zoning Map Amendment, Approved); ZMOD-2022-0028 (Zoning Modification, Approved); SPMI-2022-0014 (Special Exception, Approved); ZMOD-2022-0083 (Zoning Modification, Approved)</t>
        </is>
      </c>
      <c r="I69" t="inlineStr">
        <is>
          <t>2022-05-25</t>
        </is>
      </c>
      <c r="J69" t="inlineStr">
        <is>
          <t>ALIGNED ENERGY DATA CENTER : A Zoning Modification to modify Section 5-664 Data Center 1. (D)(1) Pedestrian and Bicycle Facilities. 2. To modify Section 5-664(E)(2) Landscaping/Buffering/Screening. The applicant proposes to modify thisstandard by replacing the Road Corridor Buffer Type 3 and six-foo</t>
        </is>
      </c>
      <c r="K69" t="inlineStr">
        <is>
          <t>191</t>
        </is>
      </c>
      <c r="L69" t="inlineStr">
        <is>
          <t>045279612000</t>
        </is>
      </c>
      <c r="M69" t="n">
        <v>38.988601</v>
      </c>
      <c r="N69" t="n">
        <v>-77.44080700000001</v>
      </c>
      <c r="O69" t="inlineStr">
        <is>
          <t>https://logis.loudoun.gov/gis/rest/services/Projects/LOLA_DATA/MapServer/0/query?where=PlanNumber%3D%27ZMOD-2022-0083%27&amp;outFields=PlanNumber,PlanType,PlanStatus,PlanName,PlanApplicationDate,PlanDescription&amp;f=html</t>
        </is>
      </c>
    </row>
    <row r="70">
      <c r="A70" t="n">
        <v>539</v>
      </c>
      <c r="B70" t="n">
        <v>292</v>
      </c>
      <c r="C70" t="inlineStr">
        <is>
          <t>BELMONT INNOVATION CAMPUS</t>
        </is>
      </c>
      <c r="D70" t="inlineStr">
        <is>
          <t>Zoning/legislative</t>
        </is>
      </c>
      <c r="E70" t="inlineStr">
        <is>
          <t>Approved, not yet built (inferred)</t>
        </is>
      </c>
      <c r="F70" t="inlineStr">
        <is>
          <t>County-stated status of application(s): Approved. Built/not-built is INFERRED: no mapped data center building lies within the application area.</t>
        </is>
      </c>
      <c r="G70" t="inlineStr">
        <is>
          <t>LEGI-2023-0048</t>
        </is>
      </c>
      <c r="H70" t="inlineStr">
        <is>
          <t>LEGI-2023-0048 (Legislative Application, Approved); SPMI-2023-0013 (Special Exception, Approved)</t>
        </is>
      </c>
      <c r="I70" t="inlineStr">
        <is>
          <t>2022-10-31</t>
        </is>
      </c>
      <c r="J70" t="inlineStr">
        <is>
          <t>See LEGI-2023-0048 for all documents, timelines and workflow - BELMONT INNOVATION CAMPUS : A Minor Special Exception to allow for increased data center development potential on the Property</t>
        </is>
      </c>
      <c r="M70" t="n">
        <v>39.073219</v>
      </c>
      <c r="N70" t="n">
        <v>-77.509468</v>
      </c>
      <c r="O70" t="inlineStr">
        <is>
          <t>https://logis.loudoun.gov/gis/rest/services/Projects/LOLA_DATA/MapServer/0/query?where=PlanNumber%3D%27SPMI-2023-0013%27&amp;outFields=PlanNumber,PlanType,PlanStatus,PlanName,PlanApplicationDate,PlanDescription&amp;f=html</t>
        </is>
      </c>
    </row>
    <row r="71">
      <c r="A71" t="n">
        <v>540</v>
      </c>
      <c r="B71" t="n">
        <v>293</v>
      </c>
      <c r="C71" t="inlineStr">
        <is>
          <t>VANTAGE DATA CENTER - BROAD RUN</t>
        </is>
      </c>
      <c r="D71" t="inlineStr">
        <is>
          <t>Zoning/legislative</t>
        </is>
      </c>
      <c r="E71" t="inlineStr">
        <is>
          <t>Approved entitlement; buildings already on site</t>
        </is>
      </c>
      <c r="F71" t="inlineStr">
        <is>
          <t>County-stated status of application(s): Approved. Built/not-built is INFERRED: 1 data center building point(s) lie on/adjacent to the application area.</t>
        </is>
      </c>
      <c r="G71" t="inlineStr">
        <is>
          <t>LEGI-2023-0062</t>
        </is>
      </c>
      <c r="H71" t="inlineStr">
        <is>
          <t>LEGI-2023-0062 (Legislative Application, Approved); ZRTD-2023-0001 (Zoning Map Amendment, Approved)</t>
        </is>
      </c>
      <c r="I71" t="inlineStr">
        <is>
          <t>2023-02-16</t>
        </is>
      </c>
      <c r="J71" t="inlineStr">
        <is>
          <t>VANTAGE DATA CENTER - BROAD RUN : A Zoning Conversion in the Route 28 Tax District to increase the development potential by allowing all permitted uses in the PD-IP District under the Revised 1993 Zoning Ordinance.</t>
        </is>
      </c>
      <c r="K71" t="inlineStr">
        <is>
          <t>214</t>
        </is>
      </c>
      <c r="L71" t="inlineStr">
        <is>
          <t>044175589000</t>
        </is>
      </c>
      <c r="M71" t="n">
        <v>38.998665</v>
      </c>
      <c r="N71" t="n">
        <v>-77.44074000000001</v>
      </c>
      <c r="O71" t="inlineStr">
        <is>
          <t>https://logis.loudoun.gov/gis/rest/services/Projects/LOLA_DATA/MapServer/0/query?where=PlanNumber%3D%27ZRTD-2023-0001%27&amp;outFields=PlanNumber,PlanType,PlanStatus,PlanName,PlanApplicationDate,PlanDescription&amp;f=html</t>
        </is>
      </c>
    </row>
    <row r="72">
      <c r="A72" t="n">
        <v>541</v>
      </c>
      <c r="B72" t="n">
        <v>294</v>
      </c>
      <c r="C72" t="inlineStr">
        <is>
          <t>ARCOLA GROVE REZONING</t>
        </is>
      </c>
      <c r="D72" t="inlineStr">
        <is>
          <t>Zoning/legislative</t>
        </is>
      </c>
      <c r="E72" t="inlineStr">
        <is>
          <t>Approved, not yet built (inferred)</t>
        </is>
      </c>
      <c r="F72" t="inlineStr">
        <is>
          <t>County-stated status of application(s): Approved. Built/not-built is INFERRED: no mapped data center building lies within the application area.</t>
        </is>
      </c>
      <c r="G72" t="inlineStr">
        <is>
          <t>LEGI-2023-0071</t>
        </is>
      </c>
      <c r="H72" t="inlineStr">
        <is>
          <t>LEGI-2023-0071 (Legislative Application, Approved); ZMAP-2023-0005 (Zoning Map Amendment, Approved)</t>
        </is>
      </c>
      <c r="I72" t="inlineStr">
        <is>
          <t>2023-07-10</t>
        </is>
      </c>
      <c r="J72" t="inlineStr">
        <is>
          <t>See LEGI-2023-0071 for all documents, timelines and workflow - ARCOLA GROVE REZONING : A Zoning Map Amendment to rezone approximately 30 acres to build a Utility Transmission Substation and data center. Four of the parcels comprising the property are zoned Planned Development-Industrial Park (PD-IP)</t>
        </is>
      </c>
      <c r="M72" t="n">
        <v>38.943773</v>
      </c>
      <c r="N72" t="n">
        <v>-77.535968</v>
      </c>
      <c r="O72" t="inlineStr">
        <is>
          <t>https://logis.loudoun.gov/gis/rest/services/Projects/LOLA_DATA/MapServer/0/query?where=PlanNumber%3D%27ZMAP-2023-0005%27&amp;outFields=PlanNumber,PlanType,PlanStatus,PlanName,PlanApplicationDate,PlanDescription&amp;f=html</t>
        </is>
      </c>
    </row>
    <row r="73">
      <c r="A73" t="n">
        <v>542</v>
      </c>
      <c r="B73" t="n">
        <v>295</v>
      </c>
      <c r="C73" t="inlineStr">
        <is>
          <t>ZEBRA EAST</t>
        </is>
      </c>
      <c r="D73" t="inlineStr">
        <is>
          <t>Zoning/legislative</t>
        </is>
      </c>
      <c r="E73" t="inlineStr">
        <is>
          <t>Approved, not yet built (inferred)</t>
        </is>
      </c>
      <c r="F73" t="inlineStr">
        <is>
          <t>County-stated status of application(s): Approved. Built/not-built is INFERRED: no mapped data center building lies within the application area.</t>
        </is>
      </c>
      <c r="G73" t="inlineStr">
        <is>
          <t>LEGI-2023-0077</t>
        </is>
      </c>
      <c r="H73" t="inlineStr">
        <is>
          <t>LEGI-2023-0077 (Legislative Application, Approved); ZCPA-2023-0005 (Zoning Concept Plan Amendment, Approved)</t>
        </is>
      </c>
      <c r="I73" t="inlineStr">
        <is>
          <t>2023-07-26</t>
        </is>
      </c>
      <c r="J73" t="inlineStr">
        <is>
          <t>See LEGI-2023-0077 for all documents, timelines and workflow - ZEBRA EAST : A ZCPA applicaiton to amend a proffer statement associated with ZMAP-1998-0003 to permit additional FAR, and to develop data center uses.</t>
        </is>
      </c>
      <c r="M73" t="n">
        <v>39.005403</v>
      </c>
      <c r="N73" t="n">
        <v>-77.471503</v>
      </c>
      <c r="O73" t="inlineStr">
        <is>
          <t>https://logis.loudoun.gov/gis/rest/services/Projects/LOLA_DATA/MapServer/0/query?where=PlanNumber%3D%27ZCPA-2023-0005%27&amp;outFields=PlanNumber,PlanType,PlanStatus,PlanName,PlanApplicationDate,PlanDescription&amp;f=html</t>
        </is>
      </c>
    </row>
    <row r="74">
      <c r="A74" t="n">
        <v>543</v>
      </c>
      <c r="B74" t="n">
        <v>296</v>
      </c>
      <c r="C74" t="inlineStr">
        <is>
          <t>Quantum Park</t>
        </is>
      </c>
      <c r="D74" t="inlineStr">
        <is>
          <t>Zoning/legislative</t>
        </is>
      </c>
      <c r="E74" t="inlineStr">
        <is>
          <t>Pending application</t>
        </is>
      </c>
      <c r="F74" t="inlineStr">
        <is>
          <t>County-stated status of application(s): In Review.</t>
        </is>
      </c>
      <c r="G74" t="inlineStr">
        <is>
          <t>LEGI-2023-0097</t>
        </is>
      </c>
      <c r="H74" t="inlineStr">
        <is>
          <t>LEGI-2023-0097 (Legislative Application, In Review)</t>
        </is>
      </c>
      <c r="I74" t="inlineStr">
        <is>
          <t>2023-11-09</t>
        </is>
      </c>
      <c r="J74" t="inlineStr">
        <is>
          <t>QUANTUM PARK: ZCPA-2023-0008: A Zoning Concept Plan Amendment to expand the permitted building envelope for the development of office and data center uses consistent with the PD-OP zoning district, proffers approved with ZMAP-1998-0003, and the revised 1993 Zoning Ordinance.</t>
        </is>
      </c>
      <c r="K74" t="inlineStr">
        <is>
          <t>125</t>
        </is>
      </c>
      <c r="L74" t="inlineStr">
        <is>
          <t>088101859000</t>
        </is>
      </c>
      <c r="M74" t="n">
        <v>39.010166</v>
      </c>
      <c r="N74" t="n">
        <v>-77.470941</v>
      </c>
      <c r="O74" t="inlineStr">
        <is>
          <t>https://logis.loudoun.gov/gis/rest/services/Projects/LOLA_DATA/MapServer/0/query?where=PlanNumber%3D%27LEGI-2023-0097%27&amp;outFields=PlanNumber,PlanType,PlanStatus,PlanName,PlanApplicationDate,PlanDescription&amp;f=html</t>
        </is>
      </c>
    </row>
    <row r="75">
      <c r="A75" t="n">
        <v>544</v>
      </c>
      <c r="B75" t="n">
        <v>297</v>
      </c>
      <c r="C75" t="inlineStr">
        <is>
          <t>GLENN DRIVE NORTH &amp; SOUTH</t>
        </is>
      </c>
      <c r="D75" t="inlineStr">
        <is>
          <t>Zoning/legislative</t>
        </is>
      </c>
      <c r="E75" t="inlineStr">
        <is>
          <t>Pending application</t>
        </is>
      </c>
      <c r="F75" t="inlineStr">
        <is>
          <t>County-stated status of application(s): In Review.</t>
        </is>
      </c>
      <c r="G75" t="inlineStr">
        <is>
          <t>LEGI-2024-0003</t>
        </is>
      </c>
      <c r="H75" t="inlineStr">
        <is>
          <t>LEGI-2024-0003 (Legislative Application, In Review); SPEX-2024-0010 (Special Exception, In Review); SPEX-2024-0065 (Special Exception, In Review); ZMAP-2026-0001 (Zoning Map Amendment, In Review)</t>
        </is>
      </c>
      <c r="I75" t="inlineStr">
        <is>
          <t>2024-01-22</t>
        </is>
      </c>
      <c r="J75" t="inlineStr">
        <is>
          <t>GLENN DRIVE NORTH &amp; SOUTH ZMAP-2024-0002: A Zoning Conversion in the Route 28 Tax District of 42.3 acres from the Planned Development–Industrial Park (PD-IP) Zoning District under the 1972 Zoning Ordinance to the Industrial Park (IP) Zoning District under the Zoning Ordinance. SPEX-2024-0010: A Spec</t>
        </is>
      </c>
      <c r="M75" t="n">
        <v>38.98738</v>
      </c>
      <c r="N75" t="n">
        <v>-77.41848899999999</v>
      </c>
      <c r="O75" t="inlineStr">
        <is>
          <t>https://logis.loudoun.gov/gis/rest/services/Projects/LOLA_DATA/MapServer/0/query?where=PlanNumber%3D%27ZMAP-2026-0001%27&amp;outFields=PlanNumber,PlanType,PlanStatus,PlanName,PlanApplicationDate,PlanDescription&amp;f=html</t>
        </is>
      </c>
    </row>
    <row r="76">
      <c r="A76" t="n">
        <v>545</v>
      </c>
      <c r="B76" t="n">
        <v>298</v>
      </c>
      <c r="C76" t="inlineStr">
        <is>
          <t>Global Plaza</t>
        </is>
      </c>
      <c r="D76" t="inlineStr">
        <is>
          <t>Zoning/legislative</t>
        </is>
      </c>
      <c r="E76" t="inlineStr">
        <is>
          <t>Pending application</t>
        </is>
      </c>
      <c r="F76" t="inlineStr">
        <is>
          <t>County-stated status of application(s): In Review.</t>
        </is>
      </c>
      <c r="G76" t="inlineStr">
        <is>
          <t>SPEX-2024-0011</t>
        </is>
      </c>
      <c r="H76" t="inlineStr">
        <is>
          <t>SPEX-2024-0011 (Special Exception, In Review); LEGI-2024-0004 (Legislative Application, In Review); SPEX-2025-0027 (Special Exception, In Review)</t>
        </is>
      </c>
      <c r="I76" t="inlineStr">
        <is>
          <t>2024-02-27</t>
        </is>
      </c>
      <c r="J76" t="inlineStr">
        <is>
          <t>GLOBAL PLAZA: A Special Exceptions to allow for a 1.0 floor area ratio (FAR) of data center uses. A Minor Special Exception to modify the building setback along the northern property boundary.</t>
        </is>
      </c>
      <c r="M76" t="n">
        <v>38.986294</v>
      </c>
      <c r="N76" t="n">
        <v>-77.43885</v>
      </c>
      <c r="O76" t="inlineStr">
        <is>
          <t>https://logis.loudoun.gov/gis/rest/services/Projects/LOLA_DATA/MapServer/0/query?where=PlanNumber%3D%27SPEX-2025-0027%27&amp;outFields=PlanNumber,PlanType,PlanStatus,PlanName,PlanApplicationDate,PlanDescription&amp;f=html</t>
        </is>
      </c>
    </row>
    <row r="77">
      <c r="A77" t="n">
        <v>546</v>
      </c>
      <c r="B77" t="n">
        <v>299</v>
      </c>
      <c r="C77" t="inlineStr">
        <is>
          <t>Cochran Tech Park</t>
        </is>
      </c>
      <c r="D77" t="inlineStr">
        <is>
          <t>Zoning/legislative</t>
        </is>
      </c>
      <c r="E77" t="inlineStr">
        <is>
          <t>Pending application</t>
        </is>
      </c>
      <c r="F77" t="inlineStr">
        <is>
          <t>County-stated status of application(s): In Review.</t>
        </is>
      </c>
      <c r="G77" t="inlineStr">
        <is>
          <t>LEGI-2024-0037</t>
        </is>
      </c>
      <c r="H77" t="inlineStr">
        <is>
          <t>LEGI-2024-0037 (Legislative Application, In Review); SPEX-2025-0029 (Special Exception, In Review); SPEX-2025-0054 (Special Exception, In Review)</t>
        </is>
      </c>
      <c r="I77" t="inlineStr">
        <is>
          <t>2024-07-30</t>
        </is>
      </c>
      <c r="J77" t="inlineStr">
        <is>
          <t>COCHRAN TECH: See LEGI-2024-0037 for all timelines, document, and updates. A Special Exception to allow a data center development on moderately steep slopes in the IP Zoning District.</t>
        </is>
      </c>
      <c r="M77" t="n">
        <v>39.07685</v>
      </c>
      <c r="N77" t="n">
        <v>-77.514629</v>
      </c>
      <c r="O77" t="inlineStr">
        <is>
          <t>https://logis.loudoun.gov/gis/rest/services/Projects/LOLA_DATA/MapServer/0/query?where=PlanNumber%3D%27SPEX-2025-0054%27&amp;outFields=PlanNumber,PlanType,PlanStatus,PlanName,PlanApplicationDate,PlanDescription&amp;f=html</t>
        </is>
      </c>
    </row>
    <row r="78">
      <c r="A78" t="n">
        <v>547</v>
      </c>
      <c r="B78" t="n">
        <v>300</v>
      </c>
      <c r="C78" t="inlineStr">
        <is>
          <t>DULLES DISTRIBUTION CENTER PHASE 1 &amp; 2</t>
        </is>
      </c>
      <c r="D78" t="inlineStr">
        <is>
          <t>Zoning/legislative</t>
        </is>
      </c>
      <c r="E78" t="inlineStr">
        <is>
          <t>Pending application</t>
        </is>
      </c>
      <c r="F78" t="inlineStr">
        <is>
          <t>County-stated status of application(s): In Review.</t>
        </is>
      </c>
      <c r="G78" t="inlineStr">
        <is>
          <t>LEGI-2024-0039</t>
        </is>
      </c>
      <c r="H78" t="inlineStr">
        <is>
          <t>LEGI-2024-0039 (Legislative Application, In Review)</t>
        </is>
      </c>
      <c r="I78" t="inlineStr">
        <is>
          <t>2024-09-04</t>
        </is>
      </c>
      <c r="J78" t="inlineStr">
        <is>
          <t>DULLES DISTRIBUTION CENTER PHASE 1 &amp; 2 ZMAP-2024-0013: A Zoning Conversion in the Route 28 Tax District to convert approximately 32.48 acres from the Planned Development - Industrial Park (PD-IP) Zoning District under the 1972 Loudoun County Zoning Ordinance to the Industrial Park (IP) Zoning Distri</t>
        </is>
      </c>
      <c r="M78" t="n">
        <v>38.977889</v>
      </c>
      <c r="N78" t="n">
        <v>-77.442348</v>
      </c>
      <c r="O78" t="inlineStr">
        <is>
          <t>https://logis.loudoun.gov/gis/rest/services/Projects/LOLA_DATA/MapServer/0/query?where=PlanNumber%3D%27LEGI-2024-0039%27&amp;outFields=PlanNumber,PlanType,PlanStatus,PlanName,PlanApplicationDate,PlanDescription&amp;f=html</t>
        </is>
      </c>
    </row>
    <row r="79">
      <c r="A79" t="n">
        <v>548</v>
      </c>
      <c r="B79" t="n">
        <v>301</v>
      </c>
      <c r="C79" t="inlineStr">
        <is>
          <t>Dulles Downs</t>
        </is>
      </c>
      <c r="D79" t="inlineStr">
        <is>
          <t>Zoning/legislative</t>
        </is>
      </c>
      <c r="E79" t="inlineStr">
        <is>
          <t>Pending application</t>
        </is>
      </c>
      <c r="F79" t="inlineStr">
        <is>
          <t>County-stated status of application(s): In Review.</t>
        </is>
      </c>
      <c r="G79" t="inlineStr">
        <is>
          <t>SPEX-2024-0057</t>
        </is>
      </c>
      <c r="H79" t="inlineStr">
        <is>
          <t>SPEX-2024-0057 (Special Exception, In Review); LEGI-2024-0041 (Legislative Application, In Review)</t>
        </is>
      </c>
      <c r="I79" t="inlineStr">
        <is>
          <t>2024-08-08</t>
        </is>
      </c>
      <c r="J79" t="inlineStr">
        <is>
          <t>DULLES DOWNS ZMAP-2024-0014: A Zoning Conversion in the Route 28 Tax District to convert two parcels (PINs 045-28-2657 and 045-37-0852) comprising 26.913 acres from the Planned Development - Industrial Park (PD-IP) Zoning District under the 1972 Loudoun County Zoning Ordinance to the Industrial Park</t>
        </is>
      </c>
      <c r="K79" t="inlineStr">
        <is>
          <t>1, 4, 69, 70</t>
        </is>
      </c>
      <c r="L79" t="inlineStr">
        <is>
          <t>045282657000; 045391908000</t>
        </is>
      </c>
      <c r="M79" t="n">
        <v>38.991237</v>
      </c>
      <c r="N79" t="n">
        <v>-77.440843</v>
      </c>
      <c r="O79" t="inlineStr">
        <is>
          <t>https://logis.loudoun.gov/gis/rest/services/Projects/LOLA_DATA/MapServer/0/query?where=PlanNumber%3D%27LEGI-2024-0041%27&amp;outFields=PlanNumber,PlanType,PlanStatus,PlanName,PlanApplicationDate,PlanDescription&amp;f=html</t>
        </is>
      </c>
    </row>
    <row r="80">
      <c r="A80" t="n">
        <v>549</v>
      </c>
      <c r="B80" t="n">
        <v>302</v>
      </c>
      <c r="C80" t="inlineStr">
        <is>
          <t>West Dulles &amp; Dulles Commerce Center</t>
        </is>
      </c>
      <c r="D80" t="inlineStr">
        <is>
          <t>Zoning/legislative</t>
        </is>
      </c>
      <c r="E80" t="inlineStr">
        <is>
          <t>Pending application</t>
        </is>
      </c>
      <c r="F80" t="inlineStr">
        <is>
          <t>County-stated status of application(s): In Review.</t>
        </is>
      </c>
      <c r="G80" t="inlineStr">
        <is>
          <t>SPEX-2024-0058</t>
        </is>
      </c>
      <c r="H80" t="inlineStr">
        <is>
          <t>SPEX-2024-0058 (Special Exception, In Review); LEGI-2024-0042 (Legislative Application, In Review)</t>
        </is>
      </c>
      <c r="I80" t="inlineStr">
        <is>
          <t>2024-08-27</t>
        </is>
      </c>
      <c r="J80" t="inlineStr">
        <is>
          <t>WEST DULLES AND DULLES COMMERCE CENTER ZMAP-2024-0015: A Zoning Map Amendment of 94.35 acres from the General Industry (GI) Zoning District to the Industrial Park (IP) Zoning District. SPEX-2024-0058: A Special Exception to permit data center development up to a 1.0 floor area ratio (FAR). SPEX-2024</t>
        </is>
      </c>
      <c r="K80" t="inlineStr">
        <is>
          <t>114, 115, 116</t>
        </is>
      </c>
      <c r="L80" t="inlineStr">
        <is>
          <t>124299328000</t>
        </is>
      </c>
      <c r="M80" t="n">
        <v>38.955572</v>
      </c>
      <c r="N80" t="n">
        <v>-77.496838</v>
      </c>
      <c r="O80" t="inlineStr">
        <is>
          <t>https://logis.loudoun.gov/gis/rest/services/Projects/LOLA_DATA/MapServer/0/query?where=PlanNumber%3D%27LEGI-2024-0042%27&amp;outFields=PlanNumber,PlanType,PlanStatus,PlanName,PlanApplicationDate,PlanDescription&amp;f=html</t>
        </is>
      </c>
    </row>
    <row r="81">
      <c r="A81" t="n">
        <v>550</v>
      </c>
      <c r="B81" t="n">
        <v>303</v>
      </c>
      <c r="C81" t="inlineStr">
        <is>
          <t>Equinix Ashburn East</t>
        </is>
      </c>
      <c r="D81" t="inlineStr">
        <is>
          <t>Zoning/legislative</t>
        </is>
      </c>
      <c r="E81" t="inlineStr">
        <is>
          <t>Pending application</t>
        </is>
      </c>
      <c r="F81" t="inlineStr">
        <is>
          <t>County-stated status of application(s): In Review.</t>
        </is>
      </c>
      <c r="G81" t="inlineStr">
        <is>
          <t>SPEX-2024-0063</t>
        </is>
      </c>
      <c r="H81" t="inlineStr">
        <is>
          <t>SPEX-2024-0063 (Special Exception, In Review); SPEX-2025-0057 (Special Exception, In Review); LEGI-2024-0047 (Legislative Application, In Review)</t>
        </is>
      </c>
      <c r="I81" t="inlineStr">
        <is>
          <t>2025-08-26</t>
        </is>
      </c>
      <c r="J81" t="inlineStr">
        <is>
          <t>EQUINIX ASHBURN EAST: SPEX-2024-0063: A Special Exception to allow data center development up to a 1.0 floor area ratio (FAR). SPEX-2025-0057: A Special Exception to permit a data center use in the Industrial Park (IP) Zoning District.</t>
        </is>
      </c>
      <c r="K81" t="inlineStr">
        <is>
          <t>122, 123</t>
        </is>
      </c>
      <c r="L81" t="inlineStr">
        <is>
          <t>061200160000</t>
        </is>
      </c>
      <c r="M81" t="n">
        <v>39.012419</v>
      </c>
      <c r="N81" t="n">
        <v>-77.45356700000001</v>
      </c>
      <c r="O81" t="inlineStr">
        <is>
          <t>https://logis.loudoun.gov/gis/rest/services/Projects/LOLA_DATA/MapServer/0/query?where=PlanNumber%3D%27LEGI-2024-0047%27&amp;outFields=PlanNumber,PlanType,PlanStatus,PlanName,PlanApplicationDate,PlanDescription&amp;f=html</t>
        </is>
      </c>
    </row>
    <row r="82">
      <c r="A82" t="n">
        <v>551</v>
      </c>
      <c r="B82" t="n">
        <v>304</v>
      </c>
      <c r="C82" t="inlineStr">
        <is>
          <t>Horseshoe Drive</t>
        </is>
      </c>
      <c r="D82" t="inlineStr">
        <is>
          <t>Zoning/legislative</t>
        </is>
      </c>
      <c r="E82" t="inlineStr">
        <is>
          <t>Pending application</t>
        </is>
      </c>
      <c r="F82" t="inlineStr">
        <is>
          <t>County-stated status of application(s): In Review.</t>
        </is>
      </c>
      <c r="G82" t="inlineStr">
        <is>
          <t>SPEX-2024-0082</t>
        </is>
      </c>
      <c r="H82" t="inlineStr">
        <is>
          <t>SPEX-2024-0082 (Special Exception, In Review); LEGI-2024-0058 (Legislative Application, In Review); SPEX-2025-0055 (Special Exception, In Review)</t>
        </is>
      </c>
      <c r="I82" t="inlineStr">
        <is>
          <t>2024-11-27</t>
        </is>
      </c>
      <c r="J82" t="inlineStr">
        <is>
          <t>HORSESHOE DRIVE: A Special Exception to allow for a 1.0 floor area ratio (FAR) of data center uses.</t>
        </is>
      </c>
      <c r="M82" t="n">
        <v>39.026094</v>
      </c>
      <c r="N82" t="n">
        <v>-77.41166200000001</v>
      </c>
      <c r="O82" t="inlineStr">
        <is>
          <t>https://logis.loudoun.gov/gis/rest/services/Projects/LOLA_DATA/MapServer/0/query?where=PlanNumber%3D%27SPEX-2025-0055%27&amp;outFields=PlanNumber,PlanType,PlanStatus,PlanName,PlanApplicationDate,PlanDescription&amp;f=html</t>
        </is>
      </c>
    </row>
    <row r="83">
      <c r="A83" t="n">
        <v>552</v>
      </c>
      <c r="B83" t="n">
        <v>305</v>
      </c>
      <c r="C83" t="inlineStr">
        <is>
          <t>Spring Valley Technology Park</t>
        </is>
      </c>
      <c r="D83" t="inlineStr">
        <is>
          <t>Zoning/legislative</t>
        </is>
      </c>
      <c r="E83" t="inlineStr">
        <is>
          <t>Pending application</t>
        </is>
      </c>
      <c r="F83" t="inlineStr">
        <is>
          <t>County-stated status of application(s): In Review.</t>
        </is>
      </c>
      <c r="G83" t="inlineStr">
        <is>
          <t>LEGI-2024-0074</t>
        </is>
      </c>
      <c r="H83" t="inlineStr">
        <is>
          <t>LEGI-2024-0074 (Legislative Application, In Review); SPEX-2025-0136 (Special Exception, In Review); SPEX-2026-0004 (Special Exception, In Review); SPEX-2026-0031 (Special Exception, In Review)</t>
        </is>
      </c>
      <c r="I83" t="inlineStr">
        <is>
          <t>2025-03-03</t>
        </is>
      </c>
      <c r="J83" t="inlineStr">
        <is>
          <t>SEE LEGI-2024-0074 FOR DOCUMENTS, TIMELINE AND WORKFLOW. SPRING VALLEY TECHNOLOGY PARK: 4.06.02.D.2 Separation from Residential. Ground mounted Data Center Mechanical Equipment must be separated from adjacent property that has existing residential development, an approved CDP or plat or plan showing</t>
        </is>
      </c>
      <c r="M83" t="n">
        <v>39.00654</v>
      </c>
      <c r="N83" t="n">
        <v>-77.568845</v>
      </c>
      <c r="O83" t="inlineStr">
        <is>
          <t>https://logis.loudoun.gov/gis/rest/services/Projects/LOLA_DATA/MapServer/0/query?where=PlanNumber%3D%27SPEX-2026-0031%27&amp;outFields=PlanNumber,PlanType,PlanStatus,PlanName,PlanApplicationDate,PlanDescription&amp;f=html</t>
        </is>
      </c>
    </row>
    <row r="84">
      <c r="A84" t="n">
        <v>553</v>
      </c>
      <c r="B84" t="n">
        <v>306</v>
      </c>
      <c r="C84" t="inlineStr">
        <is>
          <t>SDC Ashburn I</t>
        </is>
      </c>
      <c r="D84" t="inlineStr">
        <is>
          <t>Zoning/legislative</t>
        </is>
      </c>
      <c r="E84" t="inlineStr">
        <is>
          <t>Approved entitlement; buildings already on site</t>
        </is>
      </c>
      <c r="F84" t="inlineStr">
        <is>
          <t>County-stated status of application(s): Approved. Built/not-built is INFERRED: 3 data center building point(s) lie on/adjacent to the application area.</t>
        </is>
      </c>
      <c r="G84" t="inlineStr">
        <is>
          <t>SPEX-2025-0031</t>
        </is>
      </c>
      <c r="H84" t="inlineStr">
        <is>
          <t>SPEX-2025-0031 (Special Exception, Approved); LEGI-2025-0015 (Legislative Application, Approved)</t>
        </is>
      </c>
      <c r="I84" t="inlineStr">
        <is>
          <t>2025-05-02</t>
        </is>
      </c>
      <c r="J84" t="inlineStr">
        <is>
          <t>SDC ASHBURN 1 SPEX-2025-0031: A Special Exception to permit the expansion of a data center building footprint from 14,386 square feet to 20,000 square feet.</t>
        </is>
      </c>
      <c r="K84" t="inlineStr">
        <is>
          <t>147, 148, 149</t>
        </is>
      </c>
      <c r="L84" t="inlineStr">
        <is>
          <t>062159785000</t>
        </is>
      </c>
      <c r="M84" t="n">
        <v>38.996093</v>
      </c>
      <c r="N84" t="n">
        <v>-77.471906</v>
      </c>
      <c r="O84" t="inlineStr">
        <is>
          <t>https://logis.loudoun.gov/gis/rest/services/Projects/LOLA_DATA/MapServer/0/query?where=PlanNumber%3D%27LEGI-2025-0015%27&amp;outFields=PlanNumber,PlanType,PlanStatus,PlanName,PlanApplicationDate,PlanDescription&amp;f=html</t>
        </is>
      </c>
    </row>
    <row r="85">
      <c r="A85" t="n">
        <v>554</v>
      </c>
      <c r="B85" t="n">
        <v>307</v>
      </c>
      <c r="C85" t="inlineStr">
        <is>
          <t>EQUINIX ASHBURN NORTH</t>
        </is>
      </c>
      <c r="D85" t="inlineStr">
        <is>
          <t>Zoning/legislative</t>
        </is>
      </c>
      <c r="E85" t="inlineStr">
        <is>
          <t>Pending application</t>
        </is>
      </c>
      <c r="F85" t="inlineStr">
        <is>
          <t>County-stated status of application(s): In Review.</t>
        </is>
      </c>
      <c r="G85" t="inlineStr">
        <is>
          <t>SPEX-2025-0051</t>
        </is>
      </c>
      <c r="H85" t="inlineStr">
        <is>
          <t>SPEX-2025-0051 (Special Exception, In Review); LEGI-2025-0027 (Legislative Application, In Review)</t>
        </is>
      </c>
      <c r="I85" t="inlineStr">
        <is>
          <t>2025-07-25</t>
        </is>
      </c>
      <c r="J85" t="inlineStr">
        <is>
          <t>EQUINIX ASHBURN NORTH: A Special Exception (SPEX) for Data Center Use and a Special Exception to exceed a 0.60 Floor Area Ratio on a 44-acre property in the Industrial Park (IP) Zoning District.</t>
        </is>
      </c>
      <c r="K85" t="inlineStr">
        <is>
          <t>79, 80, 159, 160</t>
        </is>
      </c>
      <c r="L85" t="inlineStr">
        <is>
          <t>060209652000</t>
        </is>
      </c>
      <c r="M85" t="n">
        <v>39.02341</v>
      </c>
      <c r="N85" t="n">
        <v>-77.450419</v>
      </c>
      <c r="O85" t="inlineStr">
        <is>
          <t>https://logis.loudoun.gov/gis/rest/services/Projects/LOLA_DATA/MapServer/0/query?where=PlanNumber%3D%27LEGI-2025-0027%27&amp;outFields=PlanNumber,PlanType,PlanStatus,PlanName,PlanApplicationDate,PlanDescription&amp;f=html</t>
        </is>
      </c>
    </row>
    <row r="86">
      <c r="A86" t="n">
        <v>555</v>
      </c>
      <c r="B86" t="n">
        <v>308</v>
      </c>
      <c r="C86" t="inlineStr">
        <is>
          <t>Yondr - Tarring</t>
        </is>
      </c>
      <c r="D86" t="inlineStr">
        <is>
          <t>Zoning/legislative</t>
        </is>
      </c>
      <c r="E86" t="inlineStr">
        <is>
          <t>Pending application</t>
        </is>
      </c>
      <c r="F86" t="inlineStr">
        <is>
          <t>County-stated status of application(s): In Review.</t>
        </is>
      </c>
      <c r="G86" t="inlineStr">
        <is>
          <t>SPEX-2025-0128</t>
        </is>
      </c>
      <c r="H86" t="inlineStr">
        <is>
          <t>SPEX-2025-0128 (Special Exception, In Review); LEGI-2025-0049 (Legislative Application, In Review)</t>
        </is>
      </c>
      <c r="I86" t="inlineStr">
        <is>
          <t>2025-11-10</t>
        </is>
      </c>
      <c r="J86" t="inlineStr">
        <is>
          <t>YONDR-TARRING SPEX-2025-0128: A Special Exception to permit a data center use in the General Industry (GI) Zoning District SPEX-2025-0144: A Minor Special Exception to eliminate the berm and fencing requirements along a portion of the frontage of Youngwood Lane. SPEX-2026-0018: A Minor Special Excep</t>
        </is>
      </c>
      <c r="M86" t="n">
        <v>38.952905</v>
      </c>
      <c r="N86" t="n">
        <v>-77.546864</v>
      </c>
      <c r="O86" t="inlineStr">
        <is>
          <t>https://logis.loudoun.gov/gis/rest/services/Projects/LOLA_DATA/MapServer/0/query?where=PlanNumber%3D%27LEGI-2025-0049%27&amp;outFields=PlanNumber,PlanType,PlanStatus,PlanName,PlanApplicationDate,PlanDescription&amp;f=html</t>
        </is>
      </c>
    </row>
    <row r="87">
      <c r="A87" t="n">
        <v>556</v>
      </c>
      <c r="B87" t="n">
        <v>309</v>
      </c>
      <c r="C87" t="inlineStr">
        <is>
          <t>Relocation Drive Data Center</t>
        </is>
      </c>
      <c r="D87" t="inlineStr">
        <is>
          <t>Zoning/legislative</t>
        </is>
      </c>
      <c r="E87" t="inlineStr">
        <is>
          <t>Pending application</t>
        </is>
      </c>
      <c r="F87" t="inlineStr">
        <is>
          <t>County-stated status of application(s): In Review, Submitted.</t>
        </is>
      </c>
      <c r="G87" t="inlineStr">
        <is>
          <t>SPEX-2026-0037</t>
        </is>
      </c>
      <c r="H87" t="inlineStr">
        <is>
          <t>SPEX-2026-0037 (Special Exception, Submitted); LEGI-2026-0019 (Legislative Application, In Review); SPEX-2026-0038 (Special Exception, In Review); ZCPA-2026-0008 (Zoning Concept Plan Amendment, In Review)</t>
        </is>
      </c>
      <c r="I87" t="inlineStr">
        <is>
          <t>2026-06-08</t>
        </is>
      </c>
      <c r="J87" t="inlineStr">
        <is>
          <t>SEE LEGI-2026-0019 FOR DOCUMENTS, TIMELINE AND WORKFLOW. Relocation Drive Data Center - A Zoning Concept Plan Amendment and Special Exception to permit the redevelopment of existing Data Center uses at a 0.86 FAR.</t>
        </is>
      </c>
      <c r="K87" t="inlineStr">
        <is>
          <t>61, 62</t>
        </is>
      </c>
      <c r="L87" t="inlineStr">
        <is>
          <t>045175529000</t>
        </is>
      </c>
      <c r="M87" t="n">
        <v>38.98662</v>
      </c>
      <c r="N87" t="n">
        <v>-77.442243</v>
      </c>
      <c r="O87" t="inlineStr">
        <is>
          <t>https://logis.loudoun.gov/gis/rest/services/Projects/LOLA_DATA/MapServer/0/query?where=PlanNumber%3D%27ZCPA-2026-0008%27&amp;outFields=PlanNumber,PlanType,PlanStatus,PlanName,PlanApplicationDate,PlanDescription&amp;f=html</t>
        </is>
      </c>
    </row>
    <row r="88">
      <c r="A88" t="n">
        <v>557</v>
      </c>
      <c r="B88" t="n">
        <v>310</v>
      </c>
      <c r="C88" t="inlineStr">
        <is>
          <t>EQUINIX SIGN PLAN</t>
        </is>
      </c>
      <c r="D88" t="inlineStr">
        <is>
          <t>Zoning/legislative</t>
        </is>
      </c>
      <c r="E88" t="inlineStr">
        <is>
          <t>Approved entitlement; buildings already on site</t>
        </is>
      </c>
      <c r="F88" t="inlineStr">
        <is>
          <t>County-stated status of application(s): Approved. Built/not-built is INFERRED: 1 data center building point(s) lie on/adjacent to the application area.</t>
        </is>
      </c>
      <c r="G88" t="inlineStr">
        <is>
          <t>SIDP-2020-0008</t>
        </is>
      </c>
      <c r="H88" t="inlineStr">
        <is>
          <t>SIDP-2020-0008 (Zoning Modification, Approved)</t>
        </is>
      </c>
      <c r="I88" t="inlineStr">
        <is>
          <t>2020-07-27</t>
        </is>
      </c>
      <c r="J88" t="inlineStr">
        <is>
          <t>EQUINIX SIGN PLAN : A Sign Development Plan (SIDP) to increase the number of allowed signsand to increase the allowable sign area for data center signage in thePD-IP Zoning District pursuant to Section 5-1204, Table 5-1204(D)(4)(g).</t>
        </is>
      </c>
      <c r="K88" t="inlineStr">
        <is>
          <t>123</t>
        </is>
      </c>
      <c r="L88" t="inlineStr">
        <is>
          <t>061200160000</t>
        </is>
      </c>
      <c r="M88" t="n">
        <v>39.011784</v>
      </c>
      <c r="N88" t="n">
        <v>-77.454928</v>
      </c>
      <c r="O88" t="inlineStr">
        <is>
          <t>https://logis.loudoun.gov/gis/rest/services/Projects/LOLA_DATA/MapServer/0/query?where=PlanNumber%3D%27SIDP-2020-0008%27&amp;outFields=PlanNumber,PlanType,PlanStatus,PlanName,PlanApplicationDate,PlanDescription&amp;f=html</t>
        </is>
      </c>
    </row>
    <row r="89">
      <c r="A89" t="n">
        <v>558</v>
      </c>
      <c r="B89" t="n">
        <v>311</v>
      </c>
      <c r="C89" t="inlineStr">
        <is>
          <t>MCI DATA CENTER</t>
        </is>
      </c>
      <c r="D89" t="inlineStr">
        <is>
          <t>Site/engineering plan</t>
        </is>
      </c>
      <c r="E89" t="inlineStr">
        <is>
          <t>Approved, not yet built (inferred)</t>
        </is>
      </c>
      <c r="F89" t="inlineStr">
        <is>
          <t>County-stated status of application(s): Approved. Built/not-built is INFERRED: no mapped data center building lies within the application area.</t>
        </is>
      </c>
      <c r="G89" t="inlineStr">
        <is>
          <t>SPAM-2005-0055</t>
        </is>
      </c>
      <c r="H89" t="inlineStr">
        <is>
          <t>SPAM-2005-0055 (Engineering Plan, Approved)</t>
        </is>
      </c>
      <c r="I89" t="inlineStr">
        <is>
          <t>2005-05-25</t>
        </is>
      </c>
      <c r="J89" t="inlineStr">
        <is>
          <t>MCI DATA CENTER : REQUEST APPROVAL OF A SITE PLAN AMENDMENT TO ALREADY APPROVED SITE PLAN (STPL-1999-0085) FOR A BATTERY ROOM ADDITION AND A MECHANICAL EQUIPMENT YARD. EKH</t>
        </is>
      </c>
      <c r="M89" t="n">
        <v>39.117252</v>
      </c>
      <c r="N89" t="n">
        <v>-77.578317</v>
      </c>
      <c r="O89" t="inlineStr">
        <is>
          <t>https://logis.loudoun.gov/gis/rest/services/Projects/LOLA_DATA/MapServer/0/query?where=PlanNumber%3D%27SPAM-2005-0055%27&amp;outFields=PlanNumber,PlanType,PlanStatus,PlanName,PlanApplicationDate,PlanDescription&amp;f=html</t>
        </is>
      </c>
    </row>
    <row r="90">
      <c r="A90" t="n">
        <v>559</v>
      </c>
      <c r="B90" t="n">
        <v>312</v>
      </c>
      <c r="C90" t="inlineStr">
        <is>
          <t>TRIZECHAHN AT BEAUMEADE PH 1 S 1 L 5A1</t>
        </is>
      </c>
      <c r="D90" t="inlineStr">
        <is>
          <t>Site/engineering plan</t>
        </is>
      </c>
      <c r="E90" t="inlineStr">
        <is>
          <t>Approved entitlement; buildings already on site</t>
        </is>
      </c>
      <c r="F90" t="inlineStr">
        <is>
          <t>County-stated status of application(s): Approved. Built/not-built is INFERRED: 6 data center building point(s) lie on/adjacent to the application area.</t>
        </is>
      </c>
      <c r="G90" t="inlineStr">
        <is>
          <t>SPAM-2006-0132</t>
        </is>
      </c>
      <c r="H90" t="inlineStr">
        <is>
          <t>SPAM-2006-0132 (Engineering Plan, Approved)</t>
        </is>
      </c>
      <c r="I90" t="inlineStr">
        <is>
          <t>2006-11-07</t>
        </is>
      </c>
      <c r="J90" t="inlineStr">
        <is>
          <t>TRIZECHAHN AT BEAUMEADE PH 1 S 1 L 5A1 : REQUEST APPROVAL OF A SITE PLAN AMENDMENT TO PREVIOUSLY APPROVED STPR 2006-0023 TO SHOW ON THE PLANS THE 9-FOOT TRAIL, PARKING LOT TABULATIONS AND BOND INFORMATION; CHANGE THE USE FROM OFFICE/WAREHOUSE TO DATA CENTER. er</t>
        </is>
      </c>
      <c r="K90" t="inlineStr">
        <is>
          <t>8, 9, 21, 22, 23, 25</t>
        </is>
      </c>
      <c r="L90" t="inlineStr">
        <is>
          <t>061483407000</t>
        </is>
      </c>
      <c r="M90" t="n">
        <v>39.015526</v>
      </c>
      <c r="N90" t="n">
        <v>-77.459838</v>
      </c>
      <c r="O90" t="inlineStr">
        <is>
          <t>https://logis.loudoun.gov/gis/rest/services/Projects/LOLA_DATA/MapServer/0/query?where=PlanNumber%3D%27SPAM-2006-0132%27&amp;outFields=PlanNumber,PlanType,PlanStatus,PlanName,PlanApplicationDate,PlanDescription&amp;f=html</t>
        </is>
      </c>
    </row>
    <row r="91">
      <c r="A91" t="n">
        <v>560</v>
      </c>
      <c r="B91" t="n">
        <v>313</v>
      </c>
      <c r="C91" t="inlineStr">
        <is>
          <t>CABOT TECH AT BEAUMEADE</t>
        </is>
      </c>
      <c r="D91" t="inlineStr">
        <is>
          <t>Site/engineering plan</t>
        </is>
      </c>
      <c r="E91" t="inlineStr">
        <is>
          <t>Approved entitlement; buildings already on site</t>
        </is>
      </c>
      <c r="F91" t="inlineStr">
        <is>
          <t>County-stated status of application(s): Approved. Built/not-built is INFERRED: 2 data center building point(s) lie on/adjacent to the application area.</t>
        </is>
      </c>
      <c r="G91" t="inlineStr">
        <is>
          <t>SPAM-2008-0075</t>
        </is>
      </c>
      <c r="H91" t="inlineStr">
        <is>
          <t>SPAM-2008-0075 (Engineering Plan, Approved)</t>
        </is>
      </c>
      <c r="I91" t="inlineStr">
        <is>
          <t>2008-09-25</t>
        </is>
      </c>
      <c r="J91" t="inlineStr">
        <is>
          <t>CABOT TECH AT BEAUMEADE : REQUEST APPROVAL OF A SITE PLAN AMENDMENT TO APPROVED SITE PLAN, STPL-1999-0046 TO ADD EXTERIOR EQUIPMENT AND EXTERIOR FENCING TO SUPPORT DATA CENTER USE. CT</t>
        </is>
      </c>
      <c r="K91" t="inlineStr">
        <is>
          <t>16, 48</t>
        </is>
      </c>
      <c r="L91" t="inlineStr">
        <is>
          <t>060202337000</t>
        </is>
      </c>
      <c r="M91" t="n">
        <v>39.02161</v>
      </c>
      <c r="N91" t="n">
        <v>-77.453374</v>
      </c>
      <c r="O91" t="inlineStr">
        <is>
          <t>https://logis.loudoun.gov/gis/rest/services/Projects/LOLA_DATA/MapServer/0/query?where=PlanNumber%3D%27SPAM-2008-0075%27&amp;outFields=PlanNumber,PlanType,PlanStatus,PlanName,PlanApplicationDate,PlanDescription&amp;f=html</t>
        </is>
      </c>
    </row>
    <row r="92">
      <c r="A92" t="n">
        <v>561</v>
      </c>
      <c r="B92" t="n">
        <v>314</v>
      </c>
      <c r="C92" t="inlineStr">
        <is>
          <t>IAD 10 DATA CENTER</t>
        </is>
      </c>
      <c r="D92" t="inlineStr">
        <is>
          <t>Site/engineering plan</t>
        </is>
      </c>
      <c r="E92" t="inlineStr">
        <is>
          <t>Approved entitlement; buildings already on site</t>
        </is>
      </c>
      <c r="F92" t="inlineStr">
        <is>
          <t>County-stated status of application(s): Approved. Built/not-built is INFERRED: 1 data center building point(s) lie on/adjacent to the application area.</t>
        </is>
      </c>
      <c r="G92" t="inlineStr">
        <is>
          <t>SPAM-2010-0049</t>
        </is>
      </c>
      <c r="H92" t="inlineStr">
        <is>
          <t>SPAM-2010-0049 (Engineering Plan, Approved)</t>
        </is>
      </c>
      <c r="I92" t="inlineStr">
        <is>
          <t>2010-10-14</t>
        </is>
      </c>
      <c r="J92" t="inlineStr">
        <is>
          <t>IAD 10 DATA CENTER : REQUEST APPROVAL OF A SITE PLAN AMENDMENT (SPAM) TO PREVIOUSLY STPL 2008-0006 TO ALLOW CLEARING, EROSION AND SEDIMENT CONTROL, GRADING AND PAVING FOR CONSTRUCTION OF THE PROPOSED GENERATORS, TRANSFORMER PADS AND OTHER MECHANICAL EQUIPMENT. DAS</t>
        </is>
      </c>
      <c r="K92" t="inlineStr">
        <is>
          <t>17</t>
        </is>
      </c>
      <c r="L92" t="inlineStr">
        <is>
          <t>042200988000</t>
        </is>
      </c>
      <c r="M92" t="n">
        <v>39.021578</v>
      </c>
      <c r="N92" t="n">
        <v>-77.43288200000001</v>
      </c>
      <c r="O92" t="inlineStr">
        <is>
          <t>https://logis.loudoun.gov/gis/rest/services/Projects/LOLA_DATA/MapServer/0/query?where=PlanNumber%3D%27SPAM-2010-0049%27&amp;outFields=PlanNumber,PlanType,PlanStatus,PlanName,PlanApplicationDate,PlanDescription&amp;f=html</t>
        </is>
      </c>
    </row>
    <row r="93">
      <c r="A93" t="n">
        <v>562</v>
      </c>
      <c r="B93" t="n">
        <v>315</v>
      </c>
      <c r="C93" t="inlineStr">
        <is>
          <t>1AD 10 DATA CENTER POD 2</t>
        </is>
      </c>
      <c r="D93" t="inlineStr">
        <is>
          <t>Site/engineering plan</t>
        </is>
      </c>
      <c r="E93" t="inlineStr">
        <is>
          <t>Approved entitlement; buildings already on site</t>
        </is>
      </c>
      <c r="F93" t="inlineStr">
        <is>
          <t>County-stated status of application(s): Approved. Built/not-built is INFERRED: 1 data center building point(s) lie on/adjacent to the application area.</t>
        </is>
      </c>
      <c r="G93" t="inlineStr">
        <is>
          <t>SPAM-2011-0008</t>
        </is>
      </c>
      <c r="H93" t="inlineStr">
        <is>
          <t>SPAM-2011-0008 (Engineering Plan, Approved)</t>
        </is>
      </c>
      <c r="I93" t="inlineStr">
        <is>
          <t>2011-02-10</t>
        </is>
      </c>
      <c r="J93" t="inlineStr">
        <is>
          <t>1AD 10 DATA CENTER POD 2 : REQUEST APPROVAL OF A SITE PLAN AMENDMENT FOR APPROVED SITE PLAN (STPL-2008-0006) TO PROVIDE A WATER TANK AND CONCRETE PAD WITH 3 INCH WATER SERVICE LINES. VB</t>
        </is>
      </c>
      <c r="K93" t="inlineStr">
        <is>
          <t>17</t>
        </is>
      </c>
      <c r="L93" t="inlineStr">
        <is>
          <t>042200988000</t>
        </is>
      </c>
      <c r="M93" t="n">
        <v>39.021578</v>
      </c>
      <c r="N93" t="n">
        <v>-77.43288200000001</v>
      </c>
      <c r="O93" t="inlineStr">
        <is>
          <t>https://logis.loudoun.gov/gis/rest/services/Projects/LOLA_DATA/MapServer/0/query?where=PlanNumber%3D%27SPAM-2011-0008%27&amp;outFields=PlanNumber,PlanType,PlanStatus,PlanName,PlanApplicationDate,PlanDescription&amp;f=html</t>
        </is>
      </c>
    </row>
    <row r="94">
      <c r="A94" t="n">
        <v>563</v>
      </c>
      <c r="B94" t="n">
        <v>316</v>
      </c>
      <c r="C94" t="inlineStr">
        <is>
          <t>BEAUMEADE MERRITT TRACT BLDGS 5, 6, &amp; 7</t>
        </is>
      </c>
      <c r="D94" t="inlineStr">
        <is>
          <t>Site/engineering plan</t>
        </is>
      </c>
      <c r="E94" t="inlineStr">
        <is>
          <t>Approved entitlement; buildings already on site</t>
        </is>
      </c>
      <c r="F94" t="inlineStr">
        <is>
          <t>County-stated status of application(s): Approved. Built/not-built is INFERRED: 1 data center building point(s) lie on/adjacent to the application area.</t>
        </is>
      </c>
      <c r="G94" t="inlineStr">
        <is>
          <t>SPAM-2011-0015</t>
        </is>
      </c>
      <c r="H94" t="inlineStr">
        <is>
          <t>SPAM-2011-0015 (Engineering Plan, Approved)</t>
        </is>
      </c>
      <c r="I94" t="inlineStr">
        <is>
          <t>2011-03-11</t>
        </is>
      </c>
      <c r="J94" t="inlineStr">
        <is>
          <t xml:space="preserve">BEAUMEADE MERRITT TRACT BLDGS 5, 6, &amp; 7 : REQUEST APPROVAL OF A SITE PLAN AMENDMENT (SPAM) TO REVISE SITE PLAN (STPL-2006-0069) TO INCREASE THE FLOOR AREA TO ONE HUNDRED TWENTY THREE THOUSAND TWO HUNDRED (123,200) SQUARE FEET (SF) INCREASE THE HEIGHT TO FORTY FIVE (45) FEET (FT) CHANGE THE USE TO A </t>
        </is>
      </c>
      <c r="K94" t="inlineStr">
        <is>
          <t>2</t>
        </is>
      </c>
      <c r="L94" t="inlineStr">
        <is>
          <t>060386530000</t>
        </is>
      </c>
      <c r="M94" t="n">
        <v>39.024528</v>
      </c>
      <c r="N94" t="n">
        <v>-77.45705100000001</v>
      </c>
      <c r="O94" t="inlineStr">
        <is>
          <t>https://logis.loudoun.gov/gis/rest/services/Projects/LOLA_DATA/MapServer/0/query?where=PlanNumber%3D%27SPAM-2011-0015%27&amp;outFields=PlanNumber,PlanType,PlanStatus,PlanName,PlanApplicationDate,PlanDescription&amp;f=html</t>
        </is>
      </c>
    </row>
    <row r="95">
      <c r="A95" t="n">
        <v>564</v>
      </c>
      <c r="B95" t="n">
        <v>317</v>
      </c>
      <c r="C95" t="inlineStr">
        <is>
          <t>IAD 12 DATA CENTER POD 1</t>
        </is>
      </c>
      <c r="D95" t="inlineStr">
        <is>
          <t>Site/engineering plan</t>
        </is>
      </c>
      <c r="E95" t="inlineStr">
        <is>
          <t>Approved entitlement; buildings already on site</t>
        </is>
      </c>
      <c r="F95" t="inlineStr">
        <is>
          <t>County-stated status of application(s): Approved. Built/not-built is INFERRED: 1 data center building point(s) lie on/adjacent to the application area.</t>
        </is>
      </c>
      <c r="G95" t="inlineStr">
        <is>
          <t>SPAM-2011-0016</t>
        </is>
      </c>
      <c r="H95" t="inlineStr">
        <is>
          <t>SPAM-2011-0016 (Engineering Plan, Approved); SPAM-2011-0054 (Engineering Plan, Approved)</t>
        </is>
      </c>
      <c r="I95" t="inlineStr">
        <is>
          <t>2011-03-22</t>
        </is>
      </c>
      <c r="J95" t="inlineStr">
        <is>
          <t>IAD 12 DATA CENTER POD 1 : REQUEST APPROVAL OF A SITE PLAN AMENDMENT (SPAM) TO PREVIOUSLY APPROVED SPAM 2000-0157 AND STPL 2000-0051 TO ADD ELECTRIC CHILLERS GENERATORS AND ELECTRIC TRANSFORMER PADS BEHIND BUILDING. DAS</t>
        </is>
      </c>
      <c r="K95" t="inlineStr">
        <is>
          <t>33</t>
        </is>
      </c>
      <c r="L95" t="inlineStr">
        <is>
          <t>045159083000</t>
        </is>
      </c>
      <c r="M95" t="n">
        <v>38.988689</v>
      </c>
      <c r="N95" t="n">
        <v>-77.447638</v>
      </c>
      <c r="O95" t="inlineStr">
        <is>
          <t>https://logis.loudoun.gov/gis/rest/services/Projects/LOLA_DATA/MapServer/0/query?where=PlanNumber%3D%27SPAM-2011-0054%27&amp;outFields=PlanNumber,PlanType,PlanStatus,PlanName,PlanApplicationDate,PlanDescription&amp;f=html</t>
        </is>
      </c>
    </row>
    <row r="96">
      <c r="A96" t="n">
        <v>565</v>
      </c>
      <c r="B96" t="n">
        <v>318</v>
      </c>
      <c r="C96" t="inlineStr">
        <is>
          <t>IAD 10 DATA CENTER POD 5 &amp; 6</t>
        </is>
      </c>
      <c r="D96" t="inlineStr">
        <is>
          <t>Site/engineering plan</t>
        </is>
      </c>
      <c r="E96" t="inlineStr">
        <is>
          <t>Approved entitlement; buildings already on site</t>
        </is>
      </c>
      <c r="F96" t="inlineStr">
        <is>
          <t>County-stated status of application(s): Approved. Built/not-built is INFERRED: 1 data center building point(s) lie on/adjacent to the application area.</t>
        </is>
      </c>
      <c r="G96" t="inlineStr">
        <is>
          <t>SPAM-2011-0036</t>
        </is>
      </c>
      <c r="H96" t="inlineStr">
        <is>
          <t>SPAM-2011-0036 (Engineering Plan, Approved)</t>
        </is>
      </c>
      <c r="I96" t="inlineStr">
        <is>
          <t>2011-05-11</t>
        </is>
      </c>
      <c r="J96" t="inlineStr">
        <is>
          <t>IAD 10 DATA CENTER POD 5 &amp; 6 : REQUEST APPROVAL OF A SITE PLAN AMENDMENT (SPAM) TO PREVIOUSLY APPROVED STPL-2008-0006 FOR A PROPOSED WATER TANK, CONCRETE PAD FOR THE WATER TANK, AND OVERHEAD WATER SERVICE LINE FROM THE TANK TO THE BUILDING RP</t>
        </is>
      </c>
      <c r="K96" t="inlineStr">
        <is>
          <t>17</t>
        </is>
      </c>
      <c r="L96" t="inlineStr">
        <is>
          <t>042200988000</t>
        </is>
      </c>
      <c r="M96" t="n">
        <v>39.021578</v>
      </c>
      <c r="N96" t="n">
        <v>-77.43288200000001</v>
      </c>
      <c r="O96" t="inlineStr">
        <is>
          <t>https://logis.loudoun.gov/gis/rest/services/Projects/LOLA_DATA/MapServer/0/query?where=PlanNumber%3D%27SPAM-2011-0036%27&amp;outFields=PlanNumber,PlanType,PlanStatus,PlanName,PlanApplicationDate,PlanDescription&amp;f=html</t>
        </is>
      </c>
    </row>
    <row r="97">
      <c r="A97" t="n">
        <v>566</v>
      </c>
      <c r="B97" t="n">
        <v>319</v>
      </c>
      <c r="C97" t="inlineStr">
        <is>
          <t>BEAUMEADE LOT 31A</t>
        </is>
      </c>
      <c r="D97" t="inlineStr">
        <is>
          <t>Site/engineering plan</t>
        </is>
      </c>
      <c r="E97" t="inlineStr">
        <is>
          <t>Approved entitlement; buildings already on site</t>
        </is>
      </c>
      <c r="F97" t="inlineStr">
        <is>
          <t>County-stated status of application(s): Approved. Built/not-built is INFERRED: 1 data center building point(s) lie on/adjacent to the application area.</t>
        </is>
      </c>
      <c r="G97" t="inlineStr">
        <is>
          <t>STPR-2010-0045</t>
        </is>
      </c>
      <c r="H97" t="inlineStr">
        <is>
          <t>STPR-2010-0045 (Engineering Plan, Approved); SPAM-2011-0049 (Engineering Plan, Approved)</t>
        </is>
      </c>
      <c r="I97" t="inlineStr">
        <is>
          <t>2010-11-19</t>
        </is>
      </c>
      <c r="J97" t="inlineStr">
        <is>
          <t>BEAUMEADE LOT 31A : REQUEST APPROVAL OF A SITE PLAN AMENDMENT (SPAM) TO PREVIOUSLY APPROV ED STPR-2010-0045 TO REVISE UTILITY CONNECTION POINTS, SITE SIDEWALKS AND ARCHITECHTURAL COORDINATION ISSUES FOR THE PROPOSED DATA CENTER AND RELATED INFRASTRUCTURE. DAS</t>
        </is>
      </c>
      <c r="K97" t="inlineStr">
        <is>
          <t>44</t>
        </is>
      </c>
      <c r="L97" t="inlineStr">
        <is>
          <t>060108050000</t>
        </is>
      </c>
      <c r="M97" t="n">
        <v>39.0214</v>
      </c>
      <c r="N97" t="n">
        <v>-77.45106800000001</v>
      </c>
      <c r="O97" t="inlineStr">
        <is>
          <t>https://logis.loudoun.gov/gis/rest/services/Projects/LOLA_DATA/MapServer/0/query?where=PlanNumber%3D%27SPAM-2011-0049%27&amp;outFields=PlanNumber,PlanType,PlanStatus,PlanName,PlanApplicationDate,PlanDescription&amp;f=html</t>
        </is>
      </c>
    </row>
    <row r="98">
      <c r="A98" t="n">
        <v>567</v>
      </c>
      <c r="B98" t="n">
        <v>320</v>
      </c>
      <c r="C98" t="inlineStr">
        <is>
          <t>BEAUMEADE LOT 28A RAGINGWIRE DATA CENTER</t>
        </is>
      </c>
      <c r="D98" t="inlineStr">
        <is>
          <t>Site/engineering plan</t>
        </is>
      </c>
      <c r="E98" t="inlineStr">
        <is>
          <t>Approved entitlement; buildings already on site</t>
        </is>
      </c>
      <c r="F98" t="inlineStr">
        <is>
          <t>County-stated status of application(s): Approved. Built/not-built is INFERRED: 1 data center building point(s) lie on/adjacent to the application area.</t>
        </is>
      </c>
      <c r="G98" t="inlineStr">
        <is>
          <t>SPAM-2011-0074</t>
        </is>
      </c>
      <c r="H98" t="inlineStr">
        <is>
          <t>SPAM-2011-0074 (Engineering Plan, Approved); SPAM-2012-0057 (Engineering Plan, Approved); SPAM-2012-0102 (Engineering Plan, Approved)</t>
        </is>
      </c>
      <c r="I98" t="inlineStr">
        <is>
          <t>2011-08-04</t>
        </is>
      </c>
      <c r="J98" t="inlineStr">
        <is>
          <t>BEAUMEADE LOT 28A RAGINGWIRE DATA CENTER : REQUEST APPROVAL OF A SITE PLAN AMENDMENT (SPAM) TO PREVIOUSLY APPROVED SPAM 2012-0057, SPAM 2011-0122,AND SPAM-2011-0074 TO REVISE FOOTPRINTS OF BUILDING ADDITIONS IN THE REAR,LOCATIONS OF GENERATOR EQUIPMENT AND TRANSFORMER PADS. DAS</t>
        </is>
      </c>
      <c r="K98" t="inlineStr">
        <is>
          <t>11</t>
        </is>
      </c>
      <c r="L98" t="inlineStr">
        <is>
          <t>060298548000</t>
        </is>
      </c>
      <c r="M98" t="n">
        <v>39.022932</v>
      </c>
      <c r="N98" t="n">
        <v>-77.454695</v>
      </c>
      <c r="O98" t="inlineStr">
        <is>
          <t>https://logis.loudoun.gov/gis/rest/services/Projects/LOLA_DATA/MapServer/0/query?where=PlanNumber%3D%27SPAM-2012-0102%27&amp;outFields=PlanNumber,PlanType,PlanStatus,PlanName,PlanApplicationDate,PlanDescription&amp;f=html</t>
        </is>
      </c>
    </row>
    <row r="99">
      <c r="A99" t="n">
        <v>568</v>
      </c>
      <c r="B99" t="n">
        <v>321</v>
      </c>
      <c r="C99" t="inlineStr">
        <is>
          <t>IAD 13 DATA CENTER POD 2</t>
        </is>
      </c>
      <c r="D99" t="inlineStr">
        <is>
          <t>Site/engineering plan</t>
        </is>
      </c>
      <c r="E99" t="inlineStr">
        <is>
          <t>Approved, not yet built (inferred)</t>
        </is>
      </c>
      <c r="F99" t="inlineStr">
        <is>
          <t>County-stated status of application(s): Approved. Built/not-built is INFERRED: no mapped data center building lies within the application area.</t>
        </is>
      </c>
      <c r="G99" t="inlineStr">
        <is>
          <t>SPAM-2011-0101</t>
        </is>
      </c>
      <c r="H99" t="inlineStr">
        <is>
          <t>SPAM-2011-0101 (Engineering Plan, Approved)</t>
        </is>
      </c>
      <c r="I99" t="inlineStr">
        <is>
          <t>2011-10-04</t>
        </is>
      </c>
      <c r="J99" t="inlineStr">
        <is>
          <t>IAD 13 DATA CENTER POD 2 : REQUEST APPROVAL OF A SITE PLAN AMENDMENT (SPAM) TO PREVIOUSLY APPROVED STPR-2010-0025 FOR THE INSTALLATION OF ELECTRIC CHILLERS, GENERATORS, AND ELECTRIC TRANSFORMER PADS BEHIND THE BUILDING RP</t>
        </is>
      </c>
      <c r="M99" t="n">
        <v>39.117252</v>
      </c>
      <c r="N99" t="n">
        <v>-77.578317</v>
      </c>
      <c r="O99" t="inlineStr">
        <is>
          <t>https://logis.loudoun.gov/gis/rest/services/Projects/LOLA_DATA/MapServer/0/query?where=PlanNumber%3D%27SPAM-2011-0101%27&amp;outFields=PlanNumber,PlanType,PlanStatus,PlanName,PlanApplicationDate,PlanDescription&amp;f=html</t>
        </is>
      </c>
    </row>
    <row r="100">
      <c r="A100" t="n">
        <v>569</v>
      </c>
      <c r="B100" t="n">
        <v>322</v>
      </c>
      <c r="C100" t="inlineStr">
        <is>
          <t>IAD 12 DATA CENTER POD 3</t>
        </is>
      </c>
      <c r="D100" t="inlineStr">
        <is>
          <t>Site/engineering plan</t>
        </is>
      </c>
      <c r="E100" t="inlineStr">
        <is>
          <t>Approved entitlement; buildings already on site</t>
        </is>
      </c>
      <c r="F100" t="inlineStr">
        <is>
          <t>County-stated status of application(s): Approved. Built/not-built is INFERRED: 1 data center building point(s) lie on/adjacent to the application area.</t>
        </is>
      </c>
      <c r="G100" t="inlineStr">
        <is>
          <t>SPAM-2012-0001</t>
        </is>
      </c>
      <c r="H100" t="inlineStr">
        <is>
          <t>SPAM-2012-0001 (Engineering Plan, Approved)</t>
        </is>
      </c>
      <c r="I100" t="inlineStr">
        <is>
          <t>2011-12-29</t>
        </is>
      </c>
      <c r="J100" t="inlineStr">
        <is>
          <t>IAD 12 DATA CENTER POD 3 : REQUEST APPROVAL OF A SITE PLAN AMENDMENT (SPAM) TO PREVIOUSLY APPROVED SPAM-2011-0054 FOR THE INSTALLATION OF TWO (2) COLD WATER TOWERS, TWO (2) CHILLED WATER PUMP PAD, TWO (2) GENERATORS AND PADS, AND THREE (3) TRANSFORMER PADS RP</t>
        </is>
      </c>
      <c r="K100" t="inlineStr">
        <is>
          <t>33</t>
        </is>
      </c>
      <c r="L100" t="inlineStr">
        <is>
          <t>045159083000</t>
        </is>
      </c>
      <c r="M100" t="n">
        <v>38.988689</v>
      </c>
      <c r="N100" t="n">
        <v>-77.447638</v>
      </c>
      <c r="O100" t="inlineStr">
        <is>
          <t>https://logis.loudoun.gov/gis/rest/services/Projects/LOLA_DATA/MapServer/0/query?where=PlanNumber%3D%27SPAM-2012-0001%27&amp;outFields=PlanNumber,PlanType,PlanStatus,PlanName,PlanApplicationDate,PlanDescription&amp;f=html</t>
        </is>
      </c>
    </row>
    <row r="101">
      <c r="A101" t="n">
        <v>570</v>
      </c>
      <c r="B101" t="n">
        <v>323</v>
      </c>
      <c r="C101" t="inlineStr">
        <is>
          <t>IAD 13 DATA CENTER POD 1</t>
        </is>
      </c>
      <c r="D101" t="inlineStr">
        <is>
          <t>Site/engineering plan</t>
        </is>
      </c>
      <c r="E101" t="inlineStr">
        <is>
          <t>Approved, not yet built (inferred)</t>
        </is>
      </c>
      <c r="F101" t="inlineStr">
        <is>
          <t>County-stated status of application(s): Approved. Built/not-built is INFERRED: no mapped data center building lies within the application area.</t>
        </is>
      </c>
      <c r="G101" t="inlineStr">
        <is>
          <t>SPAM-2012-0002</t>
        </is>
      </c>
      <c r="H101" t="inlineStr">
        <is>
          <t>SPAM-2012-0002 (Engineering Plan, Approved)</t>
        </is>
      </c>
      <c r="I101" t="inlineStr">
        <is>
          <t>2012-01-10</t>
        </is>
      </c>
      <c r="J101" t="inlineStr">
        <is>
          <t>IAD 13 DATA CENTER POD 1 : REQUEST APPROVAL OF A SITE PLAN AMENDMENT (SPAM) TO PREVIOUSLY APPROVED STPR 2010-0025 AND SPAM 2011-0101 FOR A COLD WATER TANK CONCRET PAD WITH PUMPS, TWO(2) CHILLED WATER PUMP PADS AND COOLING TOWER PADS, THREE(3) GENERATORS AND PADS, THREE (3) TRANSFORMERS AND PADS. DAS</t>
        </is>
      </c>
      <c r="M101" t="n">
        <v>39.117252</v>
      </c>
      <c r="N101" t="n">
        <v>-77.578317</v>
      </c>
      <c r="O101" t="inlineStr">
        <is>
          <t>https://logis.loudoun.gov/gis/rest/services/Projects/LOLA_DATA/MapServer/0/query?where=PlanNumber%3D%27SPAM-2012-0002%27&amp;outFields=PlanNumber,PlanType,PlanStatus,PlanName,PlanApplicationDate,PlanDescription&amp;f=html</t>
        </is>
      </c>
    </row>
    <row r="102">
      <c r="A102" t="n">
        <v>571</v>
      </c>
      <c r="B102" t="n">
        <v>324</v>
      </c>
      <c r="C102" t="inlineStr">
        <is>
          <t>IAD 12 DATA CENTER POD 2</t>
        </is>
      </c>
      <c r="D102" t="inlineStr">
        <is>
          <t>Site/engineering plan</t>
        </is>
      </c>
      <c r="E102" t="inlineStr">
        <is>
          <t>Approved entitlement; buildings already on site</t>
        </is>
      </c>
      <c r="F102" t="inlineStr">
        <is>
          <t>County-stated status of application(s): Approved. Built/not-built is INFERRED: 1 data center building point(s) lie on/adjacent to the application area.</t>
        </is>
      </c>
      <c r="G102" t="inlineStr">
        <is>
          <t>SPAM-2012-0005</t>
        </is>
      </c>
      <c r="H102" t="inlineStr">
        <is>
          <t>SPAM-2012-0005 (Engineering Plan, Approved)</t>
        </is>
      </c>
      <c r="I102" t="inlineStr">
        <is>
          <t>2012-01-19</t>
        </is>
      </c>
      <c r="J102" t="inlineStr">
        <is>
          <t>IAD 12 DATA CENTER POD 2 : REQUEST APPROVAL OF A SITE PLAN AMENDMENT (SPAM) TO PREVIOUSLY APPROVED SPAM-2011-0054 FOR THE ADDITION OF TWO (2) CHILLED WATER PUMP PADS AND TWO (2) GENERATORS AND PADS RP</t>
        </is>
      </c>
      <c r="K102" t="inlineStr">
        <is>
          <t>33</t>
        </is>
      </c>
      <c r="L102" t="inlineStr">
        <is>
          <t>045159083000</t>
        </is>
      </c>
      <c r="M102" t="n">
        <v>38.988689</v>
      </c>
      <c r="N102" t="n">
        <v>-77.447638</v>
      </c>
      <c r="O102" t="inlineStr">
        <is>
          <t>https://logis.loudoun.gov/gis/rest/services/Projects/LOLA_DATA/MapServer/0/query?where=PlanNumber%3D%27SPAM-2012-0005%27&amp;outFields=PlanNumber,PlanType,PlanStatus,PlanName,PlanApplicationDate,PlanDescription&amp;f=html</t>
        </is>
      </c>
    </row>
    <row r="103">
      <c r="A103" t="n">
        <v>572</v>
      </c>
      <c r="B103" t="n">
        <v>325</v>
      </c>
      <c r="C103" t="inlineStr">
        <is>
          <t>IAD 13 DATA CENTER POD 5</t>
        </is>
      </c>
      <c r="D103" t="inlineStr">
        <is>
          <t>Site/engineering plan</t>
        </is>
      </c>
      <c r="E103" t="inlineStr">
        <is>
          <t>Approved, not yet built (inferred)</t>
        </is>
      </c>
      <c r="F103" t="inlineStr">
        <is>
          <t>County-stated status of application(s): Approved. Built/not-built is INFERRED: no mapped data center building lies within the application area.</t>
        </is>
      </c>
      <c r="G103" t="inlineStr">
        <is>
          <t>SPAM-2012-0018</t>
        </is>
      </c>
      <c r="H103" t="inlineStr">
        <is>
          <t>SPAM-2012-0018 (Engineering Plan, Approved)</t>
        </is>
      </c>
      <c r="I103" t="inlineStr">
        <is>
          <t>2012-02-15</t>
        </is>
      </c>
      <c r="J103" t="inlineStr">
        <is>
          <t>IAD 13 DATA CENTER POD 5 : REQUEST APPROVAL OF A SITE PALN AMDENDMENT (SPAM) PREVISOULY APPROVED STPL 2010-0025 AND SPAM 2012-0002 TO INSTALL ELECTRIC CHILLERS, GENERATORS AND ELECTRIC TRANSFORMER PADS DAS</t>
        </is>
      </c>
      <c r="M103" t="n">
        <v>39.117252</v>
      </c>
      <c r="N103" t="n">
        <v>-77.578317</v>
      </c>
      <c r="O103" t="inlineStr">
        <is>
          <t>https://logis.loudoun.gov/gis/rest/services/Projects/LOLA_DATA/MapServer/0/query?where=PlanNumber%3D%27SPAM-2012-0018%27&amp;outFields=PlanNumber,PlanType,PlanStatus,PlanName,PlanApplicationDate,PlanDescription&amp;f=html</t>
        </is>
      </c>
    </row>
    <row r="104">
      <c r="A104" t="n">
        <v>573</v>
      </c>
      <c r="B104" t="n">
        <v>326</v>
      </c>
      <c r="C104" t="inlineStr">
        <is>
          <t>IAD 12 DATA CENTER POD 6</t>
        </is>
      </c>
      <c r="D104" t="inlineStr">
        <is>
          <t>Site/engineering plan</t>
        </is>
      </c>
      <c r="E104" t="inlineStr">
        <is>
          <t>Approved entitlement; buildings already on site</t>
        </is>
      </c>
      <c r="F104" t="inlineStr">
        <is>
          <t>County-stated status of application(s): Approved. Built/not-built is INFERRED: 1 data center building point(s) lie on/adjacent to the application area.</t>
        </is>
      </c>
      <c r="G104" t="inlineStr">
        <is>
          <t>SPAM-2012-0029</t>
        </is>
      </c>
      <c r="H104" t="inlineStr">
        <is>
          <t>SPAM-2012-0029 (Engineering Plan, Approved)</t>
        </is>
      </c>
      <c r="I104" t="inlineStr">
        <is>
          <t>2012-03-07</t>
        </is>
      </c>
      <c r="J104" t="inlineStr">
        <is>
          <t>IAD 12 DATA CENTER POD 6 : REQUEST APPROVAL OF A SITE PLAN AMENDMENT (SPAM) TO PREVIOUSLY APPROVED STPL-2000-0157 AND SPAM-2012-0005 FOR THE INSTALLATION OF ELECTRIC CHILLERS, GENERATORS, AND TRANSFORMER PADS BEHIND THE EXISTING BUILDING RP</t>
        </is>
      </c>
      <c r="K104" t="inlineStr">
        <is>
          <t>33</t>
        </is>
      </c>
      <c r="L104" t="inlineStr">
        <is>
          <t>045159083000</t>
        </is>
      </c>
      <c r="M104" t="n">
        <v>38.988689</v>
      </c>
      <c r="N104" t="n">
        <v>-77.447638</v>
      </c>
      <c r="O104" t="inlineStr">
        <is>
          <t>https://logis.loudoun.gov/gis/rest/services/Projects/LOLA_DATA/MapServer/0/query?where=PlanNumber%3D%27SPAM-2012-0029%27&amp;outFields=PlanNumber,PlanType,PlanStatus,PlanName,PlanApplicationDate,PlanDescription&amp;f=html</t>
        </is>
      </c>
    </row>
    <row r="105">
      <c r="A105" t="n">
        <v>574</v>
      </c>
      <c r="B105" t="n">
        <v>327</v>
      </c>
      <c r="C105" t="inlineStr">
        <is>
          <t>IAD 13 DATA CENTER POD 6</t>
        </is>
      </c>
      <c r="D105" t="inlineStr">
        <is>
          <t>Site/engineering plan</t>
        </is>
      </c>
      <c r="E105" t="inlineStr">
        <is>
          <t>Approved, not yet built (inferred)</t>
        </is>
      </c>
      <c r="F105" t="inlineStr">
        <is>
          <t>County-stated status of application(s): Approved. Built/not-built is INFERRED: no mapped data center building lies within the application area.</t>
        </is>
      </c>
      <c r="G105" t="inlineStr">
        <is>
          <t>SPAM-2012-0034</t>
        </is>
      </c>
      <c r="H105" t="inlineStr">
        <is>
          <t>SPAM-2012-0034 (Engineering Plan, Approved)</t>
        </is>
      </c>
      <c r="I105" t="inlineStr">
        <is>
          <t>2012-03-28</t>
        </is>
      </c>
      <c r="J105" t="inlineStr">
        <is>
          <t>IAD 13 DATA CENTER POD 6 : REQUEST APPROVAL OF A SITE PLAN AMENDMENT (SPAM) TO ADD ELECTRIC CHILLERS, GENERATORS, AND ELECTRIC TRANSFORMER PADS. DAS</t>
        </is>
      </c>
      <c r="M105" t="n">
        <v>39.117252</v>
      </c>
      <c r="N105" t="n">
        <v>-77.578317</v>
      </c>
      <c r="O105" t="inlineStr">
        <is>
          <t>https://logis.loudoun.gov/gis/rest/services/Projects/LOLA_DATA/MapServer/0/query?where=PlanNumber%3D%27SPAM-2012-0034%27&amp;outFields=PlanNumber,PlanType,PlanStatus,PlanName,PlanApplicationDate,PlanDescription&amp;f=html</t>
        </is>
      </c>
    </row>
    <row r="106">
      <c r="A106" t="n">
        <v>575</v>
      </c>
      <c r="B106" t="n">
        <v>328</v>
      </c>
      <c r="C106" t="inlineStr">
        <is>
          <t>IAD 12 DATA CENTER POD 7</t>
        </is>
      </c>
      <c r="D106" t="inlineStr">
        <is>
          <t>Site/engineering plan</t>
        </is>
      </c>
      <c r="E106" t="inlineStr">
        <is>
          <t>Approved entitlement; buildings already on site</t>
        </is>
      </c>
      <c r="F106" t="inlineStr">
        <is>
          <t>County-stated status of application(s): Approved. Built/not-built is INFERRED: 1 data center building point(s) lie on/adjacent to the application area.</t>
        </is>
      </c>
      <c r="G106" t="inlineStr">
        <is>
          <t>SPAM-2012-0035</t>
        </is>
      </c>
      <c r="H106" t="inlineStr">
        <is>
          <t>SPAM-2012-0035 (Engineering Plan, Approved)</t>
        </is>
      </c>
      <c r="I106" t="inlineStr">
        <is>
          <t>2012-04-03</t>
        </is>
      </c>
      <c r="J106" t="inlineStr">
        <is>
          <t>IAD 12 DATA CENTER POD 7 : REQUEST APPROVAL OF A SITE PLAN AMENDMENT (SPAM) TO PREVIOUSLY APPROVED STPL-2000-0157 AND SPAM-2012-0029 FOR THE INSTALLATION OF ELECTRIC CHILLERS, GENERATORS, AND TRANSFORMER PADS BEHIND THE EXISTING BUILDING RP</t>
        </is>
      </c>
      <c r="K106" t="inlineStr">
        <is>
          <t>33</t>
        </is>
      </c>
      <c r="L106" t="inlineStr">
        <is>
          <t>045159083000</t>
        </is>
      </c>
      <c r="M106" t="n">
        <v>38.988689</v>
      </c>
      <c r="N106" t="n">
        <v>-77.447638</v>
      </c>
      <c r="O106" t="inlineStr">
        <is>
          <t>https://logis.loudoun.gov/gis/rest/services/Projects/LOLA_DATA/MapServer/0/query?where=PlanNumber%3D%27SPAM-2012-0035%27&amp;outFields=PlanNumber,PlanType,PlanStatus,PlanName,PlanApplicationDate,PlanDescription&amp;f=html</t>
        </is>
      </c>
    </row>
    <row r="107">
      <c r="A107" t="n">
        <v>576</v>
      </c>
      <c r="B107" t="n">
        <v>329</v>
      </c>
      <c r="C107" t="inlineStr">
        <is>
          <t>IAD 13 DATA CENTER POD 7</t>
        </is>
      </c>
      <c r="D107" t="inlineStr">
        <is>
          <t>Site/engineering plan</t>
        </is>
      </c>
      <c r="E107" t="inlineStr">
        <is>
          <t>Approved, not yet built (inferred)</t>
        </is>
      </c>
      <c r="F107" t="inlineStr">
        <is>
          <t>County-stated status of application(s): Approved. Built/not-built is INFERRED: no mapped data center building lies within the application area.</t>
        </is>
      </c>
      <c r="G107" t="inlineStr">
        <is>
          <t>SPAM-2012-0036</t>
        </is>
      </c>
      <c r="H107" t="inlineStr">
        <is>
          <t>SPAM-2012-0036 (Engineering Plan, Approved)</t>
        </is>
      </c>
      <c r="I107" t="inlineStr">
        <is>
          <t>2012-04-03</t>
        </is>
      </c>
      <c r="J107" t="inlineStr">
        <is>
          <t>IAD 13 DATA CENTER POD 7 : REQUEST APPROVAL OF A SITE PLAN AMENDMENT (SPAM) TO PREVIOUSLY APPROVED STPR-2010-0025 FOR THE INSTALLATION OF ELECTRIC CHILLERS, GENERATORS, AND ELECTRIC TRANSFORMER PADS BEHIND THE BUILDING RP</t>
        </is>
      </c>
      <c r="M107" t="n">
        <v>39.117252</v>
      </c>
      <c r="N107" t="n">
        <v>-77.578317</v>
      </c>
      <c r="O107" t="inlineStr">
        <is>
          <t>https://logis.loudoun.gov/gis/rest/services/Projects/LOLA_DATA/MapServer/0/query?where=PlanNumber%3D%27SPAM-2012-0036%27&amp;outFields=PlanNumber,PlanType,PlanStatus,PlanName,PlanApplicationDate,PlanDescription&amp;f=html</t>
        </is>
      </c>
    </row>
    <row r="108">
      <c r="A108" t="n">
        <v>577</v>
      </c>
      <c r="B108" t="n">
        <v>330</v>
      </c>
      <c r="C108" t="inlineStr">
        <is>
          <t>IAD 12 DATA CENTER POD 8</t>
        </is>
      </c>
      <c r="D108" t="inlineStr">
        <is>
          <t>Site/engineering plan</t>
        </is>
      </c>
      <c r="E108" t="inlineStr">
        <is>
          <t>Approved entitlement; buildings already on site</t>
        </is>
      </c>
      <c r="F108" t="inlineStr">
        <is>
          <t>County-stated status of application(s): Approved. Built/not-built is INFERRED: 1 data center building point(s) lie on/adjacent to the application area.</t>
        </is>
      </c>
      <c r="G108" t="inlineStr">
        <is>
          <t>SPAM-2012-0050</t>
        </is>
      </c>
      <c r="H108" t="inlineStr">
        <is>
          <t>SPAM-2012-0050 (Engineering Plan, Approved)</t>
        </is>
      </c>
      <c r="I108" t="inlineStr">
        <is>
          <t>2012-05-24</t>
        </is>
      </c>
      <c r="J108" t="inlineStr">
        <is>
          <t>IAD 12 DATA CENTER POD 8 : REQUEST APPROVAL OF A SITE PLAN AMENDMENT (SPAM) FOR ELECTRIC CHILLERS, GENERATORS, AND ELECTRIC TRANSFORMER PADS. DAS</t>
        </is>
      </c>
      <c r="K108" t="inlineStr">
        <is>
          <t>33</t>
        </is>
      </c>
      <c r="L108" t="inlineStr">
        <is>
          <t>045159083000</t>
        </is>
      </c>
      <c r="M108" t="n">
        <v>38.988689</v>
      </c>
      <c r="N108" t="n">
        <v>-77.447638</v>
      </c>
      <c r="O108" t="inlineStr">
        <is>
          <t>https://logis.loudoun.gov/gis/rest/services/Projects/LOLA_DATA/MapServer/0/query?where=PlanNumber%3D%27SPAM-2012-0050%27&amp;outFields=PlanNumber,PlanType,PlanStatus,PlanName,PlanApplicationDate,PlanDescription&amp;f=html</t>
        </is>
      </c>
    </row>
    <row r="109">
      <c r="A109" t="n">
        <v>578</v>
      </c>
      <c r="B109" t="n">
        <v>331</v>
      </c>
      <c r="C109" t="inlineStr">
        <is>
          <t>IAD 13 DATA CENTER POD 8</t>
        </is>
      </c>
      <c r="D109" t="inlineStr">
        <is>
          <t>Site/engineering plan</t>
        </is>
      </c>
      <c r="E109" t="inlineStr">
        <is>
          <t>Approved, not yet built (inferred)</t>
        </is>
      </c>
      <c r="F109" t="inlineStr">
        <is>
          <t>County-stated status of application(s): Approved. Built/not-built is INFERRED: no mapped data center building lies within the application area.</t>
        </is>
      </c>
      <c r="G109" t="inlineStr">
        <is>
          <t>SPAM-2012-0066</t>
        </is>
      </c>
      <c r="H109" t="inlineStr">
        <is>
          <t>SPAM-2012-0066 (Engineering Plan, Approved)</t>
        </is>
      </c>
      <c r="I109" t="inlineStr">
        <is>
          <t>2012-06-26</t>
        </is>
      </c>
      <c r="J109" t="inlineStr">
        <is>
          <t>IAD 13 DATA CENTER POD 8 : REQUEST APPROVAL OF A SITE PLAN AMENDMENT (SPAM) TO PREVIOUSLY APPROVED SPAM-2012-0036 FOR THE ADDITION OF TWO (2) ELECTRIC CHILLERS, TWO (2) GENERATORS, AND FOUR (4) ELECTRIC TRANSFORMER PADS RP</t>
        </is>
      </c>
      <c r="M109" t="n">
        <v>39.117252</v>
      </c>
      <c r="N109" t="n">
        <v>-77.578317</v>
      </c>
      <c r="O109" t="inlineStr">
        <is>
          <t>https://logis.loudoun.gov/gis/rest/services/Projects/LOLA_DATA/MapServer/0/query?where=PlanNumber%3D%27SPAM-2012-0066%27&amp;outFields=PlanNumber,PlanType,PlanStatus,PlanName,PlanApplicationDate,PlanDescription&amp;f=html</t>
        </is>
      </c>
    </row>
    <row r="110">
      <c r="A110" t="n">
        <v>579</v>
      </c>
      <c r="B110" t="n">
        <v>332</v>
      </c>
      <c r="C110" t="inlineStr">
        <is>
          <t>IAD 12 DATA CENTER POD 9</t>
        </is>
      </c>
      <c r="D110" t="inlineStr">
        <is>
          <t>Site/engineering plan</t>
        </is>
      </c>
      <c r="E110" t="inlineStr">
        <is>
          <t>Approved entitlement; buildings already on site</t>
        </is>
      </c>
      <c r="F110" t="inlineStr">
        <is>
          <t>County-stated status of application(s): Approved. Built/not-built is INFERRED: 1 data center building point(s) lie on/adjacent to the application area.</t>
        </is>
      </c>
      <c r="G110" t="inlineStr">
        <is>
          <t>SPAM-2012-0067</t>
        </is>
      </c>
      <c r="H110" t="inlineStr">
        <is>
          <t>SPAM-2012-0067 (Engineering Plan, Approved)</t>
        </is>
      </c>
      <c r="I110" t="inlineStr">
        <is>
          <t>2012-06-25</t>
        </is>
      </c>
      <c r="J110" t="inlineStr">
        <is>
          <t>IAD 12 DATA CENTER POD 9 : REQUEST APPROVAL OF A SITE PLAN AMENDMENT (SPAM) TO PREVIOUSLY APPROVED SPAM-2012-0050 FOR THE ADDITION OF TWO (2) CHILLED WATER PUMP PADS, TWO (2) GENERATOR AND TRANSFORMER PADS, ONE (1) ELECTRIC VAULT, AND TWO (2) DVP SWITCHES RP</t>
        </is>
      </c>
      <c r="K110" t="inlineStr">
        <is>
          <t>33</t>
        </is>
      </c>
      <c r="L110" t="inlineStr">
        <is>
          <t>045159083000</t>
        </is>
      </c>
      <c r="M110" t="n">
        <v>38.988689</v>
      </c>
      <c r="N110" t="n">
        <v>-77.447638</v>
      </c>
      <c r="O110" t="inlineStr">
        <is>
          <t>https://logis.loudoun.gov/gis/rest/services/Projects/LOLA_DATA/MapServer/0/query?where=PlanNumber%3D%27SPAM-2012-0067%27&amp;outFields=PlanNumber,PlanType,PlanStatus,PlanName,PlanApplicationDate,PlanDescription&amp;f=html</t>
        </is>
      </c>
    </row>
    <row r="111">
      <c r="A111" t="n">
        <v>580</v>
      </c>
      <c r="B111" t="n">
        <v>333</v>
      </c>
      <c r="C111" t="inlineStr">
        <is>
          <t>IAD 13 DATA CENTER POD 3</t>
        </is>
      </c>
      <c r="D111" t="inlineStr">
        <is>
          <t>Site/engineering plan</t>
        </is>
      </c>
      <c r="E111" t="inlineStr">
        <is>
          <t>Approved, not yet built (inferred)</t>
        </is>
      </c>
      <c r="F111" t="inlineStr">
        <is>
          <t>County-stated status of application(s): Approved. Built/not-built is INFERRED: no mapped data center building lies within the application area.</t>
        </is>
      </c>
      <c r="G111" t="inlineStr">
        <is>
          <t>SPAM-2012-0079</t>
        </is>
      </c>
      <c r="H111" t="inlineStr">
        <is>
          <t>SPAM-2012-0079 (Engineering Plan, Approved)</t>
        </is>
      </c>
      <c r="I111" t="inlineStr">
        <is>
          <t>2012-07-26</t>
        </is>
      </c>
      <c r="J111" t="inlineStr">
        <is>
          <t>IAD 13 DATA CENTER POD 3 : REQUEST APPROVAL OF A SITE PLAN AMENDMENT (SPAM) TO PREVIOUSLY APPROVED SPAM-2012-0066 FOR THE ADDITION OF ELECTRIC CHILLERS, GENERATORS, AND 10-FOOT WIDE ASPHALT WALK. DAS</t>
        </is>
      </c>
      <c r="M111" t="n">
        <v>39.117252</v>
      </c>
      <c r="N111" t="n">
        <v>-77.578317</v>
      </c>
      <c r="O111" t="inlineStr">
        <is>
          <t>https://logis.loudoun.gov/gis/rest/services/Projects/LOLA_DATA/MapServer/0/query?where=PlanNumber%3D%27SPAM-2012-0079%27&amp;outFields=PlanNumber,PlanType,PlanStatus,PlanName,PlanApplicationDate,PlanDescription&amp;f=html</t>
        </is>
      </c>
    </row>
    <row r="112">
      <c r="A112" t="n">
        <v>581</v>
      </c>
      <c r="B112" t="n">
        <v>334</v>
      </c>
      <c r="C112" t="inlineStr">
        <is>
          <t>IAD 12 DATA CENTER POD 10</t>
        </is>
      </c>
      <c r="D112" t="inlineStr">
        <is>
          <t>Site/engineering plan</t>
        </is>
      </c>
      <c r="E112" t="inlineStr">
        <is>
          <t>Approved entitlement; buildings already on site</t>
        </is>
      </c>
      <c r="F112" t="inlineStr">
        <is>
          <t>County-stated status of application(s): Approved. Built/not-built is INFERRED: 1 data center building point(s) lie on/adjacent to the application area.</t>
        </is>
      </c>
      <c r="G112" t="inlineStr">
        <is>
          <t>SPAM-2012-0104</t>
        </is>
      </c>
      <c r="H112" t="inlineStr">
        <is>
          <t>SPAM-2012-0104 (Engineering Plan, Approved)</t>
        </is>
      </c>
      <c r="I112" t="inlineStr">
        <is>
          <t>2012-10-01</t>
        </is>
      </c>
      <c r="J112" t="inlineStr">
        <is>
          <t>IAD 12 DATA CENTER POD 10 : REQUEST APPROVAL OF A SITE PLAN AMENDMENT (SPAM) TO ADD AIR COOLED CHILLERS, GENERATORS AND ELECTRIC TRANSFORMER PADS BEHIND THE BUILDING. DAS</t>
        </is>
      </c>
      <c r="K112" t="inlineStr">
        <is>
          <t>33</t>
        </is>
      </c>
      <c r="L112" t="inlineStr">
        <is>
          <t>045159083000</t>
        </is>
      </c>
      <c r="M112" t="n">
        <v>38.988689</v>
      </c>
      <c r="N112" t="n">
        <v>-77.447638</v>
      </c>
      <c r="O112" t="inlineStr">
        <is>
          <t>https://logis.loudoun.gov/gis/rest/services/Projects/LOLA_DATA/MapServer/0/query?where=PlanNumber%3D%27SPAM-2012-0104%27&amp;outFields=PlanNumber,PlanType,PlanStatus,PlanName,PlanApplicationDate,PlanDescription&amp;f=html</t>
        </is>
      </c>
    </row>
    <row r="113">
      <c r="A113" t="n">
        <v>582</v>
      </c>
      <c r="B113" t="n">
        <v>335</v>
      </c>
      <c r="C113" t="inlineStr">
        <is>
          <t>IAD 13 DATA CENTER POD 9</t>
        </is>
      </c>
      <c r="D113" t="inlineStr">
        <is>
          <t>Site/engineering plan</t>
        </is>
      </c>
      <c r="E113" t="inlineStr">
        <is>
          <t>Approved, not yet built (inferred)</t>
        </is>
      </c>
      <c r="F113" t="inlineStr">
        <is>
          <t>County-stated status of application(s): Approved. Built/not-built is INFERRED: no mapped data center building lies within the application area.</t>
        </is>
      </c>
      <c r="G113" t="inlineStr">
        <is>
          <t>SPAM-2012-0105</t>
        </is>
      </c>
      <c r="H113" t="inlineStr">
        <is>
          <t>SPAM-2012-0105 (Engineering Plan, Approved)</t>
        </is>
      </c>
      <c r="I113" t="inlineStr">
        <is>
          <t>2012-10-05</t>
        </is>
      </c>
      <c r="J113" t="inlineStr">
        <is>
          <t>IAD 13 DATA CENTER POD 9 : REQUEST APPROVAL OF A SITE PLAN AMENDMENT(SPAM) TO PREVIOUSLY APPROVED SPAM 2012-0079 TO ADD A COLD WATER TANK CONCRETE PAD, TWO (2) CHILLED WATER PUMP PADS, COOLING TOWER PADS, TWO (2) GENERATORS AND PADS, FOUR (4) ELECTRIC TRANSFORMERS AND PADS. DAS</t>
        </is>
      </c>
      <c r="M113" t="n">
        <v>39.117252</v>
      </c>
      <c r="N113" t="n">
        <v>-77.578317</v>
      </c>
      <c r="O113" t="inlineStr">
        <is>
          <t>https://logis.loudoun.gov/gis/rest/services/Projects/LOLA_DATA/MapServer/0/query?where=PlanNumber%3D%27SPAM-2012-0105%27&amp;outFields=PlanNumber,PlanType,PlanStatus,PlanName,PlanApplicationDate,PlanDescription&amp;f=html</t>
        </is>
      </c>
    </row>
    <row r="114">
      <c r="A114" t="n">
        <v>583</v>
      </c>
      <c r="B114" t="n">
        <v>336</v>
      </c>
      <c r="C114" t="inlineStr">
        <is>
          <t>DULLES SUMMIT IAD 15 DATA CENTER POD 1</t>
        </is>
      </c>
      <c r="D114" t="inlineStr">
        <is>
          <t>Site/engineering plan</t>
        </is>
      </c>
      <c r="E114" t="inlineStr">
        <is>
          <t>Approved entitlement; buildings already on site</t>
        </is>
      </c>
      <c r="F114" t="inlineStr">
        <is>
          <t>County-stated status of application(s): Approved. Built/not-built is INFERRED: 1 data center building point(s) lie on/adjacent to the application area.</t>
        </is>
      </c>
      <c r="G114" t="inlineStr">
        <is>
          <t>SPAM-2012-0115</t>
        </is>
      </c>
      <c r="H114" t="inlineStr">
        <is>
          <t>SPAM-2012-0115 (Engineering Plan, Approved)</t>
        </is>
      </c>
      <c r="I114" t="inlineStr">
        <is>
          <t>2012-11-13</t>
        </is>
      </c>
      <c r="J114" t="inlineStr">
        <is>
          <t>DULLES SUMMIT IAD 15 DATA CENTER POD 1 : REQUEST APPROVAL OF A SITE PLAN AMENDMENT (SPAM) TO PREVIOUSLY APPROVED SPAM 2011-0099 TO ADD PRIVATE WATER STORAGE TANK PAD, GENERATORS, AND ELECTRIC TRANSFORMER PADS. DAS</t>
        </is>
      </c>
      <c r="K114" t="inlineStr">
        <is>
          <t>41</t>
        </is>
      </c>
      <c r="L114" t="inlineStr">
        <is>
          <t>045254455000</t>
        </is>
      </c>
      <c r="M114" t="n">
        <v>38.990748</v>
      </c>
      <c r="N114" t="n">
        <v>-77.448815</v>
      </c>
      <c r="O114" t="inlineStr">
        <is>
          <t>https://logis.loudoun.gov/gis/rest/services/Projects/LOLA_DATA/MapServer/0/query?where=PlanNumber%3D%27SPAM-2012-0115%27&amp;outFields=PlanNumber,PlanType,PlanStatus,PlanName,PlanApplicationDate,PlanDescription&amp;f=html</t>
        </is>
      </c>
    </row>
    <row r="115">
      <c r="A115" t="n">
        <v>584</v>
      </c>
      <c r="B115" t="n">
        <v>337</v>
      </c>
      <c r="C115" t="inlineStr">
        <is>
          <t>IAD 13 DATA CENTER POD 4</t>
        </is>
      </c>
      <c r="D115" t="inlineStr">
        <is>
          <t>Site/engineering plan</t>
        </is>
      </c>
      <c r="E115" t="inlineStr">
        <is>
          <t>Approved, not yet built (inferred)</t>
        </is>
      </c>
      <c r="F115" t="inlineStr">
        <is>
          <t>County-stated status of application(s): Approved. Built/not-built is INFERRED: no mapped data center building lies within the application area.</t>
        </is>
      </c>
      <c r="G115" t="inlineStr">
        <is>
          <t>SPAM-2013-0012</t>
        </is>
      </c>
      <c r="H115" t="inlineStr">
        <is>
          <t>SPAM-2013-0012 (Engineering Plan, Approved)</t>
        </is>
      </c>
      <c r="I115" t="inlineStr">
        <is>
          <t>2013-01-15</t>
        </is>
      </c>
      <c r="J115" t="inlineStr">
        <is>
          <t>IAD 13 DATA CENTER POD 4 : REQUEST APPROVAL OF A SITE PLAN AMENDMENT (SPAM) TO PREVIOUSLY APPROVED STPL-2001-0016 AND STPR-2010-0025 FOR TWO (2) NEW GENERATOR PADS, REVISION TO GRADING, AND THE INSTALLATION OF SECURITY GATES RP</t>
        </is>
      </c>
      <c r="M115" t="n">
        <v>39.117252</v>
      </c>
      <c r="N115" t="n">
        <v>-77.578317</v>
      </c>
      <c r="O115" t="inlineStr">
        <is>
          <t>https://logis.loudoun.gov/gis/rest/services/Projects/LOLA_DATA/MapServer/0/query?where=PlanNumber%3D%27SPAM-2013-0012%27&amp;outFields=PlanNumber,PlanType,PlanStatus,PlanName,PlanApplicationDate,PlanDescription&amp;f=html</t>
        </is>
      </c>
    </row>
    <row r="116">
      <c r="A116" t="n">
        <v>585</v>
      </c>
      <c r="B116" t="n">
        <v>338</v>
      </c>
      <c r="C116" t="inlineStr">
        <is>
          <t>IAD 10 DATA CENTER NETWORK ROOM EXPANSIO</t>
        </is>
      </c>
      <c r="D116" t="inlineStr">
        <is>
          <t>Site/engineering plan</t>
        </is>
      </c>
      <c r="E116" t="inlineStr">
        <is>
          <t>Approved entitlement; buildings already on site</t>
        </is>
      </c>
      <c r="F116" t="inlineStr">
        <is>
          <t>County-stated status of application(s): Approved. Built/not-built is INFERRED: 1 data center building point(s) lie on/adjacent to the application area.</t>
        </is>
      </c>
      <c r="G116" t="inlineStr">
        <is>
          <t>SPAM-2013-0020</t>
        </is>
      </c>
      <c r="H116" t="inlineStr">
        <is>
          <t>SPAM-2013-0020 (Engineering Plan, Approved)</t>
        </is>
      </c>
      <c r="I116" t="inlineStr">
        <is>
          <t>2013-01-30</t>
        </is>
      </c>
      <c r="J116" t="inlineStr">
        <is>
          <t>IAD 10 DATA CENTER NETWORK ROOM EXPANSIO : REQUEST APPROVAL OF A SITE PLAN AMENDMENT (SPAM) TO PREVIOUSLY APPROVED SPAM 2011-0036 FOR TWO (2) CONCRETE PADS FOR GENERATORS. DAS</t>
        </is>
      </c>
      <c r="K116" t="inlineStr">
        <is>
          <t>17</t>
        </is>
      </c>
      <c r="L116" t="inlineStr">
        <is>
          <t>042200988000</t>
        </is>
      </c>
      <c r="M116" t="n">
        <v>39.021578</v>
      </c>
      <c r="N116" t="n">
        <v>-77.43288200000001</v>
      </c>
      <c r="O116" t="inlineStr">
        <is>
          <t>https://logis.loudoun.gov/gis/rest/services/Projects/LOLA_DATA/MapServer/0/query?where=PlanNumber%3D%27SPAM-2013-0020%27&amp;outFields=PlanNumber,PlanType,PlanStatus,PlanName,PlanApplicationDate,PlanDescription&amp;f=html</t>
        </is>
      </c>
    </row>
    <row r="117">
      <c r="A117" t="n">
        <v>586</v>
      </c>
      <c r="B117" t="n">
        <v>339</v>
      </c>
      <c r="C117" t="inlineStr">
        <is>
          <t>INTERGATE ASHBURN  DATA CENTER</t>
        </is>
      </c>
      <c r="D117" t="inlineStr">
        <is>
          <t>Site/engineering plan</t>
        </is>
      </c>
      <c r="E117" t="inlineStr">
        <is>
          <t>Approved entitlement; buildings already on site</t>
        </is>
      </c>
      <c r="F117" t="inlineStr">
        <is>
          <t>County-stated status of application(s): Approved. Built/not-built is INFERRED: 3 data center building point(s) lie on/adjacent to the application area.</t>
        </is>
      </c>
      <c r="G117" t="inlineStr">
        <is>
          <t>STPL-2011-0014</t>
        </is>
      </c>
      <c r="H117" t="inlineStr">
        <is>
          <t>STPL-2011-0014 (Engineering Plan, Approved); SPAM-2013-0025 (Engineering Plan, Approved)</t>
        </is>
      </c>
      <c r="I117" t="inlineStr">
        <is>
          <t>2011-06-16</t>
        </is>
      </c>
      <c r="J117" t="inlineStr">
        <is>
          <t>INTERGATE ASHBURN DATA CENTER : REQUEST APPROVAL OF A SITE PLAN AMMENDMENT (SPAM) TO PREVIOUSLY APPROVED SITE PLAN TO REVISE GRADING, WATERMAINS AND SERVICES, AND STORM SEWERS WITHIN THE OVERALL PLAN. EB</t>
        </is>
      </c>
      <c r="K117" t="inlineStr">
        <is>
          <t>50, 51, 52</t>
        </is>
      </c>
      <c r="L117" t="inlineStr">
        <is>
          <t>088389930000; 088392214000</t>
        </is>
      </c>
      <c r="M117" t="n">
        <v>39.015082</v>
      </c>
      <c r="N117" t="n">
        <v>-77.478784</v>
      </c>
      <c r="O117" t="inlineStr">
        <is>
          <t>https://logis.loudoun.gov/gis/rest/services/Projects/LOLA_DATA/MapServer/0/query?where=PlanNumber%3D%27SPAM-2013-0025%27&amp;outFields=PlanNumber,PlanType,PlanStatus,PlanName,PlanApplicationDate,PlanDescription&amp;f=html</t>
        </is>
      </c>
    </row>
    <row r="118">
      <c r="A118" t="n">
        <v>587</v>
      </c>
      <c r="B118" t="n">
        <v>340</v>
      </c>
      <c r="C118" t="inlineStr">
        <is>
          <t>SUMMIT AT DULLES IAD 15 DATA CENTER POD4</t>
        </is>
      </c>
      <c r="D118" t="inlineStr">
        <is>
          <t>Site/engineering plan</t>
        </is>
      </c>
      <c r="E118" t="inlineStr">
        <is>
          <t>Approved entitlement; buildings already on site</t>
        </is>
      </c>
      <c r="F118" t="inlineStr">
        <is>
          <t>County-stated status of application(s): Approved. Built/not-built is INFERRED: 1 data center building point(s) lie on/adjacent to the application area.</t>
        </is>
      </c>
      <c r="G118" t="inlineStr">
        <is>
          <t>SPAM-2013-0027</t>
        </is>
      </c>
      <c r="H118" t="inlineStr">
        <is>
          <t>SPAM-2013-0027 (Engineering Plan, Approved)</t>
        </is>
      </c>
      <c r="I118" t="inlineStr">
        <is>
          <t>2013-02-07</t>
        </is>
      </c>
      <c r="J118" t="inlineStr">
        <is>
          <t>SUMMIT AT DULLES IAD 15 DATA CENTER POD4 : REQUEST APPROVAL OF A SITE PLAN AMMENDMENT (SPAM) TO PREVIOUSLY APPROVED SITE PLAN (STPL) FOR TWO (2) PRIVATE WATER STORAGE TANK AND GENERATOR PADS TO BE INSTALLED BEHIND THE BUIDLING. EB</t>
        </is>
      </c>
      <c r="K118" t="inlineStr">
        <is>
          <t>32</t>
        </is>
      </c>
      <c r="L118" t="inlineStr">
        <is>
          <t>045358110000</t>
        </is>
      </c>
      <c r="M118" t="n">
        <v>38.991319</v>
      </c>
      <c r="N118" t="n">
        <v>-77.44821399999999</v>
      </c>
      <c r="O118" t="inlineStr">
        <is>
          <t>https://logis.loudoun.gov/gis/rest/services/Projects/LOLA_DATA/MapServer/0/query?where=PlanNumber%3D%27SPAM-2013-0027%27&amp;outFields=PlanNumber,PlanType,PlanStatus,PlanName,PlanApplicationDate,PlanDescription&amp;f=html</t>
        </is>
      </c>
    </row>
    <row r="119">
      <c r="A119" t="n">
        <v>588</v>
      </c>
      <c r="B119" t="n">
        <v>341</v>
      </c>
      <c r="C119" t="inlineStr">
        <is>
          <t>IAD 15 DATA CENTER POD 5</t>
        </is>
      </c>
      <c r="D119" t="inlineStr">
        <is>
          <t>Site/engineering plan</t>
        </is>
      </c>
      <c r="E119" t="inlineStr">
        <is>
          <t>Approved entitlement; buildings already on site</t>
        </is>
      </c>
      <c r="F119" t="inlineStr">
        <is>
          <t>County-stated status of application(s): Approved. Built/not-built is INFERRED: 1 data center building point(s) lie on/adjacent to the application area.</t>
        </is>
      </c>
      <c r="G119" t="inlineStr">
        <is>
          <t>SPAM-2013-0038</t>
        </is>
      </c>
      <c r="H119" t="inlineStr">
        <is>
          <t>SPAM-2013-0038 (Engineering Plan, Approved)</t>
        </is>
      </c>
      <c r="I119" t="inlineStr">
        <is>
          <t>2013-03-13</t>
        </is>
      </c>
      <c r="J119" t="inlineStr">
        <is>
          <t>IAD 15 DATA CENTER POD 5 : REQUEST APPROVAL OF A SITE PLAN AMMENDMENT (SPAM) TO PREVIOUSLY APPROVED SPAM-2013-0027 FOR THE INSTALLATION OF TWO (2) PRIVATE WATER STORAGE TANK AND GENERATOR PADS. EB</t>
        </is>
      </c>
      <c r="K119" t="inlineStr">
        <is>
          <t>32</t>
        </is>
      </c>
      <c r="L119" t="inlineStr">
        <is>
          <t>045358110000</t>
        </is>
      </c>
      <c r="M119" t="n">
        <v>38.991319</v>
      </c>
      <c r="N119" t="n">
        <v>-77.44821399999999</v>
      </c>
      <c r="O119" t="inlineStr">
        <is>
          <t>https://logis.loudoun.gov/gis/rest/services/Projects/LOLA_DATA/MapServer/0/query?where=PlanNumber%3D%27SPAM-2013-0038%27&amp;outFields=PlanNumber,PlanType,PlanStatus,PlanName,PlanApplicationDate,PlanDescription&amp;f=html</t>
        </is>
      </c>
    </row>
    <row r="120">
      <c r="A120" t="n">
        <v>589</v>
      </c>
      <c r="B120" t="n">
        <v>342</v>
      </c>
      <c r="C120" t="inlineStr">
        <is>
          <t>IAD 32 DATA CENTER POD 2</t>
        </is>
      </c>
      <c r="D120" t="inlineStr">
        <is>
          <t>Site/engineering plan</t>
        </is>
      </c>
      <c r="E120" t="inlineStr">
        <is>
          <t>Approved entitlement; buildings already on site</t>
        </is>
      </c>
      <c r="F120" t="inlineStr">
        <is>
          <t>County-stated status of application(s): Approved. Built/not-built is INFERRED: 1 data center building point(s) lie on/adjacent to the application area.</t>
        </is>
      </c>
      <c r="G120" t="inlineStr">
        <is>
          <t>SPAM-2013-0049</t>
        </is>
      </c>
      <c r="H120" t="inlineStr">
        <is>
          <t>SPAM-2013-0049 (Engineering Plan, Approved)</t>
        </is>
      </c>
      <c r="I120" t="inlineStr">
        <is>
          <t>2013-04-16</t>
        </is>
      </c>
      <c r="J120" t="inlineStr">
        <is>
          <t>IAD 32 DATA CENTER POD 2 : REQUEST APPROVAL OF A SITE PLAN AMMENDMENT (SPAM) TO PREVIOUSLY APPROVED SITE PLAN TO INSTALL TWO WATER STORE TANKS AND GENERATOR PADS BEHIND THE BUILDING. EB</t>
        </is>
      </c>
      <c r="K120" t="inlineStr">
        <is>
          <t>18</t>
        </is>
      </c>
      <c r="L120" t="inlineStr">
        <is>
          <t>042295813000</t>
        </is>
      </c>
      <c r="M120" t="n">
        <v>39.021573</v>
      </c>
      <c r="N120" t="n">
        <v>-77.43472300000001</v>
      </c>
      <c r="O120" t="inlineStr">
        <is>
          <t>https://logis.loudoun.gov/gis/rest/services/Projects/LOLA_DATA/MapServer/0/query?where=PlanNumber%3D%27SPAM-2013-0049%27&amp;outFields=PlanNumber,PlanType,PlanStatus,PlanName,PlanApplicationDate,PlanDescription&amp;f=html</t>
        </is>
      </c>
    </row>
    <row r="121">
      <c r="A121" t="n">
        <v>590</v>
      </c>
      <c r="B121" t="n">
        <v>343</v>
      </c>
      <c r="C121" t="inlineStr">
        <is>
          <t>DULLES SUMMIT IAD 15 DATA CENTER POD 6</t>
        </is>
      </c>
      <c r="D121" t="inlineStr">
        <is>
          <t>Site/engineering plan</t>
        </is>
      </c>
      <c r="E121" t="inlineStr">
        <is>
          <t>Approved entitlement; buildings already on site</t>
        </is>
      </c>
      <c r="F121" t="inlineStr">
        <is>
          <t>County-stated status of application(s): Approved. Built/not-built is INFERRED: 1 data center building point(s) lie on/adjacent to the application area.</t>
        </is>
      </c>
      <c r="G121" t="inlineStr">
        <is>
          <t>SPAM-2013-0052</t>
        </is>
      </c>
      <c r="H121" t="inlineStr">
        <is>
          <t>SPAM-2013-0052 (Engineering Plan, Approved)</t>
        </is>
      </c>
      <c r="I121" t="inlineStr">
        <is>
          <t>2013-04-24</t>
        </is>
      </c>
      <c r="J121" t="inlineStr">
        <is>
          <t>DULLES SUMMIT IAD 15 DATA CENTER POD 6 : REQUEST APPROVAL OF A SITE PLAN AMMENDMENT (SPAM) TO PREVIOUSLY APPROVED SPAM-2013-0038 FOR TWO (2) PRIVATE WATER STORAGE TANK AND GENERATOR PADS TO BE INSTALLED BEHIND THE BUILDING. EB</t>
        </is>
      </c>
      <c r="K121" t="inlineStr">
        <is>
          <t>32</t>
        </is>
      </c>
      <c r="L121" t="inlineStr">
        <is>
          <t>045358110000</t>
        </is>
      </c>
      <c r="M121" t="n">
        <v>38.991319</v>
      </c>
      <c r="N121" t="n">
        <v>-77.44821399999999</v>
      </c>
      <c r="O121" t="inlineStr">
        <is>
          <t>https://logis.loudoun.gov/gis/rest/services/Projects/LOLA_DATA/MapServer/0/query?where=PlanNumber%3D%27SPAM-2013-0052%27&amp;outFields=PlanNumber,PlanType,PlanStatus,PlanName,PlanApplicationDate,PlanDescription&amp;f=html</t>
        </is>
      </c>
    </row>
    <row r="122">
      <c r="A122" t="n">
        <v>591</v>
      </c>
      <c r="B122" t="n">
        <v>344</v>
      </c>
      <c r="C122" t="inlineStr">
        <is>
          <t>IAD 16 DATA CENTER PODS 1-4</t>
        </is>
      </c>
      <c r="D122" t="inlineStr">
        <is>
          <t>Site/engineering plan</t>
        </is>
      </c>
      <c r="E122" t="inlineStr">
        <is>
          <t>Approved entitlement; buildings already on site</t>
        </is>
      </c>
      <c r="F122" t="inlineStr">
        <is>
          <t>County-stated status of application(s): Approved. Built/not-built is INFERRED: 1 data center building point(s) lie on/adjacent to the application area.</t>
        </is>
      </c>
      <c r="G122" t="inlineStr">
        <is>
          <t>SPAM-2013-0057</t>
        </is>
      </c>
      <c r="H122" t="inlineStr">
        <is>
          <t>SPAM-2013-0057 (Engineering Plan, Approved)</t>
        </is>
      </c>
      <c r="I122" t="inlineStr">
        <is>
          <t>2013-05-08</t>
        </is>
      </c>
      <c r="J122" t="inlineStr">
        <is>
          <t>IAD 16 DATA CENTER PODS 1-4 : REQUEST APPROVAL OF A SITE PLAN AMMENDMENT (SPAM) TO PREVIOUSLY APPROVED SPAM-2013-0052 TO INSTALL TWO (2) PRIVATE WATER STORAGE TANKS AND GENERATOR PADS BEHIND THE BUILDING. EB</t>
        </is>
      </c>
      <c r="K122" t="inlineStr">
        <is>
          <t>41</t>
        </is>
      </c>
      <c r="L122" t="inlineStr">
        <is>
          <t>045254455000</t>
        </is>
      </c>
      <c r="M122" t="n">
        <v>38.990748</v>
      </c>
      <c r="N122" t="n">
        <v>-77.448815</v>
      </c>
      <c r="O122" t="inlineStr">
        <is>
          <t>https://logis.loudoun.gov/gis/rest/services/Projects/LOLA_DATA/MapServer/0/query?where=PlanNumber%3D%27SPAM-2013-0057%27&amp;outFields=PlanNumber,PlanType,PlanStatus,PlanName,PlanApplicationDate,PlanDescription&amp;f=html</t>
        </is>
      </c>
    </row>
    <row r="123">
      <c r="A123" t="n">
        <v>592</v>
      </c>
      <c r="B123" t="n">
        <v>345</v>
      </c>
      <c r="C123" t="inlineStr">
        <is>
          <t>ASHBURN CORPORATE CENTER PHASE IV (ACC7)</t>
        </is>
      </c>
      <c r="D123" t="inlineStr">
        <is>
          <t>Site/engineering plan</t>
        </is>
      </c>
      <c r="E123" t="inlineStr">
        <is>
          <t>Approved entitlement; buildings already on site</t>
        </is>
      </c>
      <c r="F123" t="inlineStr">
        <is>
          <t>County-stated status of application(s): Approved. Built/not-built is INFERRED: 1 data center building point(s) lie on/adjacent to the application area.</t>
        </is>
      </c>
      <c r="G123" t="inlineStr">
        <is>
          <t>SPAM-2013-0061</t>
        </is>
      </c>
      <c r="H123" t="inlineStr">
        <is>
          <t>SPAM-2013-0061 (Engineering Plan, Approved)</t>
        </is>
      </c>
      <c r="I123" t="inlineStr">
        <is>
          <t>2013-05-13</t>
        </is>
      </c>
      <c r="J123" t="inlineStr">
        <is>
          <t>ASHBURN CORPORATE CENTER PHASE IV (ACC7) : REQUEST APPROVAL OF A SITE PLAN AMMENDMENT (SPAM) TO PREVIOUSLY APPROVED STMP-2010-0001 FOR AN UPDATED ONE (1) STORY DATA CENTER BUILDING WITH ASSOCIATED PARKING AND UTILITY EXTENSIONS. EB</t>
        </is>
      </c>
      <c r="K123" t="inlineStr">
        <is>
          <t>49</t>
        </is>
      </c>
      <c r="L123" t="inlineStr">
        <is>
          <t>061467942000</t>
        </is>
      </c>
      <c r="M123" t="n">
        <v>39.017398</v>
      </c>
      <c r="N123" t="n">
        <v>-77.46592800000001</v>
      </c>
      <c r="O123" t="inlineStr">
        <is>
          <t>https://logis.loudoun.gov/gis/rest/services/Projects/LOLA_DATA/MapServer/0/query?where=PlanNumber%3D%27SPAM-2013-0061%27&amp;outFields=PlanNumber,PlanType,PlanStatus,PlanName,PlanApplicationDate,PlanDescription&amp;f=html</t>
        </is>
      </c>
    </row>
    <row r="124">
      <c r="A124" t="n">
        <v>593</v>
      </c>
      <c r="B124" t="n">
        <v>346</v>
      </c>
      <c r="C124" t="inlineStr">
        <is>
          <t>IAD 54 DATA CENTER PODS 1 AND 2</t>
        </is>
      </c>
      <c r="D124" t="inlineStr">
        <is>
          <t>Site/engineering plan</t>
        </is>
      </c>
      <c r="E124" t="inlineStr">
        <is>
          <t>Approved entitlement; buildings already on site</t>
        </is>
      </c>
      <c r="F124" t="inlineStr">
        <is>
          <t>County-stated status of application(s): Approved. Built/not-built is INFERRED: 1 data center building point(s) lie on/adjacent to the application area.</t>
        </is>
      </c>
      <c r="G124" t="inlineStr">
        <is>
          <t>SPAM-2013-0079</t>
        </is>
      </c>
      <c r="H124" t="inlineStr">
        <is>
          <t>SPAM-2013-0079 (Engineering Plan, Approved)</t>
        </is>
      </c>
      <c r="I124" t="inlineStr">
        <is>
          <t>2013-06-26</t>
        </is>
      </c>
      <c r="J124" t="inlineStr">
        <is>
          <t>IAD 54 DATA CENTER PODS 1 AND 2 : REQUEST APPROVAL OF A SITE PLAN AMMENDMENT (SPAM) TO PREVIOUSLY APPROVED SPAM-2013-0060 FOR FIVE (5) GENERATOR PADS, TWO (2) PRIVATE WATER TANKS, AND FIVE (5) TRANSFORMER PADS. EB</t>
        </is>
      </c>
      <c r="K124" t="inlineStr">
        <is>
          <t>28</t>
        </is>
      </c>
      <c r="L124" t="inlineStr">
        <is>
          <t>089367531000</t>
        </is>
      </c>
      <c r="M124" t="n">
        <v>39.003358</v>
      </c>
      <c r="N124" t="n">
        <v>-77.487286</v>
      </c>
      <c r="O124" t="inlineStr">
        <is>
          <t>https://logis.loudoun.gov/gis/rest/services/Projects/LOLA_DATA/MapServer/0/query?where=PlanNumber%3D%27SPAM-2013-0079%27&amp;outFields=PlanNumber,PlanType,PlanStatus,PlanName,PlanApplicationDate,PlanDescription&amp;f=html</t>
        </is>
      </c>
    </row>
    <row r="125">
      <c r="A125" t="n">
        <v>594</v>
      </c>
      <c r="B125" t="n">
        <v>347</v>
      </c>
      <c r="C125" t="inlineStr">
        <is>
          <t>IAD 50 DATA CENTER PODS 1-6</t>
        </is>
      </c>
      <c r="D125" t="inlineStr">
        <is>
          <t>Site/engineering plan</t>
        </is>
      </c>
      <c r="E125" t="inlineStr">
        <is>
          <t>Approved entitlement; buildings already on site</t>
        </is>
      </c>
      <c r="F125" t="inlineStr">
        <is>
          <t>County-stated status of application(s): Approved. Built/not-built is INFERRED: 3 data center building point(s) lie on/adjacent to the application area.</t>
        </is>
      </c>
      <c r="G125" t="inlineStr">
        <is>
          <t>SPAM-2013-0082</t>
        </is>
      </c>
      <c r="H125" t="inlineStr">
        <is>
          <t>SPAM-2013-0082 (Engineering Plan, Approved)</t>
        </is>
      </c>
      <c r="I125" t="inlineStr">
        <is>
          <t>2013-07-08</t>
        </is>
      </c>
      <c r="J125" t="inlineStr">
        <is>
          <t>IAD 50 DATA CENTER PODS 1-6 : REQUEST APPROVAL OF SITE PLAN AMMENDMENT (SPAM) TO PREVIOUSLY APPROVED STMP-2013-0001 FOR RECONFIGURATION OF SITE INFRASTRUCTURE. EB</t>
        </is>
      </c>
      <c r="K125" t="inlineStr">
        <is>
          <t>58, 59, 60</t>
        </is>
      </c>
      <c r="L125" t="inlineStr">
        <is>
          <t>060485060000</t>
        </is>
      </c>
      <c r="M125" t="n">
        <v>39.029327</v>
      </c>
      <c r="N125" t="n">
        <v>-77.45997699999999</v>
      </c>
      <c r="O125" t="inlineStr">
        <is>
          <t>https://logis.loudoun.gov/gis/rest/services/Projects/LOLA_DATA/MapServer/0/query?where=PlanNumber%3D%27SPAM-2013-0082%27&amp;outFields=PlanNumber,PlanType,PlanStatus,PlanName,PlanApplicationDate,PlanDescription&amp;f=html</t>
        </is>
      </c>
    </row>
    <row r="126">
      <c r="A126" t="n">
        <v>595</v>
      </c>
      <c r="B126" t="n">
        <v>348</v>
      </c>
      <c r="C126" t="inlineStr">
        <is>
          <t>PROLOGIS PARK GATEWAY, PH IV, BLDG 10/11</t>
        </is>
      </c>
      <c r="D126" t="inlineStr">
        <is>
          <t>Site/engineering plan</t>
        </is>
      </c>
      <c r="E126" t="inlineStr">
        <is>
          <t>Approved entitlement; buildings already on site</t>
        </is>
      </c>
      <c r="F126" t="inlineStr">
        <is>
          <t>County-stated status of application(s): Approved. Built/not-built is INFERRED: 2 data center building point(s) lie on/adjacent to the application area.</t>
        </is>
      </c>
      <c r="G126" t="inlineStr">
        <is>
          <t>SPAM-2014-0029</t>
        </is>
      </c>
      <c r="H126" t="inlineStr">
        <is>
          <t>SPAM-2014-0029 (Engineering Plan, Approved); SPAM-2014-0085 (Engineering Plan, Approved)</t>
        </is>
      </c>
      <c r="I126" t="inlineStr">
        <is>
          <t>2014-03-18</t>
        </is>
      </c>
      <c r="J126" t="inlineStr">
        <is>
          <t>PROLOGIS PARK GATEWAY PH IV BLDG 10 &amp; 11 : REQUEST APPROVAL OF A SITE PLAN AMENDMENT (SPAM) TO PROVIDE EMERGENCY POWER TO BUILDING 10, ADDITIONAL WATER SERVICE LINE AND SANITARY SEWERLATERAL. CONCRETE PADS AND DUCT BANK ARE PLACED IN THE REAR OF BUILDING 10 AND THE TENANT ONLY REQUIRED TWO LOADING S</t>
        </is>
      </c>
      <c r="K126" t="inlineStr">
        <is>
          <t>61, 62</t>
        </is>
      </c>
      <c r="L126" t="inlineStr">
        <is>
          <t>045175529000</t>
        </is>
      </c>
      <c r="M126" t="n">
        <v>38.98662</v>
      </c>
      <c r="N126" t="n">
        <v>-77.442243</v>
      </c>
      <c r="O126" t="inlineStr">
        <is>
          <t>https://logis.loudoun.gov/gis/rest/services/Projects/LOLA_DATA/MapServer/0/query?where=PlanNumber%3D%27SPAM-2014-0085%27&amp;outFields=PlanNumber,PlanType,PlanStatus,PlanName,PlanApplicationDate,PlanDescription&amp;f=html</t>
        </is>
      </c>
    </row>
    <row r="127">
      <c r="A127" t="n">
        <v>596</v>
      </c>
      <c r="B127" t="n">
        <v>349</v>
      </c>
      <c r="C127" t="inlineStr">
        <is>
          <t>ASHBURN CENTER PARCEL J</t>
        </is>
      </c>
      <c r="D127" t="inlineStr">
        <is>
          <t>Site/engineering plan</t>
        </is>
      </c>
      <c r="E127" t="inlineStr">
        <is>
          <t>Approved, not yet built (inferred)</t>
        </is>
      </c>
      <c r="F127" t="inlineStr">
        <is>
          <t>County-stated status of application(s): Approved. Built/not-built is INFERRED: no mapped data center building lies within the application area.</t>
        </is>
      </c>
      <c r="G127" t="inlineStr">
        <is>
          <t>SPAM-2014-0075</t>
        </is>
      </c>
      <c r="H127" t="inlineStr">
        <is>
          <t>SPAM-2014-0075 (Engineering Plan, Approved)</t>
        </is>
      </c>
      <c r="I127" t="inlineStr">
        <is>
          <t>2014-08-20</t>
        </is>
      </c>
      <c r="J127" t="inlineStr">
        <is>
          <t>ASHBURN CENTER PARCEL J : REQUEST APPROVAL OF A SITE PLAN AMENDMENT (SPAM) TO PREVIOUSLY APPROVED SPAM-2012-0009 TO A PROPOSED PDIP TO ACCOMODATE THE BUILDING INFILL OF BUILDINGS B AND C AS ONE DATA CENTER. MCC</t>
        </is>
      </c>
      <c r="M127" t="n">
        <v>39.117252</v>
      </c>
      <c r="N127" t="n">
        <v>-77.578317</v>
      </c>
      <c r="O127" t="inlineStr">
        <is>
          <t>https://logis.loudoun.gov/gis/rest/services/Projects/LOLA_DATA/MapServer/0/query?where=PlanNumber%3D%27SPAM-2014-0075%27&amp;outFields=PlanNumber,PlanType,PlanStatus,PlanName,PlanApplicationDate,PlanDescription&amp;f=html</t>
        </is>
      </c>
    </row>
    <row r="128">
      <c r="A128" t="n">
        <v>597</v>
      </c>
      <c r="B128" t="n">
        <v>350</v>
      </c>
      <c r="C128" t="inlineStr">
        <is>
          <t>CYRUSONE LOUDOUN TECH CENTER - PH 4</t>
        </is>
      </c>
      <c r="D128" t="inlineStr">
        <is>
          <t>Site/engineering plan</t>
        </is>
      </c>
      <c r="E128" t="inlineStr">
        <is>
          <t>Approved, not yet built (inferred)</t>
        </is>
      </c>
      <c r="F128" t="inlineStr">
        <is>
          <t>County-stated status of application(s): Approved. Built/not-built is INFERRED: no mapped data center building lies within the application area.</t>
        </is>
      </c>
      <c r="G128" t="inlineStr">
        <is>
          <t>SPAM-2016-0057</t>
        </is>
      </c>
      <c r="H128" t="inlineStr">
        <is>
          <t>SPAM-2016-0057 (Engineering Plan, Approved)</t>
        </is>
      </c>
      <c r="I128" t="inlineStr">
        <is>
          <t>2016-05-23</t>
        </is>
      </c>
      <c r="J128" t="inlineStr">
        <is>
          <t>CYRUSONE LOUDOUN TECH CENTER - PH 4 : REQUEST APPROVAL OF A SITE PLAN AMENDMENT (SPAM) TO PREVIOUSLY APPROVED SPAM-2015-0061, TO ADD ADDITIONAL DATA CENTER SPACE WITH GERERATORS, PARKING LOT AND SUPPORTING INFRASTRUCTURE TO A PLANNED DEVELOPMENT GENERAL INDUSTRIAL (PDGI) ZONING DISTRICT. SMK</t>
        </is>
      </c>
      <c r="M128" t="n">
        <v>39.117252</v>
      </c>
      <c r="N128" t="n">
        <v>-77.578317</v>
      </c>
      <c r="O128" t="inlineStr">
        <is>
          <t>https://logis.loudoun.gov/gis/rest/services/Projects/LOLA_DATA/MapServer/0/query?where=PlanNumber%3D%27SPAM-2016-0057%27&amp;outFields=PlanNumber,PlanType,PlanStatus,PlanName,PlanApplicationDate,PlanDescription&amp;f=html</t>
        </is>
      </c>
    </row>
    <row r="129">
      <c r="A129" t="n">
        <v>598</v>
      </c>
      <c r="B129" t="n">
        <v>351</v>
      </c>
      <c r="C129" t="inlineStr">
        <is>
          <t>DIGITAL LOUDOUN III</t>
        </is>
      </c>
      <c r="D129" t="inlineStr">
        <is>
          <t>Site/engineering plan</t>
        </is>
      </c>
      <c r="E129" t="inlineStr">
        <is>
          <t>Approved entitlement; buildings already on site</t>
        </is>
      </c>
      <c r="F129" t="inlineStr">
        <is>
          <t>County-stated status of application(s): Approved. Built/not-built is INFERRED: 4 data center building point(s) lie on/adjacent to the application area.</t>
        </is>
      </c>
      <c r="G129" t="inlineStr">
        <is>
          <t>STMP-2015-0009</t>
        </is>
      </c>
      <c r="H129" t="inlineStr">
        <is>
          <t>STMP-2015-0009 (Engineering Plan, Approved); SPAM-2016-0109 (Engineering Plan, Approved); SPAM-2017-0041 (Engineering Plan, Approved); SPAM-2018-0078 (Engineering Plan, Approved); SPAM-2019-0045 (Engineering Plan, Approved); SPAM-2020-0038 (Engineering Plan, Approved); SPAM-2020-0077 (Engineering Plan, Approved)</t>
        </is>
      </c>
      <c r="I129" t="inlineStr">
        <is>
          <t>2015-11-20</t>
        </is>
      </c>
      <c r="J129" t="inlineStr">
        <is>
          <t>DIGITAL LOUDOUN III : REQUEST APPROVAL OF SITE PLAN AMENDMENT (SPAM) FOR THE CONSTRUCTION OFFIVE DATA CENTER BUILDINGS, IN THE PLANNED DEVELOPMENT-OFFICE PARK (PDOP) ZONING DISTRICT. AM</t>
        </is>
      </c>
      <c r="K129" t="inlineStr">
        <is>
          <t>82, 83, 84, 154</t>
        </is>
      </c>
      <c r="L129" t="inlineStr">
        <is>
          <t>062462761000; 062493798000</t>
        </is>
      </c>
      <c r="M129" t="n">
        <v>39.00718</v>
      </c>
      <c r="N129" t="n">
        <v>-77.462356</v>
      </c>
      <c r="O129" t="inlineStr">
        <is>
          <t>https://logis.loudoun.gov/gis/rest/services/Projects/LOLA_DATA/MapServer/0/query?where=PlanNumber%3D%27SPAM-2020-0077%27&amp;outFields=PlanNumber,PlanType,PlanStatus,PlanName,PlanApplicationDate,PlanDescription&amp;f=html</t>
        </is>
      </c>
    </row>
    <row r="130">
      <c r="A130" t="n">
        <v>599</v>
      </c>
      <c r="B130" t="n">
        <v>352</v>
      </c>
      <c r="C130" t="inlineStr">
        <is>
          <t>POD 1 COMMERCIAL ALTERATION</t>
        </is>
      </c>
      <c r="D130" t="inlineStr">
        <is>
          <t>Site/engineering plan</t>
        </is>
      </c>
      <c r="E130" t="inlineStr">
        <is>
          <t>Approved entitlement; buildings already on site</t>
        </is>
      </c>
      <c r="F130" t="inlineStr">
        <is>
          <t>County-stated status of application(s): Approved. Built/not-built is INFERRED: 1 data center building point(s) lie on/adjacent to the application area.</t>
        </is>
      </c>
      <c r="G130" t="inlineStr">
        <is>
          <t>SPAM-2017-0011</t>
        </is>
      </c>
      <c r="H130" t="inlineStr">
        <is>
          <t>SPAM-2017-0011 (Engineering Plan, Approved)</t>
        </is>
      </c>
      <c r="I130" t="inlineStr">
        <is>
          <t>2017-01-30</t>
        </is>
      </c>
      <c r="J130" t="inlineStr">
        <is>
          <t>POD 1 COMMERCIAL ALTERATION : REQUEST APPROVAL OF A SITE PLAN AMENDMENT (SPAM) TO PREVIOUSLY APPROVED SPAM-2012-0104 FOR THE ALTERATION OF THE EXISTING WAREHOUSE SPACE OF APPROXIMATELY ELEVEN THOUSAND TWO HUNDRED (11,200) SQUARE FEET INTO DATA CENTER SPACES, IN THE PLANNED DEVELOPMENT-GENERAL INDUST</t>
        </is>
      </c>
      <c r="K130" t="inlineStr">
        <is>
          <t>33</t>
        </is>
      </c>
      <c r="L130" t="inlineStr">
        <is>
          <t>045159083000</t>
        </is>
      </c>
      <c r="M130" t="n">
        <v>38.988689</v>
      </c>
      <c r="N130" t="n">
        <v>-77.447638</v>
      </c>
      <c r="O130" t="inlineStr">
        <is>
          <t>https://logis.loudoun.gov/gis/rest/services/Projects/LOLA_DATA/MapServer/0/query?where=PlanNumber%3D%27SPAM-2017-0011%27&amp;outFields=PlanNumber,PlanType,PlanStatus,PlanName,PlanApplicationDate,PlanDescription&amp;f=html</t>
        </is>
      </c>
    </row>
    <row r="131">
      <c r="A131" t="n">
        <v>600</v>
      </c>
      <c r="B131" t="n">
        <v>353</v>
      </c>
      <c r="C131" t="inlineStr">
        <is>
          <t>PATRIOT POINT DC-15</t>
        </is>
      </c>
      <c r="D131" t="inlineStr">
        <is>
          <t>Site/engineering plan</t>
        </is>
      </c>
      <c r="E131" t="inlineStr">
        <is>
          <t>Approved entitlement; buildings already on site</t>
        </is>
      </c>
      <c r="F131" t="inlineStr">
        <is>
          <t>County-stated status of application(s): Approved. Built/not-built is INFERRED: 3 data center building point(s) lie on/adjacent to the application area.</t>
        </is>
      </c>
      <c r="G131" t="inlineStr">
        <is>
          <t>SPAM-2017-0012</t>
        </is>
      </c>
      <c r="H131" t="inlineStr">
        <is>
          <t>SPAM-2017-0012 (Engineering Plan, Approved)</t>
        </is>
      </c>
      <c r="I131" t="inlineStr">
        <is>
          <t>2017-01-30</t>
        </is>
      </c>
      <c r="J131" t="inlineStr">
        <is>
          <t>PATRIOT POINT DC-15 : REQUEST APPROVAL OF A SITE PLAN AMENDMENT (SPAM) TO THE PREVIOUSLY APPROVED STMP-2015-0010 TO REQUEST APPROVAL OF A FAST TRACK SITE PLAN REVISION FOR DATA CENTER EQUIPMENT PAD REVISION, IN THE PLANNED DEVELOPMENT- INDUSTRIAL PARK (PDIP) ZONING DISTRICT. HV</t>
        </is>
      </c>
      <c r="K131" t="inlineStr">
        <is>
          <t>76, 77, 81</t>
        </is>
      </c>
      <c r="L131" t="inlineStr">
        <is>
          <t>060307119000</t>
        </is>
      </c>
      <c r="M131" t="n">
        <v>39.026154</v>
      </c>
      <c r="N131" t="n">
        <v>-77.451162</v>
      </c>
      <c r="O131" t="inlineStr">
        <is>
          <t>https://logis.loudoun.gov/gis/rest/services/Projects/LOLA_DATA/MapServer/0/query?where=PlanNumber%3D%27SPAM-2017-0012%27&amp;outFields=PlanNumber,PlanType,PlanStatus,PlanName,PlanApplicationDate,PlanDescription&amp;f=html</t>
        </is>
      </c>
    </row>
    <row r="132">
      <c r="A132" t="n">
        <v>601</v>
      </c>
      <c r="B132" t="n">
        <v>354</v>
      </c>
      <c r="C132" t="inlineStr">
        <is>
          <t>45360 SEVERN WAY DATA CENTER</t>
        </is>
      </c>
      <c r="D132" t="inlineStr">
        <is>
          <t>Site/engineering plan</t>
        </is>
      </c>
      <c r="E132" t="inlineStr">
        <is>
          <t>Approved entitlement; buildings already on site</t>
        </is>
      </c>
      <c r="F132" t="inlineStr">
        <is>
          <t>County-stated status of application(s): Approved. Built/not-built is INFERRED: 1 data center building point(s) lie on/adjacent to the application area.</t>
        </is>
      </c>
      <c r="G132" t="inlineStr">
        <is>
          <t>SPAM-2017-0038</t>
        </is>
      </c>
      <c r="H132" t="inlineStr">
        <is>
          <t>SPAM-2017-0038 (Engineering Plan, Approved); SPAM-2023-0004 (Engineering Plan, Approved)</t>
        </is>
      </c>
      <c r="I132" t="inlineStr">
        <is>
          <t>2017-05-23</t>
        </is>
      </c>
      <c r="J132" t="inlineStr">
        <is>
          <t>45360 SEVERN WAY DATA CENTER : REQUEST APPROVAL OF A SITE PLAN AMENDMENT (SPAM) TO THE PREVIOUSLY APPROVED SPAM-2017-0038 FOR A WATER TANK EXPANSION AND PARKING RECONFIGURATION, IN THE PLANNED DEVELOPMENT - INDUSTRIAL PARK (PDIP) ZONING DISTRICT. EK</t>
        </is>
      </c>
      <c r="K132" t="inlineStr">
        <is>
          <t>17</t>
        </is>
      </c>
      <c r="L132" t="inlineStr">
        <is>
          <t>042200988000</t>
        </is>
      </c>
      <c r="M132" t="n">
        <v>39.021578</v>
      </c>
      <c r="N132" t="n">
        <v>-77.43288200000001</v>
      </c>
      <c r="O132" t="inlineStr">
        <is>
          <t>https://logis.loudoun.gov/gis/rest/services/Projects/LOLA_DATA/MapServer/0/query?where=PlanNumber%3D%27SPAM-2023-0004%27&amp;outFields=PlanNumber,PlanType,PlanStatus,PlanName,PlanApplicationDate,PlanDescription&amp;f=html</t>
        </is>
      </c>
    </row>
    <row r="133">
      <c r="A133" t="n">
        <v>602</v>
      </c>
      <c r="B133" t="n">
        <v>355</v>
      </c>
      <c r="C133" t="inlineStr">
        <is>
          <t>INTERGATE ASHBURN DATA CENTER PH 2</t>
        </is>
      </c>
      <c r="D133" t="inlineStr">
        <is>
          <t>Site/engineering plan</t>
        </is>
      </c>
      <c r="E133" t="inlineStr">
        <is>
          <t>Approved, not yet built (inferred)</t>
        </is>
      </c>
      <c r="F133" t="inlineStr">
        <is>
          <t>County-stated status of application(s): Approved. Built/not-built is INFERRED: no mapped data center building lies within the application area.</t>
        </is>
      </c>
      <c r="G133" t="inlineStr">
        <is>
          <t>SPAM-2018-0007</t>
        </is>
      </c>
      <c r="H133" t="inlineStr">
        <is>
          <t>SPAM-2018-0007 (Engineering Plan, Approved)</t>
        </is>
      </c>
      <c r="I133" t="inlineStr">
        <is>
          <t>2018-01-16</t>
        </is>
      </c>
      <c r="J133" t="inlineStr">
        <is>
          <t>INTERGATE ASHBURN DATA CENTER PH 2 : REQUEST APPROVAL OF A SITE PLAN AMENDMENT (SPAM) TO REVISE PHASE 2 TO REFLECT A NEW TWO STORY DATA CENTER BUILDING, REVISED MECHANICAL YARDS, LOADING DOCK, PARKING, LANDSCAPING, AND UTILITY SERVICES, IN THE PLANNED DEVELOPMENT- INDUSTRIAL PARK (PDIP) ZONING DISTR</t>
        </is>
      </c>
      <c r="M133" t="n">
        <v>39.117252</v>
      </c>
      <c r="N133" t="n">
        <v>-77.578317</v>
      </c>
      <c r="O133" t="inlineStr">
        <is>
          <t>https://logis.loudoun.gov/gis/rest/services/Projects/LOLA_DATA/MapServer/0/query?where=PlanNumber%3D%27SPAM-2018-0007%27&amp;outFields=PlanNumber,PlanType,PlanStatus,PlanName,PlanApplicationDate,PlanDescription&amp;f=html</t>
        </is>
      </c>
    </row>
    <row r="134">
      <c r="A134" t="n">
        <v>603</v>
      </c>
      <c r="B134" t="n">
        <v>356</v>
      </c>
      <c r="C134" t="inlineStr">
        <is>
          <t>NORTHPOINTE</t>
        </is>
      </c>
      <c r="D134" t="inlineStr">
        <is>
          <t>Site/engineering plan</t>
        </is>
      </c>
      <c r="E134" t="inlineStr">
        <is>
          <t>Pending application</t>
        </is>
      </c>
      <c r="F134" t="inlineStr">
        <is>
          <t>County-stated status of application(s): In Review.</t>
        </is>
      </c>
      <c r="G134" t="inlineStr">
        <is>
          <t>SPAM-2018-0039</t>
        </is>
      </c>
      <c r="H134" t="inlineStr">
        <is>
          <t>SPAM-2018-0039 (Engineering Plan, In Review)</t>
        </is>
      </c>
      <c r="I134" t="inlineStr">
        <is>
          <t>2018-04-09</t>
        </is>
      </c>
      <c r="J134" t="inlineStr">
        <is>
          <t>NORTHPOINTE : REQUEST APPROVAL OF A SITE PLAN AMENDMENT (SPAM) TO THE PREVIOUSLY APPROVED STPL-1990-0017 TO DEMOLISH A PORTION OF THE EXISTING BUILDINGAND CONSTRUCT A NEW DATA CENTER, IN THE PLANNED DEVELOPMENT- GENERAL INDUSTRIAL (PDGI) ZONING DISTRICT. HV</t>
        </is>
      </c>
      <c r="K134" t="inlineStr">
        <is>
          <t>35</t>
        </is>
      </c>
      <c r="L134" t="inlineStr">
        <is>
          <t>046368231000</t>
        </is>
      </c>
      <c r="M134" t="n">
        <v>38.980672</v>
      </c>
      <c r="N134" t="n">
        <v>-77.44408900000001</v>
      </c>
      <c r="O134" t="inlineStr">
        <is>
          <t>https://logis.loudoun.gov/gis/rest/services/Projects/LOLA_DATA/MapServer/0/query?where=PlanNumber%3D%27SPAM-2018-0039%27&amp;outFields=PlanNumber,PlanType,PlanStatus,PlanName,PlanApplicationDate,PlanDescription&amp;f=html</t>
        </is>
      </c>
    </row>
    <row r="135">
      <c r="A135" t="n">
        <v>604</v>
      </c>
      <c r="B135" t="n">
        <v>357</v>
      </c>
      <c r="C135" t="inlineStr">
        <is>
          <t>RAGINGWIRE VA3 GREENFIELDS</t>
        </is>
      </c>
      <c r="D135" t="inlineStr">
        <is>
          <t>Site/engineering plan</t>
        </is>
      </c>
      <c r="E135" t="inlineStr">
        <is>
          <t>Approved, not yet built (inferred)</t>
        </is>
      </c>
      <c r="F135" t="inlineStr">
        <is>
          <t>County-stated status of application(s): Approved. Built/not-built is INFERRED: no mapped data center building lies within the application area.</t>
        </is>
      </c>
      <c r="G135" t="inlineStr">
        <is>
          <t>SPAM-2018-0058</t>
        </is>
      </c>
      <c r="H135" t="inlineStr">
        <is>
          <t>SPAM-2018-0058 (Engineering Plan, Approved)</t>
        </is>
      </c>
      <c r="I135" t="inlineStr">
        <is>
          <t>2018-06-13</t>
        </is>
      </c>
      <c r="J135" t="inlineStr">
        <is>
          <t>RAGINGWIRE VA3 GREENFIELDS : REQUEST APPROVAL OF A SITE PLAN AMENDMENT (SPAM) TO PREVIOUSLY APPROVED STMP-2014-0006 FOR A TWO HUNDRED EIGHTYY-THREE THOUSAND ONE HUNDRED SIXTY-ONE (283,161) SQUARE-FOOT DATA CENTER/OFFICE BUILDING, IN THE PLANNED DEVELOPMENT-INDUSTRIAL PARK (PDIP) ZONING DISTRICT. KI</t>
        </is>
      </c>
      <c r="M135" t="n">
        <v>39.117252</v>
      </c>
      <c r="N135" t="n">
        <v>-77.578317</v>
      </c>
      <c r="O135" t="inlineStr">
        <is>
          <t>https://logis.loudoun.gov/gis/rest/services/Projects/LOLA_DATA/MapServer/0/query?where=PlanNumber%3D%27SPAM-2018-0058%27&amp;outFields=PlanNumber,PlanType,PlanStatus,PlanName,PlanApplicationDate,PlanDescription&amp;f=html</t>
        </is>
      </c>
    </row>
    <row r="136">
      <c r="A136" t="n">
        <v>605</v>
      </c>
      <c r="B136" t="n">
        <v>358</v>
      </c>
      <c r="C136" t="inlineStr">
        <is>
          <t>DULLES NORTH INDUSTRIAL PARK</t>
        </is>
      </c>
      <c r="D136" t="inlineStr">
        <is>
          <t>Site/engineering plan</t>
        </is>
      </c>
      <c r="E136" t="inlineStr">
        <is>
          <t>Approved entitlement; buildings already on site</t>
        </is>
      </c>
      <c r="F136" t="inlineStr">
        <is>
          <t>County-stated status of application(s): Approved. Built/not-built is INFERRED: 1 data center building point(s) lie on/adjacent to the application area.</t>
        </is>
      </c>
      <c r="G136" t="inlineStr">
        <is>
          <t>SPAM-2018-0071</t>
        </is>
      </c>
      <c r="H136" t="inlineStr">
        <is>
          <t>SPAM-2018-0071 (Engineering Plan, Approved)</t>
        </is>
      </c>
      <c r="I136" t="inlineStr">
        <is>
          <t>2018-08-03</t>
        </is>
      </c>
      <c r="J136" t="inlineStr">
        <is>
          <t xml:space="preserve">DULLES NORTH INDUSTRIAL PARK : REQUEST APPROVAL OF A SITE PLAN AMENDMENT (SPAM) TO AMEND PREVIOUSLY APPROVED STPL-2016-0054, AND PROPOSES A CHANGE OF USAGE OF THE PROPOSED BUILDING FROM WAREHOUSE TO DATA CENTER WITH AN ADDITIONAL GENERATOR YARD ONSITE IN A PLANNED DEVELOPMENT INDUSTRIAL PARK (PDIP) </t>
        </is>
      </c>
      <c r="K136" t="inlineStr">
        <is>
          <t>99</t>
        </is>
      </c>
      <c r="L136" t="inlineStr">
        <is>
          <t>030296913000</t>
        </is>
      </c>
      <c r="M136" t="n">
        <v>39.021462</v>
      </c>
      <c r="N136" t="n">
        <v>-77.413222</v>
      </c>
      <c r="O136" t="inlineStr">
        <is>
          <t>https://logis.loudoun.gov/gis/rest/services/Projects/LOLA_DATA/MapServer/0/query?where=PlanNumber%3D%27SPAM-2018-0071%27&amp;outFields=PlanNumber,PlanType,PlanStatus,PlanName,PlanApplicationDate,PlanDescription&amp;f=html</t>
        </is>
      </c>
    </row>
    <row r="137">
      <c r="A137" t="n">
        <v>606</v>
      </c>
      <c r="B137" t="n">
        <v>359</v>
      </c>
      <c r="C137" t="inlineStr">
        <is>
          <t>STERLING 8 DATA CENTER</t>
        </is>
      </c>
      <c r="D137" t="inlineStr">
        <is>
          <t>Site/engineering plan</t>
        </is>
      </c>
      <c r="E137" t="inlineStr">
        <is>
          <t>Approved entitlement; buildings already on site</t>
        </is>
      </c>
      <c r="F137" t="inlineStr">
        <is>
          <t>County-stated status of application(s): Approved. Built/not-built is INFERRED: 1 data center building point(s) lie on/adjacent to the application area.</t>
        </is>
      </c>
      <c r="G137" t="inlineStr">
        <is>
          <t>SPAM-2018-0108</t>
        </is>
      </c>
      <c r="H137" t="inlineStr">
        <is>
          <t>SPAM-2018-0108 (Engineering Plan, Approved); SPAM-2019-0075 (Engineering Plan, Approved)</t>
        </is>
      </c>
      <c r="I137" t="inlineStr">
        <is>
          <t>2018-12-07</t>
        </is>
      </c>
      <c r="J137" t="inlineStr">
        <is>
          <t>STERLING 8 DATA CENTER : REQUEST APPROVAL OF A SITE PLAN AMENDMENT (SPAM) FOR CHANGES TO THE STORM SEWER DESIGN BASED ON CONSTRUCTED DUCT BANK AND REQUESTS FROM LOUDOUN COUNTY, IN THE PLANNED DEVELOPMENT- INDUSTRIAL PARK (PDIP) ZONING DISTRICT. HV</t>
        </is>
      </c>
      <c r="K137" t="inlineStr">
        <is>
          <t>99</t>
        </is>
      </c>
      <c r="L137" t="inlineStr">
        <is>
          <t>030296913000</t>
        </is>
      </c>
      <c r="M137" t="n">
        <v>39.021462</v>
      </c>
      <c r="N137" t="n">
        <v>-77.413222</v>
      </c>
      <c r="O137" t="inlineStr">
        <is>
          <t>https://logis.loudoun.gov/gis/rest/services/Projects/LOLA_DATA/MapServer/0/query?where=PlanNumber%3D%27SPAM-2019-0075%27&amp;outFields=PlanNumber,PlanType,PlanStatus,PlanName,PlanApplicationDate,PlanDescription&amp;f=html</t>
        </is>
      </c>
    </row>
    <row r="138">
      <c r="A138" t="n">
        <v>607</v>
      </c>
      <c r="B138" t="n">
        <v>360</v>
      </c>
      <c r="C138" t="inlineStr">
        <is>
          <t>LOUDOUN CENTER LOT 1 ASH 2 DATA CENTER</t>
        </is>
      </c>
      <c r="D138" t="inlineStr">
        <is>
          <t>Site/engineering plan</t>
        </is>
      </c>
      <c r="E138" t="inlineStr">
        <is>
          <t>Approved, not yet built (inferred)</t>
        </is>
      </c>
      <c r="F138" t="inlineStr">
        <is>
          <t>County-stated status of application(s): Approved. Built/not-built is INFERRED: no mapped data center building lies within the application area.</t>
        </is>
      </c>
      <c r="G138" t="inlineStr">
        <is>
          <t>SPAM-2019-0078</t>
        </is>
      </c>
      <c r="H138" t="inlineStr">
        <is>
          <t>SPAM-2019-0078 (Engineering Plan, Approved)</t>
        </is>
      </c>
      <c r="I138" t="inlineStr">
        <is>
          <t>2019-10-02</t>
        </is>
      </c>
      <c r="J138" t="inlineStr">
        <is>
          <t>LOUDOUN CENTER LOT 1 ASH 2 DATA CENTER : REQUEST APPROVAL OF A SITE PLAN AMENDMENT (SPAM) FOR THE CONSTRUCTION OF A TWO-STORY DATA CENTER BUILDING AND ASSOCIATED INFRASTRUCTURE, IN THE PLANNED DEVELOPMENT- OFFICE PARK (PDOP) ZONING DISTRICT. HV</t>
        </is>
      </c>
      <c r="M138" t="n">
        <v>39.117252</v>
      </c>
      <c r="N138" t="n">
        <v>-77.578317</v>
      </c>
      <c r="O138" t="inlineStr">
        <is>
          <t>https://logis.loudoun.gov/gis/rest/services/Projects/LOLA_DATA/MapServer/0/query?where=PlanNumber%3D%27SPAM-2019-0078%27&amp;outFields=PlanNumber,PlanType,PlanStatus,PlanName,PlanApplicationDate,PlanDescription&amp;f=html</t>
        </is>
      </c>
    </row>
    <row r="139">
      <c r="A139" t="n">
        <v>608</v>
      </c>
      <c r="B139" t="n">
        <v>361</v>
      </c>
      <c r="C139" t="inlineStr">
        <is>
          <t>QUAIL RIDGE</t>
        </is>
      </c>
      <c r="D139" t="inlineStr">
        <is>
          <t>Site/engineering plan</t>
        </is>
      </c>
      <c r="E139" t="inlineStr">
        <is>
          <t>Approved entitlement; buildings already on site</t>
        </is>
      </c>
      <c r="F139" t="inlineStr">
        <is>
          <t>County-stated status of application(s): Approved. Built/not-built is INFERRED: 4 data center building point(s) lie on/adjacent to the application area.</t>
        </is>
      </c>
      <c r="G139" t="inlineStr">
        <is>
          <t>SPAM-2020-0008</t>
        </is>
      </c>
      <c r="H139" t="inlineStr">
        <is>
          <t>SPAM-2020-0008 (Engineering Plan, Approved)</t>
        </is>
      </c>
      <c r="I139" t="inlineStr">
        <is>
          <t>2020-01-31</t>
        </is>
      </c>
      <c r="J139" t="inlineStr">
        <is>
          <t>QUAIL RIDGE : REQUEST APPROVAL OF A SITE PLAN AMENDMENT (SPAM) FOR THE REVISION OF TWO OF FOUR DATA CENTERS, IN THE PLANNED DEVELOPMENT INDUSTRIAL PARK (PDIP) ZONING DISTRICT. AM</t>
        </is>
      </c>
      <c r="K139" t="inlineStr">
        <is>
          <t>129, 130, 131, 132</t>
        </is>
      </c>
      <c r="L139" t="inlineStr">
        <is>
          <t>246200886000; 246203645000</t>
        </is>
      </c>
      <c r="M139" t="n">
        <v>38.949169</v>
      </c>
      <c r="N139" t="n">
        <v>-77.559353</v>
      </c>
      <c r="O139" t="inlineStr">
        <is>
          <t>https://logis.loudoun.gov/gis/rest/services/Projects/LOLA_DATA/MapServer/0/query?where=PlanNumber%3D%27SPAM-2020-0008%27&amp;outFields=PlanNumber,PlanType,PlanStatus,PlanName,PlanApplicationDate,PlanDescription&amp;f=html</t>
        </is>
      </c>
    </row>
    <row r="140">
      <c r="A140" t="n">
        <v>609</v>
      </c>
      <c r="B140" t="n">
        <v>362</v>
      </c>
      <c r="C140" t="inlineStr">
        <is>
          <t>PROJECT MOTION</t>
        </is>
      </c>
      <c r="D140" t="inlineStr">
        <is>
          <t>Site/engineering plan</t>
        </is>
      </c>
      <c r="E140" t="inlineStr">
        <is>
          <t>Approved entitlement; buildings already on site</t>
        </is>
      </c>
      <c r="F140" t="inlineStr">
        <is>
          <t>County-stated status of application(s): Approved. Built/not-built is INFERRED: 3 data center building point(s) lie on/adjacent to the application area.</t>
        </is>
      </c>
      <c r="G140" t="inlineStr">
        <is>
          <t>SPAM-2020-0033</t>
        </is>
      </c>
      <c r="H140" t="inlineStr">
        <is>
          <t>SPAM-2020-0033 (Engineering Plan, Approved)</t>
        </is>
      </c>
      <c r="I140" t="inlineStr">
        <is>
          <t>2020-04-22</t>
        </is>
      </c>
      <c r="J140" t="inlineStr">
        <is>
          <t>PROJECT MOTION : REQUEST APPROVAL OF A SITE PLAN AMENDMENT (SPAM) TO SPAM-2018-0111 FORA DATA CENTER, IN THE PLANNED DEVELOPMENT-INDUSTRIAL PARK (PDIP) ZONING DISTRICT. AM</t>
        </is>
      </c>
      <c r="K140" t="inlineStr">
        <is>
          <t>109, 165, 222</t>
        </is>
      </c>
      <c r="L140" t="inlineStr">
        <is>
          <t>162176713000</t>
        </is>
      </c>
      <c r="M140" t="n">
        <v>38.94277</v>
      </c>
      <c r="N140" t="n">
        <v>-77.528132</v>
      </c>
      <c r="O140" t="inlineStr">
        <is>
          <t>https://logis.loudoun.gov/gis/rest/services/Projects/LOLA_DATA/MapServer/0/query?where=PlanNumber%3D%27SPAM-2020-0033%27&amp;outFields=PlanNumber,PlanType,PlanStatus,PlanName,PlanApplicationDate,PlanDescription&amp;f=html</t>
        </is>
      </c>
    </row>
    <row r="141">
      <c r="A141" t="n">
        <v>610</v>
      </c>
      <c r="B141" t="n">
        <v>363</v>
      </c>
      <c r="C141" t="inlineStr">
        <is>
          <t>CYRUSONE STERLING 9 DATA CENTER PH 1B</t>
        </is>
      </c>
      <c r="D141" t="inlineStr">
        <is>
          <t>Site/engineering plan</t>
        </is>
      </c>
      <c r="E141" t="inlineStr">
        <is>
          <t>Approved entitlement; buildings already on site</t>
        </is>
      </c>
      <c r="F141" t="inlineStr">
        <is>
          <t>County-stated status of application(s): Approved. Built/not-built is INFERRED: 2 data center building point(s) lie on/adjacent to the application area.</t>
        </is>
      </c>
      <c r="G141" t="inlineStr">
        <is>
          <t>SPAM-2021-0051</t>
        </is>
      </c>
      <c r="H141" t="inlineStr">
        <is>
          <t>SPAM-2021-0051 (Engineering Plan, Approved)</t>
        </is>
      </c>
      <c r="I141" t="inlineStr">
        <is>
          <t>2021-08-19</t>
        </is>
      </c>
      <c r="J141" t="inlineStr">
        <is>
          <t>CYRUSONE STERLING 9 DATA CENTER PH 1B : REQUEST APPROVAL OF A SITE PLAN AMENDMENT (SPAM) TO THE PREVIOUSLY APPROVED STMP-2019-0012 TO MAKE MODIFICATIONS TO THE BUILDING AND INFRASTRUCTURE IN THE PREVIOUSLY APPROVED PH 1B DEVELOPMENT, IN THE (PDGI) PLANNED DEVELOPMENT-GENERAL INDUSTRIAL ZONING DISTRI</t>
        </is>
      </c>
      <c r="K141" t="inlineStr">
        <is>
          <t>134, 179</t>
        </is>
      </c>
      <c r="L141" t="inlineStr">
        <is>
          <t>124369522000</t>
        </is>
      </c>
      <c r="M141" t="n">
        <v>38.958524</v>
      </c>
      <c r="N141" t="n">
        <v>-77.505234</v>
      </c>
      <c r="O141" t="inlineStr">
        <is>
          <t>https://logis.loudoun.gov/gis/rest/services/Projects/LOLA_DATA/MapServer/0/query?where=PlanNumber%3D%27SPAM-2021-0051%27&amp;outFields=PlanNumber,PlanType,PlanStatus,PlanName,PlanApplicationDate,PlanDescription&amp;f=html</t>
        </is>
      </c>
    </row>
    <row r="142">
      <c r="A142" t="n">
        <v>611</v>
      </c>
      <c r="B142" t="n">
        <v>364</v>
      </c>
      <c r="C142" t="inlineStr">
        <is>
          <t>BUILDINGS VA 13 AND 14</t>
        </is>
      </c>
      <c r="D142" t="inlineStr">
        <is>
          <t>Site/engineering plan</t>
        </is>
      </c>
      <c r="E142" t="inlineStr">
        <is>
          <t>Approved entitlement; buildings already on site</t>
        </is>
      </c>
      <c r="F142" t="inlineStr">
        <is>
          <t>County-stated status of application(s): Approved. Built/not-built is INFERRED: 2 data center building point(s) lie on/adjacent to the application area.</t>
        </is>
      </c>
      <c r="G142" t="inlineStr">
        <is>
          <t>SPAM-2021-0065</t>
        </is>
      </c>
      <c r="H142" t="inlineStr">
        <is>
          <t>SPAM-2021-0065 (Engineering Plan, Approved)</t>
        </is>
      </c>
      <c r="I142" t="inlineStr">
        <is>
          <t>2021-10-29</t>
        </is>
      </c>
      <c r="J142" t="inlineStr">
        <is>
          <t>BUILDINGS VA 13 AND 14 : REQUEST APPROVAL OF A SITE PLAN AMENDMENT (SPAM) FOR THE CONSTRUCTION OF 735,714 SF OF DATA CENTER/OFFICE FLOOR AREA, IN THE PLANNED DEVELOPMENT OFFICE PARK (PDOP) ZONING DISTRICT. AM</t>
        </is>
      </c>
      <c r="K142" t="inlineStr">
        <is>
          <t>110, 128</t>
        </is>
      </c>
      <c r="L142" t="inlineStr">
        <is>
          <t>044288975000</t>
        </is>
      </c>
      <c r="M142" t="n">
        <v>39.0016</v>
      </c>
      <c r="N142" t="n">
        <v>-77.43723199999999</v>
      </c>
      <c r="O142" t="inlineStr">
        <is>
          <t>https://logis.loudoun.gov/gis/rest/services/Projects/LOLA_DATA/MapServer/0/query?where=PlanNumber%3D%27SPAM-2021-0065%27&amp;outFields=PlanNumber,PlanType,PlanStatus,PlanName,PlanApplicationDate,PlanDescription&amp;f=html</t>
        </is>
      </c>
    </row>
    <row r="143">
      <c r="A143" t="n">
        <v>612</v>
      </c>
      <c r="B143" t="n">
        <v>365</v>
      </c>
      <c r="C143" t="inlineStr">
        <is>
          <t>WATERSIDE SITE PLAN LB B</t>
        </is>
      </c>
      <c r="D143" t="inlineStr">
        <is>
          <t>Site/engineering plan</t>
        </is>
      </c>
      <c r="E143" t="inlineStr">
        <is>
          <t>Approved entitlement; buildings already on site</t>
        </is>
      </c>
      <c r="F143" t="inlineStr">
        <is>
          <t>County-stated status of application(s): Approved. Built/not-built is INFERRED: 6 data center building point(s) lie on/adjacent to the application area.</t>
        </is>
      </c>
      <c r="G143" t="inlineStr">
        <is>
          <t>SPAM-2021-0072</t>
        </is>
      </c>
      <c r="H143" t="inlineStr">
        <is>
          <t>SPAM-2021-0072 (Engineering Plan, Approved)</t>
        </is>
      </c>
      <c r="I143" t="inlineStr">
        <is>
          <t>2021-12-10</t>
        </is>
      </c>
      <c r="J143" t="inlineStr">
        <is>
          <t>WATERSIDE SITE PLAN LB B : REQUEST APPROVAL OF A SITE PLAN AMENDMENT (SPAM) FOR THE CONSTRUCTION OF TWO (2) TWO-STORY DATA CENTERS TOTALING 532,000 SF AND ASSOCIATED GRADING AND UTILITY IMPROVEMENTS, IN THE PLANNED DEVELOPMENT INDUSTRIAL PARK (PDIP) ZONING DISTRICT. AM</t>
        </is>
      </c>
      <c r="K143" t="inlineStr">
        <is>
          <t>138, 139, 150, 168, 169, 186</t>
        </is>
      </c>
      <c r="L143" t="inlineStr">
        <is>
          <t>034385918000</t>
        </is>
      </c>
      <c r="M143" t="n">
        <v>38.981964</v>
      </c>
      <c r="N143" t="n">
        <v>-77.417224</v>
      </c>
      <c r="O143" t="inlineStr">
        <is>
          <t>https://logis.loudoun.gov/gis/rest/services/Projects/LOLA_DATA/MapServer/0/query?where=PlanNumber%3D%27SPAM-2021-0072%27&amp;outFields=PlanNumber,PlanType,PlanStatus,PlanName,PlanApplicationDate,PlanDescription&amp;f=html</t>
        </is>
      </c>
    </row>
    <row r="144">
      <c r="A144" t="n">
        <v>613</v>
      </c>
      <c r="B144" t="n">
        <v>366</v>
      </c>
      <c r="C144" t="inlineStr">
        <is>
          <t>DIGITAL LOUDOUN IV-PRENTICE DRIVE</t>
        </is>
      </c>
      <c r="D144" t="inlineStr">
        <is>
          <t>Site/engineering plan</t>
        </is>
      </c>
      <c r="E144" t="inlineStr">
        <is>
          <t>Approved, not yet built (inferred)</t>
        </is>
      </c>
      <c r="F144" t="inlineStr">
        <is>
          <t>County-stated status of application(s): Approved. Built/not-built is INFERRED: no mapped data center building lies within the application area.</t>
        </is>
      </c>
      <c r="G144" t="inlineStr">
        <is>
          <t>STMP-2018-0010</t>
        </is>
      </c>
      <c r="H144" t="inlineStr">
        <is>
          <t>STMP-2018-0010 (Engineering Plan, Approved); SPAM-2022-0017 (Engineering Plan, Approved)</t>
        </is>
      </c>
      <c r="I144" t="inlineStr">
        <is>
          <t>2018-07-25</t>
        </is>
      </c>
      <c r="J144" t="inlineStr">
        <is>
          <t>DIGITAL LOUDOUN IV PRENTICE DRIVE : REQUEST APPROVAL OF A SITE PLAN AMENDMENT (SPAM) FOR CONTSTRUCITON OF ONE DATA CENTER BUILDING, GUARD BOOTH BUILDING, AND ASSOCIATED INFRASTRUCTURE AND UTILITIES IN THE (PDIP) PLANNED DEVELOPMENT-INDUSTRIAL PARK ZONING DISTRICT. SDM</t>
        </is>
      </c>
      <c r="M144" t="n">
        <v>39.117252</v>
      </c>
      <c r="N144" t="n">
        <v>-77.578317</v>
      </c>
      <c r="O144" t="inlineStr">
        <is>
          <t>https://logis.loudoun.gov/gis/rest/services/Projects/LOLA_DATA/MapServer/0/query?where=PlanNumber%3D%27SPAM-2022-0017%27&amp;outFields=PlanNumber,PlanType,PlanStatus,PlanName,PlanApplicationDate,PlanDescription&amp;f=html</t>
        </is>
      </c>
    </row>
    <row r="145">
      <c r="A145" t="n">
        <v>614</v>
      </c>
      <c r="B145" t="n">
        <v>367</v>
      </c>
      <c r="C145" t="inlineStr">
        <is>
          <t>DULLES TRADE CENTER LOTS 10 &amp; 11</t>
        </is>
      </c>
      <c r="D145" t="inlineStr">
        <is>
          <t>Site/engineering plan</t>
        </is>
      </c>
      <c r="E145" t="inlineStr">
        <is>
          <t>Pending application</t>
        </is>
      </c>
      <c r="F145" t="inlineStr">
        <is>
          <t>County-stated status of application(s): In Review.</t>
        </is>
      </c>
      <c r="G145" t="inlineStr">
        <is>
          <t>SPAM-2022-0028</t>
        </is>
      </c>
      <c r="H145" t="inlineStr">
        <is>
          <t>SPAM-2022-0028 (Engineering Plan, In Review)</t>
        </is>
      </c>
      <c r="I145" t="inlineStr">
        <is>
          <t>2022-04-06</t>
        </is>
      </c>
      <c r="J145" t="inlineStr">
        <is>
          <t>(Conditional Approval) DULLES TRADE CENTER LOTS 10 &amp; 11 : REQUEST APPROVAL OF A SITE PLAN AMENDMENT (SPAM) FOR THE CONVERTING OFBUILDING USE FROM WAREHOUSE TO DATA CENTER, IN THE (PDGI) PLANNED DEVELOPMENT GENERAL INDUSTRIAL ZONING DISTRICT. SDM</t>
        </is>
      </c>
      <c r="M145" t="n">
        <v>38.954166</v>
      </c>
      <c r="N145" t="n">
        <v>-77.52875</v>
      </c>
      <c r="O145" t="inlineStr">
        <is>
          <t>https://logis.loudoun.gov/gis/rest/services/Projects/LOLA_DATA/MapServer/0/query?where=PlanNumber%3D%27SPAM-2022-0028%27&amp;outFields=PlanNumber,PlanType,PlanStatus,PlanName,PlanApplicationDate,PlanDescription&amp;f=html</t>
        </is>
      </c>
    </row>
    <row r="146">
      <c r="A146" t="n">
        <v>615</v>
      </c>
      <c r="B146" t="n">
        <v>368</v>
      </c>
      <c r="C146" t="inlineStr">
        <is>
          <t>IAD11 DATA CENTER</t>
        </is>
      </c>
      <c r="D146" t="inlineStr">
        <is>
          <t>Site/engineering plan</t>
        </is>
      </c>
      <c r="E146" t="inlineStr">
        <is>
          <t>Approved entitlement; buildings already on site</t>
        </is>
      </c>
      <c r="F146" t="inlineStr">
        <is>
          <t>County-stated status of application(s): Approved. Built/not-built is INFERRED: 3 data center building point(s) lie on/adjacent to the application area.</t>
        </is>
      </c>
      <c r="G146" t="inlineStr">
        <is>
          <t>STMP-2021-0001</t>
        </is>
      </c>
      <c r="H146" t="inlineStr">
        <is>
          <t>STMP-2021-0001 (Engineering Plan, Approved); SPAM-2022-0036 (Engineering Plan, Approved)</t>
        </is>
      </c>
      <c r="I146" t="inlineStr">
        <is>
          <t>2021-01-19</t>
        </is>
      </c>
      <c r="J146" t="inlineStr">
        <is>
          <t>IAD11 DATA CENTER : REQUEST APPROVAL OF A SITE PLAN AMENDMENT (SPAM) FOR THE CONSTRUCTION OF THE ELECTRICAL SUBSTATION WITH ACCESS ROAD TO CONNECT TO AN EXISTING ACCESS ROAD, IN THE PLANNED DEVELOPMENT- INDUSTRIAL PARK (PDIP) ZONING DISTRICT. AM</t>
        </is>
      </c>
      <c r="K146" t="inlineStr">
        <is>
          <t>176, 205, 206</t>
        </is>
      </c>
      <c r="L146" t="inlineStr">
        <is>
          <t>203354208000</t>
        </is>
      </c>
      <c r="M146" t="n">
        <v>38.949041</v>
      </c>
      <c r="N146" t="n">
        <v>-77.555145</v>
      </c>
      <c r="O146" t="inlineStr">
        <is>
          <t>https://logis.loudoun.gov/gis/rest/services/Projects/LOLA_DATA/MapServer/0/query?where=PlanNumber%3D%27SPAM-2022-0036%27&amp;outFields=PlanNumber,PlanType,PlanStatus,PlanName,PlanApplicationDate,PlanDescription&amp;f=html</t>
        </is>
      </c>
    </row>
    <row r="147">
      <c r="A147" t="n">
        <v>616</v>
      </c>
      <c r="B147" t="n">
        <v>369</v>
      </c>
      <c r="C147" t="inlineStr">
        <is>
          <t>EQUINIX AT BEAUMEADE TECH CENTER</t>
        </is>
      </c>
      <c r="D147" t="inlineStr">
        <is>
          <t>Site/engineering plan</t>
        </is>
      </c>
      <c r="E147" t="inlineStr">
        <is>
          <t>Approved entitlement; buildings already on site</t>
        </is>
      </c>
      <c r="F147" t="inlineStr">
        <is>
          <t>County-stated status of application(s): Approved. Built/not-built is INFERRED: 6 data center building point(s) lie on/adjacent to the application area.</t>
        </is>
      </c>
      <c r="G147" t="inlineStr">
        <is>
          <t>SPAM-2022-0043</t>
        </is>
      </c>
      <c r="H147" t="inlineStr">
        <is>
          <t>SPAM-2022-0043 (Engineering Plan, Approved)</t>
        </is>
      </c>
      <c r="I147" t="inlineStr">
        <is>
          <t>2022-05-27</t>
        </is>
      </c>
      <c r="J147" t="inlineStr">
        <is>
          <t>EQUINIX AT BEAUMEADE TECH CENTER : REQUEST APPROVAL OF A SITE PLAN AMENDMENT (SPAM) TO PROPOSE CONCRETE PADES ON NORTH SIDE OF EXCISTING BUILDING (DC-2) TO INSTALL GENERATORSAND AIR CONDENSING UNITS FOR THE EXISTING DATA CENTER USE, IN THE PLANNED DEVELOPMENT- INDUSTRIAL PARK (PDIP) ZONING DISTRICT.</t>
        </is>
      </c>
      <c r="K147" t="inlineStr">
        <is>
          <t>8, 9, 21, 22, 23, 25</t>
        </is>
      </c>
      <c r="L147" t="inlineStr">
        <is>
          <t>061483407000</t>
        </is>
      </c>
      <c r="M147" t="n">
        <v>39.015526</v>
      </c>
      <c r="N147" t="n">
        <v>-77.459838</v>
      </c>
      <c r="O147" t="inlineStr">
        <is>
          <t>https://logis.loudoun.gov/gis/rest/services/Projects/LOLA_DATA/MapServer/0/query?where=PlanNumber%3D%27SPAM-2022-0043%27&amp;outFields=PlanNumber,PlanType,PlanStatus,PlanName,PlanApplicationDate,PlanDescription&amp;f=html</t>
        </is>
      </c>
    </row>
    <row r="148">
      <c r="A148" t="n">
        <v>617</v>
      </c>
      <c r="B148" t="n">
        <v>370</v>
      </c>
      <c r="C148" t="inlineStr">
        <is>
          <t>RELOCATION DRIVE SITE PLAN</t>
        </is>
      </c>
      <c r="D148" t="inlineStr">
        <is>
          <t>Site/engineering plan</t>
        </is>
      </c>
      <c r="E148" t="inlineStr">
        <is>
          <t>Approved entitlement; buildings already on site</t>
        </is>
      </c>
      <c r="F148" t="inlineStr">
        <is>
          <t>County-stated status of application(s): Approved. Built/not-built is INFERRED: 1 data center building point(s) lie on/adjacent to the application area.</t>
        </is>
      </c>
      <c r="G148" t="inlineStr">
        <is>
          <t>SPAM-2022-0072</t>
        </is>
      </c>
      <c r="H148" t="inlineStr">
        <is>
          <t>SPAM-2022-0072 (Engineering Plan, Approved); SPAM-2023-0018 (Engineering Plan, Approved)</t>
        </is>
      </c>
      <c r="I148" t="inlineStr">
        <is>
          <t>2022-09-21</t>
        </is>
      </c>
      <c r="J148" t="inlineStr">
        <is>
          <t>RELOCATION DRIVE SITE PLAN : REQUEST APPROVAL OF A SITE PLAN AMENDMENT (SPAM) TO THE PREVIOUSLY APPROVED STMP-2022-0003, SPAM-2022-0072 (DATA CENTER, SWM/BMP VAULTS, AND ASSOCIATED INFRASTRUCTURE) TO ADD A STORMWATER MANAGEMENT VAULT THAT WILL HANDLE RUNOFF FOR THE FUTURE STERLING BLVD ROAD PROJECT,</t>
        </is>
      </c>
      <c r="K148" t="inlineStr">
        <is>
          <t>191</t>
        </is>
      </c>
      <c r="L148" t="inlineStr">
        <is>
          <t>045279612000</t>
        </is>
      </c>
      <c r="M148" t="n">
        <v>38.988456</v>
      </c>
      <c r="N148" t="n">
        <v>-77.440907</v>
      </c>
      <c r="O148" t="inlineStr">
        <is>
          <t>https://logis.loudoun.gov/gis/rest/services/Projects/LOLA_DATA/MapServer/0/query?where=PlanNumber%3D%27SPAM-2023-0018%27&amp;outFields=PlanNumber,PlanType,PlanStatus,PlanName,PlanApplicationDate,PlanDescription&amp;f=html</t>
        </is>
      </c>
    </row>
    <row r="149">
      <c r="A149" t="n">
        <v>618</v>
      </c>
      <c r="B149" t="n">
        <v>371</v>
      </c>
      <c r="C149" t="inlineStr">
        <is>
          <t>DULLES BERRY LC4 DATA CENTER</t>
        </is>
      </c>
      <c r="D149" t="inlineStr">
        <is>
          <t>Site/engineering plan</t>
        </is>
      </c>
      <c r="E149" t="inlineStr">
        <is>
          <t>Approved, not yet built (inferred)</t>
        </is>
      </c>
      <c r="F149" t="inlineStr">
        <is>
          <t>County-stated status of application(s): Approved. Built/not-built is INFERRED: no mapped data center building lies within the application area.</t>
        </is>
      </c>
      <c r="G149" t="inlineStr">
        <is>
          <t>STMP-2021-0016</t>
        </is>
      </c>
      <c r="H149" t="inlineStr">
        <is>
          <t>STMP-2021-0016 (Engineering Plan, Approved); SPAM-2023-0032 (Engineering Plan, Approved)</t>
        </is>
      </c>
      <c r="I149" t="inlineStr">
        <is>
          <t>2021-11-09</t>
        </is>
      </c>
      <c r="J149" t="inlineStr">
        <is>
          <t>DULLES BERRY LC4 DATA CENTER : REQUEST APPROVAL OF A SITE PLAN AMENDEMENT (SPAM), REVISION TO THE THELC4 SITE PLAN TO INCLUDE SECURITY GATE, SECURITY FENCE, MINOR STORM REVISIONS, AND ADDITIONAL DISTURBANCE IN THE PLANNED DEVELOPMENT-RESEARCH AND DEVELOPMENT PARK (PDRDP) ZONING DISTRICT. AN</t>
        </is>
      </c>
      <c r="M149" t="n">
        <v>39.117252</v>
      </c>
      <c r="N149" t="n">
        <v>-77.578317</v>
      </c>
      <c r="O149" t="inlineStr">
        <is>
          <t>https://logis.loudoun.gov/gis/rest/services/Projects/LOLA_DATA/MapServer/0/query?where=PlanNumber%3D%27SPAM-2023-0032%27&amp;outFields=PlanNumber,PlanType,PlanStatus,PlanName,PlanApplicationDate,PlanDescription&amp;f=html</t>
        </is>
      </c>
    </row>
    <row r="150">
      <c r="A150" t="n">
        <v>619</v>
      </c>
      <c r="B150" t="n">
        <v>372</v>
      </c>
      <c r="C150" t="inlineStr">
        <is>
          <t>EQUINIX - BEAUMEADE PH 1 LOT 5</t>
        </is>
      </c>
      <c r="D150" t="inlineStr">
        <is>
          <t>Zoning/legislative</t>
        </is>
      </c>
      <c r="E150" t="inlineStr">
        <is>
          <t>Approved entitlement; buildings already on site</t>
        </is>
      </c>
      <c r="F150" t="inlineStr">
        <is>
          <t>County-stated status of application(s): Approved. Built/not-built is INFERRED: 6 data center building point(s) lie on/adjacent to the application area.</t>
        </is>
      </c>
      <c r="G150" t="inlineStr">
        <is>
          <t>SPEX-2006-0016</t>
        </is>
      </c>
      <c r="H150" t="inlineStr">
        <is>
          <t>SPEX-2006-0016 (Special Exception, Approved)</t>
        </is>
      </c>
      <c r="I150" t="inlineStr">
        <is>
          <t>2006-04-20</t>
        </is>
      </c>
      <c r="J150" t="inlineStr">
        <is>
          <t>EQUINIX - BEAUMEADE PH 1 LOT 5 : REQUEST APPROVAL OF A SPECIAL EXCEPTION TO ALLOW THE FOLLOWING POSSIBLE USES ON THE PROPERTY: DATA CENTER, FLEX-INDUSTRIAL, WAREHOUSE, OFFICE WITH A MAXIMUM FAR OF 0.4. er</t>
        </is>
      </c>
      <c r="K150" t="inlineStr">
        <is>
          <t>8, 9, 21, 22, 23, 25</t>
        </is>
      </c>
      <c r="L150" t="inlineStr">
        <is>
          <t>061483407000</t>
        </is>
      </c>
      <c r="M150" t="n">
        <v>39.015515</v>
      </c>
      <c r="N150" t="n">
        <v>-77.45987100000001</v>
      </c>
      <c r="O150" t="inlineStr">
        <is>
          <t>https://logis.loudoun.gov/gis/rest/services/Projects/LOLA_DATA/MapServer/0/query?where=PlanNumber%3D%27SPEX-2006-0016%27&amp;outFields=PlanNumber,PlanType,PlanStatus,PlanName,PlanApplicationDate,PlanDescription&amp;f=html</t>
        </is>
      </c>
    </row>
    <row r="151">
      <c r="A151" t="n">
        <v>620</v>
      </c>
      <c r="B151" t="n">
        <v>373</v>
      </c>
      <c r="C151" t="inlineStr">
        <is>
          <t>EQUINIX DATA CENTER</t>
        </is>
      </c>
      <c r="D151" t="inlineStr">
        <is>
          <t>Zoning/legislative</t>
        </is>
      </c>
      <c r="E151" t="inlineStr">
        <is>
          <t>Approved entitlement; buildings already on site</t>
        </is>
      </c>
      <c r="F151" t="inlineStr">
        <is>
          <t>County-stated status of application(s): Approved. Built/not-built is INFERRED: 6 data center building point(s) lie on/adjacent to the application area.</t>
        </is>
      </c>
      <c r="G151" t="inlineStr">
        <is>
          <t>SPEX-2008-0041</t>
        </is>
      </c>
      <c r="H151" t="inlineStr">
        <is>
          <t>SPEX-2008-0041 (Special Exception, Approved); ZMAP-2008-0013 (Zoning Map Amendment, Approved)</t>
        </is>
      </c>
      <c r="I151" t="inlineStr">
        <is>
          <t>2008-06-19</t>
        </is>
      </c>
      <c r="J151" t="inlineStr">
        <is>
          <t>EQUINIX DATA CENTER : A Zoning Map Amendment to rezone from the 1972 Zoning Ordinance PD-IP to the Revised 1993 Zoning Ordinance PD-IP.</t>
        </is>
      </c>
      <c r="K151" t="inlineStr">
        <is>
          <t>8, 9, 21, 22, 23, 25</t>
        </is>
      </c>
      <c r="L151" t="inlineStr">
        <is>
          <t>061483407000</t>
        </is>
      </c>
      <c r="M151" t="n">
        <v>39.015533</v>
      </c>
      <c r="N151" t="n">
        <v>-77.45983200000001</v>
      </c>
      <c r="O151" t="inlineStr">
        <is>
          <t>https://logis.loudoun.gov/gis/rest/services/Projects/LOLA_DATA/MapServer/0/query?where=PlanNumber%3D%27ZMAP-2008-0013%27&amp;outFields=PlanNumber,PlanType,PlanStatus,PlanName,PlanApplicationDate,PlanDescription&amp;f=html</t>
        </is>
      </c>
    </row>
    <row r="152">
      <c r="A152" t="n">
        <v>621</v>
      </c>
      <c r="B152" t="n">
        <v>374</v>
      </c>
      <c r="C152" t="inlineStr">
        <is>
          <t>MERRITT AT BEAUMEADE</t>
        </is>
      </c>
      <c r="D152" t="inlineStr">
        <is>
          <t>Zoning/legislative</t>
        </is>
      </c>
      <c r="E152" t="inlineStr">
        <is>
          <t>Approved entitlement; buildings already on site</t>
        </is>
      </c>
      <c r="F152" t="inlineStr">
        <is>
          <t>County-stated status of application(s): Approved. Built/not-built is INFERRED: 1 data center building point(s) lie on/adjacent to the application area.</t>
        </is>
      </c>
      <c r="G152" t="inlineStr">
        <is>
          <t>SPEX-2010-0019</t>
        </is>
      </c>
      <c r="H152" t="inlineStr">
        <is>
          <t>SPEX-2010-0019 (Special Exception, Approved)</t>
        </is>
      </c>
      <c r="I152" t="inlineStr">
        <is>
          <t>2010-08-09</t>
        </is>
      </c>
      <c r="J152" t="inlineStr">
        <is>
          <t>MERRITT AT BEAUMEADE : A special exception to allow 100% data center uses in the PD-IP zoning district.</t>
        </is>
      </c>
      <c r="K152" t="inlineStr">
        <is>
          <t>2</t>
        </is>
      </c>
      <c r="L152" t="inlineStr">
        <is>
          <t>060386530000</t>
        </is>
      </c>
      <c r="M152" t="n">
        <v>39.0242</v>
      </c>
      <c r="N152" t="n">
        <v>-77.458292</v>
      </c>
      <c r="O152" t="inlineStr">
        <is>
          <t>https://logis.loudoun.gov/gis/rest/services/Projects/LOLA_DATA/MapServer/0/query?where=PlanNumber%3D%27SPEX-2010-0019%27&amp;outFields=PlanNumber,PlanType,PlanStatus,PlanName,PlanApplicationDate,PlanDescription&amp;f=html</t>
        </is>
      </c>
    </row>
    <row r="153">
      <c r="A153" t="n">
        <v>622</v>
      </c>
      <c r="B153" t="n">
        <v>375</v>
      </c>
      <c r="C153" t="inlineStr">
        <is>
          <t>CIT GUILFORD DRIVE LLC DATA CENTER</t>
        </is>
      </c>
      <c r="D153" t="inlineStr">
        <is>
          <t>Zoning/legislative</t>
        </is>
      </c>
      <c r="E153" t="inlineStr">
        <is>
          <t>Approved, not yet built (inferred)</t>
        </is>
      </c>
      <c r="F153" t="inlineStr">
        <is>
          <t>County-stated status of application(s): Approved. Built/not-built is INFERRED: no mapped data center building lies within the application area.</t>
        </is>
      </c>
      <c r="G153" t="inlineStr">
        <is>
          <t>SPEX-2010-0022</t>
        </is>
      </c>
      <c r="H153" t="inlineStr">
        <is>
          <t>SPEX-2010-0022 (Special Exception, Approved)</t>
        </is>
      </c>
      <c r="I153" t="inlineStr">
        <is>
          <t>2010-09-20</t>
        </is>
      </c>
      <c r="J153" t="inlineStr">
        <is>
          <t>CIT GUILFORD DRIVE LLC DATA CENTER : A special exception for 100% office data center use at a 0.6 FAR in PD-IP.</t>
        </is>
      </c>
      <c r="M153" t="n">
        <v>39.021394</v>
      </c>
      <c r="N153" t="n">
        <v>-77.45693</v>
      </c>
      <c r="O153" t="inlineStr">
        <is>
          <t>https://logis.loudoun.gov/gis/rest/services/Projects/LOLA_DATA/MapServer/0/query?where=PlanNumber%3D%27SPEX-2010-0022%27&amp;outFields=PlanNumber,PlanType,PlanStatus,PlanName,PlanApplicationDate,PlanDescription&amp;f=html</t>
        </is>
      </c>
    </row>
    <row r="154">
      <c r="A154" t="n">
        <v>623</v>
      </c>
      <c r="B154" t="n">
        <v>376</v>
      </c>
      <c r="C154" t="inlineStr">
        <is>
          <t>44664 GUILFORD DRIVE</t>
        </is>
      </c>
      <c r="D154" t="inlineStr">
        <is>
          <t>Zoning/legislative</t>
        </is>
      </c>
      <c r="E154" t="inlineStr">
        <is>
          <t>Approved entitlement; buildings already on site</t>
        </is>
      </c>
      <c r="F154" t="inlineStr">
        <is>
          <t>County-stated status of application(s): Approved. Built/not-built is INFERRED: 1 data center building point(s) lie on/adjacent to the application area.</t>
        </is>
      </c>
      <c r="G154" t="inlineStr">
        <is>
          <t>SPEX-2010-0031</t>
        </is>
      </c>
      <c r="H154" t="inlineStr">
        <is>
          <t>SPEX-2010-0031 (Special Exception, Approved)</t>
        </is>
      </c>
      <c r="I154" t="inlineStr">
        <is>
          <t>2010-12-17</t>
        </is>
      </c>
      <c r="J154" t="inlineStr">
        <is>
          <t>44664 GUILFORD DRIVE : A special exception request for 100% office/data center use pursuant to Section 4-504(A).</t>
        </is>
      </c>
      <c r="K154" t="inlineStr">
        <is>
          <t>11</t>
        </is>
      </c>
      <c r="L154" t="inlineStr">
        <is>
          <t>060298548000</t>
        </is>
      </c>
      <c r="M154" t="n">
        <v>39.02293</v>
      </c>
      <c r="N154" t="n">
        <v>-77.454708</v>
      </c>
      <c r="O154" t="inlineStr">
        <is>
          <t>https://logis.loudoun.gov/gis/rest/services/Projects/LOLA_DATA/MapServer/0/query?where=PlanNumber%3D%27SPEX-2010-0031%27&amp;outFields=PlanNumber,PlanType,PlanStatus,PlanName,PlanApplicationDate,PlanDescription&amp;f=html</t>
        </is>
      </c>
    </row>
    <row r="155">
      <c r="A155" t="n">
        <v>624</v>
      </c>
      <c r="B155" t="n">
        <v>377</v>
      </c>
      <c r="C155" t="inlineStr">
        <is>
          <t>PROJECT COLUMBIA DATA CENTER</t>
        </is>
      </c>
      <c r="D155" t="inlineStr">
        <is>
          <t>Zoning/legislative</t>
        </is>
      </c>
      <c r="E155" t="inlineStr">
        <is>
          <t>Approved entitlement; buildings already on site</t>
        </is>
      </c>
      <c r="F155" t="inlineStr">
        <is>
          <t>County-stated status of application(s): Approved. Built/not-built is INFERRED: 1 data center building point(s) lie on/adjacent to the application area.</t>
        </is>
      </c>
      <c r="G155" t="inlineStr">
        <is>
          <t>SPEX-2011-0004</t>
        </is>
      </c>
      <c r="H155" t="inlineStr">
        <is>
          <t>SPEX-2011-0004 (Special Exception, Approved)</t>
        </is>
      </c>
      <c r="I155" t="inlineStr">
        <is>
          <t>2011-03-01</t>
        </is>
      </c>
      <c r="J155" t="inlineStr">
        <is>
          <t>PROJECT COLUMBIA DATA CENTER : A special exception for 100% data center.</t>
        </is>
      </c>
      <c r="K155" t="inlineStr">
        <is>
          <t>53</t>
        </is>
      </c>
      <c r="L155" t="inlineStr">
        <is>
          <t>045458114000</t>
        </is>
      </c>
      <c r="M155" t="n">
        <v>38.994446</v>
      </c>
      <c r="N155" t="n">
        <v>-77.448139</v>
      </c>
      <c r="O155" t="inlineStr">
        <is>
          <t>https://logis.loudoun.gov/gis/rest/services/Projects/LOLA_DATA/MapServer/0/query?where=PlanNumber%3D%27SPEX-2011-0004%27&amp;outFields=PlanNumber,PlanType,PlanStatus,PlanName,PlanApplicationDate,PlanDescription&amp;f=html</t>
        </is>
      </c>
    </row>
    <row r="156">
      <c r="A156" t="n">
        <v>625</v>
      </c>
      <c r="B156" t="n">
        <v>378</v>
      </c>
      <c r="C156" t="inlineStr">
        <is>
          <t>TRANSDULLES CENTRE PARCEL 20</t>
        </is>
      </c>
      <c r="D156" t="inlineStr">
        <is>
          <t>Zoning/legislative</t>
        </is>
      </c>
      <c r="E156" t="inlineStr">
        <is>
          <t>Approved entitlement; buildings already on site</t>
        </is>
      </c>
      <c r="F156" t="inlineStr">
        <is>
          <t>County-stated status of application(s): Approved. Built/not-built is INFERRED: 2 data center building point(s) lie on/adjacent to the application area.</t>
        </is>
      </c>
      <c r="G156" t="inlineStr">
        <is>
          <t>SPEX-2011-0008</t>
        </is>
      </c>
      <c r="H156" t="inlineStr">
        <is>
          <t>SPEX-2011-0008 (Special Exception, Approved)</t>
        </is>
      </c>
      <c r="I156" t="inlineStr">
        <is>
          <t>2011-04-01</t>
        </is>
      </c>
      <c r="J156" t="inlineStr">
        <is>
          <t>TRANSDULLES CENTRE PARCEL 20 : A special exception for 100% office-data center uses at 0.4 FAR.</t>
        </is>
      </c>
      <c r="K156" t="inlineStr">
        <is>
          <t>86, 87</t>
        </is>
      </c>
      <c r="L156" t="inlineStr">
        <is>
          <t>033201325000</t>
        </is>
      </c>
      <c r="M156" t="n">
        <v>38.986788</v>
      </c>
      <c r="N156" t="n">
        <v>-77.409688</v>
      </c>
      <c r="O156" t="inlineStr">
        <is>
          <t>https://logis.loudoun.gov/gis/rest/services/Projects/LOLA_DATA/MapServer/0/query?where=PlanNumber%3D%27SPEX-2011-0008%27&amp;outFields=PlanNumber,PlanType,PlanStatus,PlanName,PlanApplicationDate,PlanDescription&amp;f=html</t>
        </is>
      </c>
    </row>
    <row r="157">
      <c r="A157" t="n">
        <v>626</v>
      </c>
      <c r="B157" t="n">
        <v>379</v>
      </c>
      <c r="C157" t="inlineStr">
        <is>
          <t>21800 BEAUMEADE CIRCLE</t>
        </is>
      </c>
      <c r="D157" t="inlineStr">
        <is>
          <t>Zoning/legislative</t>
        </is>
      </c>
      <c r="E157" t="inlineStr">
        <is>
          <t>Approved entitlement; buildings already on site</t>
        </is>
      </c>
      <c r="F157" t="inlineStr">
        <is>
          <t>County-stated status of application(s): Approved. Built/not-built is INFERRED: 1 data center building point(s) lie on/adjacent to the application area.</t>
        </is>
      </c>
      <c r="G157" t="inlineStr">
        <is>
          <t>SPEX-2011-0018</t>
        </is>
      </c>
      <c r="H157" t="inlineStr">
        <is>
          <t>SPEX-2011-0018 (Special Exception, Approved); SPEX-2021-0048 (Special Exception, Approved)</t>
        </is>
      </c>
      <c r="I157" t="inlineStr">
        <is>
          <t>2011-07-29</t>
        </is>
      </c>
      <c r="J157" t="inlineStr">
        <is>
          <t>21800 BEAUMEADE CIRCLE : A special exception to the maximum lot coverage from 45% to 55% for a data center.</t>
        </is>
      </c>
      <c r="K157" t="inlineStr">
        <is>
          <t>7</t>
        </is>
      </c>
      <c r="L157" t="inlineStr">
        <is>
          <t>061307791000</t>
        </is>
      </c>
      <c r="M157" t="n">
        <v>39.013732</v>
      </c>
      <c r="N157" t="n">
        <v>-77.45165</v>
      </c>
      <c r="O157" t="inlineStr">
        <is>
          <t>https://logis.loudoun.gov/gis/rest/services/Projects/LOLA_DATA/MapServer/0/query?where=PlanNumber%3D%27SPEX-2021-0048%27&amp;outFields=PlanNumber,PlanType,PlanStatus,PlanName,PlanApplicationDate,PlanDescription&amp;f=html</t>
        </is>
      </c>
    </row>
    <row r="158">
      <c r="A158" t="n">
        <v>627</v>
      </c>
      <c r="B158" t="n">
        <v>380</v>
      </c>
      <c r="C158" t="inlineStr">
        <is>
          <t>21550 &amp; 21580 BEAUMEADE CIRCLE</t>
        </is>
      </c>
      <c r="D158" t="inlineStr">
        <is>
          <t>Zoning/legislative</t>
        </is>
      </c>
      <c r="E158" t="inlineStr">
        <is>
          <t>Approved, not yet built (inferred)</t>
        </is>
      </c>
      <c r="F158" t="inlineStr">
        <is>
          <t>County-stated status of application(s): Approved. Built/not-built is INFERRED: no mapped data center building lies within the application area.</t>
        </is>
      </c>
      <c r="G158" t="inlineStr">
        <is>
          <t>SPEX-2011-0022</t>
        </is>
      </c>
      <c r="H158" t="inlineStr">
        <is>
          <t>SPEX-2011-0022 (Special Exception, Approved)</t>
        </is>
      </c>
      <c r="I158" t="inlineStr">
        <is>
          <t>2011-08-05</t>
        </is>
      </c>
      <c r="J158" t="inlineStr">
        <is>
          <t>21550 &amp; 21580 BEAUMEADE CIRCLE : A special exception to allow 100% office limited to data center up to 0.4 FAR.</t>
        </is>
      </c>
      <c r="M158" t="n">
        <v>39.019924</v>
      </c>
      <c r="N158" t="n">
        <v>-77.454695</v>
      </c>
      <c r="O158" t="inlineStr">
        <is>
          <t>https://logis.loudoun.gov/gis/rest/services/Projects/LOLA_DATA/MapServer/0/query?where=PlanNumber%3D%27SPEX-2011-0022%27&amp;outFields=PlanNumber,PlanType,PlanStatus,PlanName,PlanApplicationDate,PlanDescription&amp;f=html</t>
        </is>
      </c>
    </row>
    <row r="159">
      <c r="A159" t="n">
        <v>628</v>
      </c>
      <c r="B159" t="n">
        <v>381</v>
      </c>
      <c r="C159" t="inlineStr">
        <is>
          <t>ASHBURN CENTER NORTH</t>
        </is>
      </c>
      <c r="D159" t="inlineStr">
        <is>
          <t>Zoning/legislative</t>
        </is>
      </c>
      <c r="E159" t="inlineStr">
        <is>
          <t>Approved entitlement; buildings already on site</t>
        </is>
      </c>
      <c r="F159" t="inlineStr">
        <is>
          <t>County-stated status of application(s): Approved. Built/not-built is INFERRED: 1 data center building point(s) lie on/adjacent to the application area.</t>
        </is>
      </c>
      <c r="G159" t="inlineStr">
        <is>
          <t>SPEX-2012-0019</t>
        </is>
      </c>
      <c r="H159" t="inlineStr">
        <is>
          <t>SPEX-2012-0019 (Special Exception, Approved)</t>
        </is>
      </c>
      <c r="I159" t="inlineStr">
        <is>
          <t>2012-04-06</t>
        </is>
      </c>
      <c r="J159" t="inlineStr">
        <is>
          <t>ASHBURN CENTER NORTH : A special exception pursuant to 4-504(A) to allow office use that is restricted to 100% data center in the PD-IP Zoning District.</t>
        </is>
      </c>
      <c r="K159" t="inlineStr">
        <is>
          <t>181</t>
        </is>
      </c>
      <c r="L159" t="inlineStr">
        <is>
          <t>088481748000</t>
        </is>
      </c>
      <c r="M159" t="n">
        <v>39.017963</v>
      </c>
      <c r="N159" t="n">
        <v>-77.48157</v>
      </c>
      <c r="O159" t="inlineStr">
        <is>
          <t>https://logis.loudoun.gov/gis/rest/services/Projects/LOLA_DATA/MapServer/0/query?where=PlanNumber%3D%27SPEX-2012-0019%27&amp;outFields=PlanNumber,PlanType,PlanStatus,PlanName,PlanApplicationDate,PlanDescription&amp;f=html</t>
        </is>
      </c>
    </row>
    <row r="160">
      <c r="A160" t="n">
        <v>629</v>
      </c>
      <c r="B160" t="n">
        <v>382</v>
      </c>
      <c r="C160" t="inlineStr">
        <is>
          <t>BUHL ELECTRIC</t>
        </is>
      </c>
      <c r="D160" t="inlineStr">
        <is>
          <t>Zoning/legislative</t>
        </is>
      </c>
      <c r="E160" t="inlineStr">
        <is>
          <t>Approved entitlement; buildings already on site</t>
        </is>
      </c>
      <c r="F160" t="inlineStr">
        <is>
          <t>County-stated status of application(s): Approved. Built/not-built is INFERRED: 1 data center building point(s) lie on/adjacent to the application area.</t>
        </is>
      </c>
      <c r="G160" t="inlineStr">
        <is>
          <t>SPEX-2012-0045</t>
        </is>
      </c>
      <c r="H160" t="inlineStr">
        <is>
          <t>SPEX-2012-0045 (Special Exception, Approved)</t>
        </is>
      </c>
      <c r="I160" t="inlineStr">
        <is>
          <t>2012-11-14</t>
        </is>
      </c>
      <c r="J160" t="inlineStr">
        <is>
          <t>BUHL ELECTRIC : A special exception pursuant to Section 722.3.2 of the 1972 Zoning Ordinance to allow office use in the PD-IP Zoning District restricted to 100% data center.</t>
        </is>
      </c>
      <c r="K160" t="inlineStr">
        <is>
          <t>18</t>
        </is>
      </c>
      <c r="L160" t="inlineStr">
        <is>
          <t>042295813000</t>
        </is>
      </c>
      <c r="M160" t="n">
        <v>39.021567</v>
      </c>
      <c r="N160" t="n">
        <v>-77.434753</v>
      </c>
      <c r="O160" t="inlineStr">
        <is>
          <t>https://logis.loudoun.gov/gis/rest/services/Projects/LOLA_DATA/MapServer/0/query?where=PlanNumber%3D%27SPEX-2012-0045%27&amp;outFields=PlanNumber,PlanType,PlanStatus,PlanName,PlanApplicationDate,PlanDescription&amp;f=html</t>
        </is>
      </c>
    </row>
    <row r="161">
      <c r="A161" t="n">
        <v>630</v>
      </c>
      <c r="B161" t="n">
        <v>383</v>
      </c>
      <c r="C161" t="inlineStr">
        <is>
          <t>PROLOGIS PARK - GATEWAY PHASE III BLDG 9</t>
        </is>
      </c>
      <c r="D161" t="inlineStr">
        <is>
          <t>Zoning/legislative</t>
        </is>
      </c>
      <c r="E161" t="inlineStr">
        <is>
          <t>Approved entitlement; buildings already on site</t>
        </is>
      </c>
      <c r="F161" t="inlineStr">
        <is>
          <t>County-stated status of application(s): Approved. Built/not-built is INFERRED: 1 data center building point(s) lie on/adjacent to the application area.</t>
        </is>
      </c>
      <c r="G161" t="inlineStr">
        <is>
          <t>SPEX-2013-0016</t>
        </is>
      </c>
      <c r="H161" t="inlineStr">
        <is>
          <t>SPEX-2013-0016 (Special Exception, Approved)</t>
        </is>
      </c>
      <c r="I161" t="inlineStr">
        <is>
          <t>2013-07-02</t>
        </is>
      </c>
      <c r="J161" t="inlineStr">
        <is>
          <t>PROLOGIS PARK - GATEWAY PHASE III BLDG 9 : A special exception to allow office and data center uses. in the PD-IP Zoning District.</t>
        </is>
      </c>
      <c r="K161" t="inlineStr">
        <is>
          <t>1</t>
        </is>
      </c>
      <c r="L161" t="inlineStr">
        <is>
          <t>045391908000</t>
        </is>
      </c>
      <c r="M161" t="n">
        <v>38.991377</v>
      </c>
      <c r="N161" t="n">
        <v>-77.43659</v>
      </c>
      <c r="O161" t="inlineStr">
        <is>
          <t>https://logis.loudoun.gov/gis/rest/services/Projects/LOLA_DATA/MapServer/0/query?where=PlanNumber%3D%27SPEX-2013-0016%27&amp;outFields=PlanNumber,PlanType,PlanStatus,PlanName,PlanApplicationDate,PlanDescription&amp;f=html</t>
        </is>
      </c>
    </row>
    <row r="162">
      <c r="A162" t="n">
        <v>631</v>
      </c>
      <c r="B162" t="n">
        <v>384</v>
      </c>
      <c r="C162" t="inlineStr">
        <is>
          <t>PROLOGIS PARK-GATEWAY PHASE III, BLDG 8</t>
        </is>
      </c>
      <c r="D162" t="inlineStr">
        <is>
          <t>Zoning/legislative</t>
        </is>
      </c>
      <c r="E162" t="inlineStr">
        <is>
          <t>Approved entitlement; buildings already on site</t>
        </is>
      </c>
      <c r="F162" t="inlineStr">
        <is>
          <t>County-stated status of application(s): Approved. Built/not-built is INFERRED: 1 data center building point(s) lie on/adjacent to the application area.</t>
        </is>
      </c>
      <c r="G162" t="inlineStr">
        <is>
          <t>SPEX-2013-0039</t>
        </is>
      </c>
      <c r="H162" t="inlineStr">
        <is>
          <t>SPEX-2013-0039 (Special Exception, Approved)</t>
        </is>
      </c>
      <c r="I162" t="inlineStr">
        <is>
          <t>2013-12-11</t>
        </is>
      </c>
      <c r="J162" t="inlineStr">
        <is>
          <t>PROLOGIS PARK-GATEWAY PHASE III, BLDG 8 : A special exception for data center use in the PD-IP zoning district pursuant to 4-504(A).</t>
        </is>
      </c>
      <c r="K162" t="inlineStr">
        <is>
          <t>4</t>
        </is>
      </c>
      <c r="L162" t="inlineStr">
        <is>
          <t>045391908000</t>
        </is>
      </c>
      <c r="M162" t="n">
        <v>38.990501</v>
      </c>
      <c r="N162" t="n">
        <v>-77.43711500000001</v>
      </c>
      <c r="O162" t="inlineStr">
        <is>
          <t>https://logis.loudoun.gov/gis/rest/services/Projects/LOLA_DATA/MapServer/0/query?where=PlanNumber%3D%27SPEX-2013-0039%27&amp;outFields=PlanNumber,PlanType,PlanStatus,PlanName,PlanApplicationDate,PlanDescription&amp;f=html</t>
        </is>
      </c>
    </row>
    <row r="163">
      <c r="A163" t="n">
        <v>632</v>
      </c>
      <c r="B163" t="n">
        <v>385</v>
      </c>
      <c r="C163" t="inlineStr">
        <is>
          <t>DBT-DATA BEAUMEADE FAR</t>
        </is>
      </c>
      <c r="D163" t="inlineStr">
        <is>
          <t>Zoning/legislative</t>
        </is>
      </c>
      <c r="E163" t="inlineStr">
        <is>
          <t>Approved, not yet built (inferred)</t>
        </is>
      </c>
      <c r="F163" t="inlineStr">
        <is>
          <t>County-stated status of application(s): Approved. Built/not-built is INFERRED: no mapped data center building lies within the application area.</t>
        </is>
      </c>
      <c r="G163" t="inlineStr">
        <is>
          <t>SPEX-2016-0020</t>
        </is>
      </c>
      <c r="H163" t="inlineStr">
        <is>
          <t>SPEX-2016-0020 (Special Exception, Approved)</t>
        </is>
      </c>
      <c r="I163" t="inlineStr">
        <is>
          <t>2016-04-19</t>
        </is>
      </c>
      <c r="J163" t="inlineStr">
        <is>
          <t>DBT-DATA BEAUMEADE FAR : A special exception to permit data center uses up to 1.0 FAR</t>
        </is>
      </c>
      <c r="M163" t="n">
        <v>39.021131</v>
      </c>
      <c r="N163" t="n">
        <v>-77.456919</v>
      </c>
      <c r="O163" t="inlineStr">
        <is>
          <t>https://logis.loudoun.gov/gis/rest/services/Projects/LOLA_DATA/MapServer/0/query?where=PlanNumber%3D%27SPEX-2016-0020%27&amp;outFields=PlanNumber,PlanType,PlanStatus,PlanName,PlanApplicationDate,PlanDescription&amp;f=html</t>
        </is>
      </c>
    </row>
    <row r="164">
      <c r="A164" t="n">
        <v>633</v>
      </c>
      <c r="B164" t="n">
        <v>386</v>
      </c>
      <c r="C164" t="inlineStr">
        <is>
          <t>21673 BEAUMEADE CIRCLE, LLC</t>
        </is>
      </c>
      <c r="D164" t="inlineStr">
        <is>
          <t>Zoning/legislative</t>
        </is>
      </c>
      <c r="E164" t="inlineStr">
        <is>
          <t>Approved entitlement; buildings already on site</t>
        </is>
      </c>
      <c r="F164" t="inlineStr">
        <is>
          <t>County-stated status of application(s): Approved. Built/not-built is INFERRED: 1 data center building point(s) lie on/adjacent to the application area.</t>
        </is>
      </c>
      <c r="G164" t="inlineStr">
        <is>
          <t>SPEX-2017-0040</t>
        </is>
      </c>
      <c r="H164" t="inlineStr">
        <is>
          <t>SPEX-2017-0040 (Special Exception, Approved); ZRTD-2017-0016 (Zoning Map Amendment, Approved)</t>
        </is>
      </c>
      <c r="I164" t="inlineStr">
        <is>
          <t>2017-12-14</t>
        </is>
      </c>
      <c r="J164" t="inlineStr">
        <is>
          <t>21673 BEAUMEADE CIRCLE, LLC : A ZRTD to convert from PDIP under the 1993 ZO to PDIP under the Revised 1993 ZO. A Special Exception to allow a FAR increase up to a 1.0 for data center use.</t>
        </is>
      </c>
      <c r="K164" t="inlineStr">
        <is>
          <t>158</t>
        </is>
      </c>
      <c r="L164" t="inlineStr">
        <is>
          <t>060189720000</t>
        </is>
      </c>
      <c r="M164" t="n">
        <v>39.018809</v>
      </c>
      <c r="N164" t="n">
        <v>-77.45821599999999</v>
      </c>
      <c r="O164" t="inlineStr">
        <is>
          <t>https://logis.loudoun.gov/gis/rest/services/Projects/LOLA_DATA/MapServer/0/query?where=PlanNumber%3D%27ZRTD-2017-0016%27&amp;outFields=PlanNumber,PlanType,PlanStatus,PlanName,PlanApplicationDate,PlanDescription&amp;f=html</t>
        </is>
      </c>
    </row>
    <row r="165">
      <c r="A165" t="n">
        <v>634</v>
      </c>
      <c r="B165" t="n">
        <v>387</v>
      </c>
      <c r="C165" t="inlineStr">
        <is>
          <t>ROLLINS PROPERTY</t>
        </is>
      </c>
      <c r="D165" t="inlineStr">
        <is>
          <t>Zoning/legislative</t>
        </is>
      </c>
      <c r="E165" t="inlineStr">
        <is>
          <t>Approved entitlement; buildings already on site</t>
        </is>
      </c>
      <c r="F165" t="inlineStr">
        <is>
          <t>County-stated status of application(s): Approved. Built/not-built is INFERRED: 2 data center building point(s) lie on/adjacent to the application area.</t>
        </is>
      </c>
      <c r="G165" t="inlineStr">
        <is>
          <t>SPEX-2019-0028</t>
        </is>
      </c>
      <c r="H165" t="inlineStr">
        <is>
          <t>SPEX-2019-0028 (Special Exception, Approved)</t>
        </is>
      </c>
      <c r="I165" t="inlineStr">
        <is>
          <t>2019-07-29</t>
        </is>
      </c>
      <c r="J165" t="inlineStr">
        <is>
          <t>ROLLINS PROPERTY : A Special Exception to allow a Data Center in the CLI Zoning District pursuant to Section 3-904(CC) of the Revised 1993 Loudoun County Zoning Ordinance.</t>
        </is>
      </c>
      <c r="K165" t="inlineStr">
        <is>
          <t>161, 162</t>
        </is>
      </c>
      <c r="L165" t="inlineStr">
        <is>
          <t>097354183000</t>
        </is>
      </c>
      <c r="M165" t="n">
        <v>38.915221</v>
      </c>
      <c r="N165" t="n">
        <v>-77.49086200000001</v>
      </c>
      <c r="O165" t="inlineStr">
        <is>
          <t>https://logis.loudoun.gov/gis/rest/services/Projects/LOLA_DATA/MapServer/0/query?where=PlanNumber%3D%27SPEX-2019-0028%27&amp;outFields=PlanNumber,PlanType,PlanStatus,PlanName,PlanApplicationDate,PlanDescription&amp;f=html</t>
        </is>
      </c>
    </row>
    <row r="166">
      <c r="A166" t="n">
        <v>635</v>
      </c>
      <c r="B166" t="n">
        <v>388</v>
      </c>
      <c r="C166" t="inlineStr">
        <is>
          <t>45865 MARIES RD REZONING</t>
        </is>
      </c>
      <c r="D166" t="inlineStr">
        <is>
          <t>Zoning/legislative</t>
        </is>
      </c>
      <c r="E166" t="inlineStr">
        <is>
          <t>Approved entitlement; buildings already on site</t>
        </is>
      </c>
      <c r="F166" t="inlineStr">
        <is>
          <t>County-stated status of application(s): Approved. Built/not-built is INFERRED: 1 data center building point(s) lie on/adjacent to the application area.</t>
        </is>
      </c>
      <c r="G166" t="inlineStr">
        <is>
          <t>SPEX-2021-0038</t>
        </is>
      </c>
      <c r="H166" t="inlineStr">
        <is>
          <t>SPEX-2021-0038 (Special Exception, Approved); ZMAP-2021-0014 (Zoning Map Amendment, Approved)</t>
        </is>
      </c>
      <c r="I166" t="inlineStr">
        <is>
          <t>2021-09-08</t>
        </is>
      </c>
      <c r="J166" t="inlineStr">
        <is>
          <t>45865 MARIES RD REZONING : A Zoning Map Amendment to rezone 10 acres from A-3 to PD-IP and a Special Exception to permit a maximum 1.0 FAR for data center use.</t>
        </is>
      </c>
      <c r="K166" t="inlineStr">
        <is>
          <t>219</t>
        </is>
      </c>
      <c r="L166" t="inlineStr">
        <is>
          <t>030292034000</t>
        </is>
      </c>
      <c r="M166" t="n">
        <v>39.021964</v>
      </c>
      <c r="N166" t="n">
        <v>-77.414941</v>
      </c>
      <c r="O166" t="inlineStr">
        <is>
          <t>https://logis.loudoun.gov/gis/rest/services/Projects/LOLA_DATA/MapServer/0/query?where=PlanNumber%3D%27ZMAP-2021-0014%27&amp;outFields=PlanNumber,PlanType,PlanStatus,PlanName,PlanApplicationDate,PlanDescription&amp;f=html</t>
        </is>
      </c>
    </row>
    <row r="167">
      <c r="A167" t="n">
        <v>636</v>
      </c>
      <c r="B167" t="n">
        <v>389</v>
      </c>
      <c r="C167" t="inlineStr">
        <is>
          <t>1501 MORAN ROAD</t>
        </is>
      </c>
      <c r="D167" t="inlineStr">
        <is>
          <t>Zoning/legislative</t>
        </is>
      </c>
      <c r="E167" t="inlineStr">
        <is>
          <t>Approved, not yet built (inferred)</t>
        </is>
      </c>
      <c r="F167" t="inlineStr">
        <is>
          <t>County-stated status of application(s): Approved. Built/not-built is INFERRED: no mapped data center building lies within the application area.</t>
        </is>
      </c>
      <c r="G167" t="inlineStr">
        <is>
          <t>SPEX-2021-0040</t>
        </is>
      </c>
      <c r="H167" t="inlineStr">
        <is>
          <t>SPEX-2021-0040 (Special Exception, Approved); ZRTD-2021-0008 (Zoning Map Amendment, Approved)</t>
        </is>
      </c>
      <c r="I167" t="inlineStr">
        <is>
          <t>2021-09-20</t>
        </is>
      </c>
      <c r="J167" t="inlineStr">
        <is>
          <t>1501 MORAN ROAD : A Zoning Conversion to convert the property to PD-IP district pursuantto the Revised 1993 Zoning Ordinance and a Special Exception to increase density to1.0 FAR considering developing with data center use.</t>
        </is>
      </c>
      <c r="M167" t="n">
        <v>38.995049</v>
      </c>
      <c r="N167" t="n">
        <v>-77.446133</v>
      </c>
      <c r="O167" t="inlineStr">
        <is>
          <t>https://logis.loudoun.gov/gis/rest/services/Projects/LOLA_DATA/MapServer/0/query?where=PlanNumber%3D%27ZRTD-2021-0008%27&amp;outFields=PlanNumber,PlanType,PlanStatus,PlanName,PlanApplicationDate,PlanDescription&amp;f=html</t>
        </is>
      </c>
    </row>
    <row r="168">
      <c r="A168" t="n">
        <v>637</v>
      </c>
      <c r="B168" t="n">
        <v>390</v>
      </c>
      <c r="C168" t="inlineStr">
        <is>
          <t>POLAND RD DATA CENTER YARD EXPANSION</t>
        </is>
      </c>
      <c r="D168" t="inlineStr">
        <is>
          <t>Zoning/legislative</t>
        </is>
      </c>
      <c r="E168" t="inlineStr">
        <is>
          <t>Approved, not yet built (inferred)</t>
        </is>
      </c>
      <c r="F168" t="inlineStr">
        <is>
          <t>County-stated status of application(s): Approved. Built/not-built is INFERRED: no mapped data center building lies within the application area.</t>
        </is>
      </c>
      <c r="G168" t="inlineStr">
        <is>
          <t>SPEX-2021-0041</t>
        </is>
      </c>
      <c r="H168" t="inlineStr">
        <is>
          <t>SPEX-2021-0041 (Special Exception, Approved)</t>
        </is>
      </c>
      <c r="I168" t="inlineStr">
        <is>
          <t>2021-09-20</t>
        </is>
      </c>
      <c r="J168" t="inlineStr">
        <is>
          <t>POLAND RD DATA CENTER YARD EXPANSION : Special Exception to expand a previously approved (SPEX-2019-0028) equipment yard associated with a data center.</t>
        </is>
      </c>
      <c r="M168" t="n">
        <v>38.916034</v>
      </c>
      <c r="N168" t="n">
        <v>-77.49109799999999</v>
      </c>
      <c r="O168" t="inlineStr">
        <is>
          <t>https://logis.loudoun.gov/gis/rest/services/Projects/LOLA_DATA/MapServer/0/query?where=PlanNumber%3D%27SPEX-2021-0041%27&amp;outFields=PlanNumber,PlanType,PlanStatus,PlanName,PlanApplicationDate,PlanDescription&amp;f=html</t>
        </is>
      </c>
    </row>
    <row r="169">
      <c r="A169" t="n">
        <v>638</v>
      </c>
      <c r="B169" t="n">
        <v>391</v>
      </c>
      <c r="C169" t="inlineStr">
        <is>
          <t>VANTAGE DATA CENTER</t>
        </is>
      </c>
      <c r="D169" t="inlineStr">
        <is>
          <t>Zoning/legislative</t>
        </is>
      </c>
      <c r="E169" t="inlineStr">
        <is>
          <t>Approved entitlement; buildings already on site</t>
        </is>
      </c>
      <c r="F169" t="inlineStr">
        <is>
          <t>County-stated status of application(s): Approved. Built/not-built is INFERRED: 2 data center building point(s) lie on/adjacent to the application area.</t>
        </is>
      </c>
      <c r="G169" t="inlineStr">
        <is>
          <t>SPEX-2022-0023</t>
        </is>
      </c>
      <c r="H169" t="inlineStr">
        <is>
          <t>SPEX-2022-0023 (Special Exception, Approved); ZMAP-2022-0007 (Zoning Map Amendment, Approved)</t>
        </is>
      </c>
      <c r="I169" t="inlineStr">
        <is>
          <t>2022-04-18</t>
        </is>
      </c>
      <c r="J169" t="inlineStr">
        <is>
          <t>VANTAGE DATA CENTER : A Zoning Map Amendment application to bring all seven parcels within the PD-IP district governed by the most updated version of the Revised1993 Loudoun County Zoning Ordinance.</t>
        </is>
      </c>
      <c r="K169" t="inlineStr">
        <is>
          <t>194, 198</t>
        </is>
      </c>
      <c r="L169" t="inlineStr">
        <is>
          <t>032155119000</t>
        </is>
      </c>
      <c r="M169" t="n">
        <v>38.997768</v>
      </c>
      <c r="N169" t="n">
        <v>-77.43002</v>
      </c>
      <c r="O169" t="inlineStr">
        <is>
          <t>https://logis.loudoun.gov/gis/rest/services/Projects/LOLA_DATA/MapServer/0/query?where=PlanNumber%3D%27ZMAP-2022-0007%27&amp;outFields=PlanNumber,PlanType,PlanStatus,PlanName,PlanApplicationDate,PlanDescription&amp;f=html</t>
        </is>
      </c>
    </row>
    <row r="170">
      <c r="A170" t="n">
        <v>639</v>
      </c>
      <c r="B170" t="n">
        <v>392</v>
      </c>
      <c r="C170" t="inlineStr">
        <is>
          <t>Dulles Distribution Center Phase 1 and 2</t>
        </is>
      </c>
      <c r="D170" t="inlineStr">
        <is>
          <t>Zoning/legislative</t>
        </is>
      </c>
      <c r="E170" t="inlineStr">
        <is>
          <t>Pending application</t>
        </is>
      </c>
      <c r="F170" t="inlineStr">
        <is>
          <t>County-stated status of application(s): In Review.</t>
        </is>
      </c>
      <c r="G170" t="inlineStr">
        <is>
          <t>ZMAP-2024-0013</t>
        </is>
      </c>
      <c r="H170" t="inlineStr">
        <is>
          <t>ZMAP-2024-0013 (Zoning Map Amendment, In Review); SPEX-2024-0056 (Special Exception, In Review)</t>
        </is>
      </c>
      <c r="I170" t="inlineStr">
        <is>
          <t>2024-09-04</t>
        </is>
      </c>
      <c r="J170" t="inlineStr">
        <is>
          <t>See LEGI-2024-0039 for all documents, timeline, and workflow – DULLES DISTRIBUTION CENTER 1 &amp; 2: A Special Exception to allow data center development up to a 1.0 floor area ratio (FAR) on a 32.48-acre site.</t>
        </is>
      </c>
      <c r="M170" t="n">
        <v>38.977889</v>
      </c>
      <c r="N170" t="n">
        <v>-77.442348</v>
      </c>
      <c r="O170" t="inlineStr">
        <is>
          <t>https://logis.loudoun.gov/gis/rest/services/Projects/LOLA_DATA/MapServer/0/query?where=PlanNumber%3D%27SPEX-2024-0056%27&amp;outFields=PlanNumber,PlanType,PlanStatus,PlanName,PlanApplicationDate,PlanDescription&amp;f=html</t>
        </is>
      </c>
    </row>
    <row r="171">
      <c r="A171" t="n">
        <v>640</v>
      </c>
      <c r="B171" t="n">
        <v>393</v>
      </c>
      <c r="C171" t="inlineStr">
        <is>
          <t>LOUDOUN WEST</t>
        </is>
      </c>
      <c r="D171" t="inlineStr">
        <is>
          <t>Zoning/legislative</t>
        </is>
      </c>
      <c r="E171" t="inlineStr">
        <is>
          <t>Approved entitlement; buildings already on site</t>
        </is>
      </c>
      <c r="F171" t="inlineStr">
        <is>
          <t>County-stated status of application(s): Approved. Built/not-built is INFERRED: 4 data center building point(s) lie on/adjacent to the application area.</t>
        </is>
      </c>
      <c r="G171" t="inlineStr">
        <is>
          <t>SPMI-2018-0016</t>
        </is>
      </c>
      <c r="H171" t="inlineStr">
        <is>
          <t>SPMI-2018-0016 (Special Exception, Approved)</t>
        </is>
      </c>
      <c r="I171" t="inlineStr">
        <is>
          <t>2018-11-07</t>
        </is>
      </c>
      <c r="J171" t="inlineStr">
        <is>
          <t>LOUDOUN WEST : A Minor Special Exception to modify Section 5-664(D)(1), Additional regulations for data centers that require provision of sidewalks or trails along any side of a public road that abuts the property.</t>
        </is>
      </c>
      <c r="K171" t="inlineStr">
        <is>
          <t>201, 202, 209, 210</t>
        </is>
      </c>
      <c r="L171" t="inlineStr">
        <is>
          <t>193178229000; 193274995000; 193276668000; 193281883000</t>
        </is>
      </c>
      <c r="M171" t="n">
        <v>39.057147</v>
      </c>
      <c r="N171" t="n">
        <v>-77.54690100000001</v>
      </c>
      <c r="O171" t="inlineStr">
        <is>
          <t>https://logis.loudoun.gov/gis/rest/services/Projects/LOLA_DATA/MapServer/0/query?where=PlanNumber%3D%27SPMI-2018-0016%27&amp;outFields=PlanNumber,PlanType,PlanStatus,PlanName,PlanApplicationDate,PlanDescription&amp;f=html</t>
        </is>
      </c>
    </row>
    <row r="172">
      <c r="A172" t="n">
        <v>641</v>
      </c>
      <c r="B172" t="n">
        <v>394</v>
      </c>
      <c r="C172" t="inlineStr">
        <is>
          <t>EQUINIX LIGHTING</t>
        </is>
      </c>
      <c r="D172" t="inlineStr">
        <is>
          <t>Zoning/legislative</t>
        </is>
      </c>
      <c r="E172" t="inlineStr">
        <is>
          <t>Approved entitlement; buildings already on site</t>
        </is>
      </c>
      <c r="F172" t="inlineStr">
        <is>
          <t>County-stated status of application(s): Approved. Built/not-built is INFERRED: 1 data center building point(s) lie on/adjacent to the application area.</t>
        </is>
      </c>
      <c r="G172" t="inlineStr">
        <is>
          <t>SPMI-2020-0014</t>
        </is>
      </c>
      <c r="H172" t="inlineStr">
        <is>
          <t>SPMI-2020-0014 (Special Exception, Approved)</t>
        </is>
      </c>
      <c r="I172" t="inlineStr">
        <is>
          <t>2020-12-21</t>
        </is>
      </c>
      <c r="J172" t="inlineStr">
        <is>
          <t>EQUINIX LIGHTING : A Minor Special Exception to modify Section 5-664(C), Data Center, Exterior Lighting, of the Revised 1993 Loudoun County Zoning Ordinance.</t>
        </is>
      </c>
      <c r="K172" t="inlineStr">
        <is>
          <t>123</t>
        </is>
      </c>
      <c r="L172" t="inlineStr">
        <is>
          <t>061200160000</t>
        </is>
      </c>
      <c r="M172" t="n">
        <v>39.011784</v>
      </c>
      <c r="N172" t="n">
        <v>-77.454928</v>
      </c>
      <c r="O172" t="inlineStr">
        <is>
          <t>https://logis.loudoun.gov/gis/rest/services/Projects/LOLA_DATA/MapServer/0/query?where=PlanNumber%3D%27SPMI-2020-0014%27&amp;outFields=PlanNumber,PlanType,PlanStatus,PlanName,PlanApplicationDate,PlanDescription&amp;f=html</t>
        </is>
      </c>
    </row>
    <row r="173">
      <c r="A173" t="n">
        <v>642</v>
      </c>
      <c r="B173" t="n">
        <v>395</v>
      </c>
      <c r="C173" t="inlineStr">
        <is>
          <t>ASHBURN CORPORATE CENTER BLDGS 5 &amp; 6</t>
        </is>
      </c>
      <c r="D173" t="inlineStr">
        <is>
          <t>Site/engineering plan</t>
        </is>
      </c>
      <c r="E173" t="inlineStr">
        <is>
          <t>Approved entitlement; buildings already on site</t>
        </is>
      </c>
      <c r="F173" t="inlineStr">
        <is>
          <t>County-stated status of application(s): Approved. Built/not-built is INFERRED: 2 data center building point(s) lie on/adjacent to the application area.</t>
        </is>
      </c>
      <c r="G173" t="inlineStr">
        <is>
          <t>STMP-2007-0001</t>
        </is>
      </c>
      <c r="H173" t="inlineStr">
        <is>
          <t>STMP-2007-0001 (Engineering Plan, Approved)</t>
        </is>
      </c>
      <c r="I173" t="inlineStr">
        <is>
          <t>2007-08-16</t>
        </is>
      </c>
      <c r="J173" t="inlineStr">
        <is>
          <t>ASHBURN CORPORATE CENTER BLDGS 5 &amp; 6 : REQUEST APPROVAL OF A MODIFIED PROCESS SITE PLAN FOR A ONE-STORY DATA CENTER BUILDING (BUILDING 6) AND A TWO-STORY DATA CENTER BUILDING WITH ACCESSORY OFFICE (BUILDING 5) WITH THE ASSOCIATED PARKING AND UTILITY EXTENSIONS. er</t>
        </is>
      </c>
      <c r="K173" t="inlineStr">
        <is>
          <t>42, 43</t>
        </is>
      </c>
      <c r="L173" t="inlineStr">
        <is>
          <t>060170268000</t>
        </is>
      </c>
      <c r="M173" t="n">
        <v>39.02084</v>
      </c>
      <c r="N173" t="n">
        <v>-77.463016</v>
      </c>
      <c r="O173" t="inlineStr">
        <is>
          <t>https://logis.loudoun.gov/gis/rest/services/Projects/LOLA_DATA/MapServer/0/query?where=PlanNumber%3D%27STMP-2007-0001%27&amp;outFields=PlanNumber,PlanType,PlanStatus,PlanName,PlanApplicationDate,PlanDescription&amp;f=html</t>
        </is>
      </c>
    </row>
    <row r="174">
      <c r="A174" t="n">
        <v>643</v>
      </c>
      <c r="B174" t="n">
        <v>396</v>
      </c>
      <c r="C174" t="inlineStr">
        <is>
          <t>ASHBURN CORPORATE CENTER PHASE IV</t>
        </is>
      </c>
      <c r="D174" t="inlineStr">
        <is>
          <t>Site/engineering plan</t>
        </is>
      </c>
      <c r="E174" t="inlineStr">
        <is>
          <t>Approved entitlement; buildings already on site</t>
        </is>
      </c>
      <c r="F174" t="inlineStr">
        <is>
          <t>County-stated status of application(s): Approved. Built/not-built is INFERRED: 1 data center building point(s) lie on/adjacent to the application area.</t>
        </is>
      </c>
      <c r="G174" t="inlineStr">
        <is>
          <t>STMP-2010-0001</t>
        </is>
      </c>
      <c r="H174" t="inlineStr">
        <is>
          <t>STMP-2010-0001 (Engineering Plan, Approved)</t>
        </is>
      </c>
      <c r="I174" t="inlineStr">
        <is>
          <t>2010-07-23</t>
        </is>
      </c>
      <c r="J174" t="inlineStr">
        <is>
          <t>ASHBURN CORPORATE CENTER PHASE IV : REQUEST APPROVAL OF A SITE PLAN FOR A THREE HUNDRED THIRTEEN THOUSAND THREE HUNDRED SEVENTY FOUR (313,374) SQUARE FOOT BUILDING AND PARKING FOR A DATA CENTER. DAS "ESI REVIEW. COUNTY AWAITING ESI MINIMUM SUBMISSION VERIFICATION PRIOR TO ACCEPTANCE AND REVIEW."</t>
        </is>
      </c>
      <c r="K174" t="inlineStr">
        <is>
          <t>49</t>
        </is>
      </c>
      <c r="L174" t="inlineStr">
        <is>
          <t>061467942000</t>
        </is>
      </c>
      <c r="M174" t="n">
        <v>39.017398</v>
      </c>
      <c r="N174" t="n">
        <v>-77.46592800000001</v>
      </c>
      <c r="O174" t="inlineStr">
        <is>
          <t>https://logis.loudoun.gov/gis/rest/services/Projects/LOLA_DATA/MapServer/0/query?where=PlanNumber%3D%27STMP-2010-0001%27&amp;outFields=PlanNumber,PlanType,PlanStatus,PlanName,PlanApplicationDate,PlanDescription&amp;f=html</t>
        </is>
      </c>
    </row>
    <row r="175">
      <c r="A175" t="n">
        <v>644</v>
      </c>
      <c r="B175" t="n">
        <v>397</v>
      </c>
      <c r="C175" t="inlineStr">
        <is>
          <t>ASHBURN CROSSING II</t>
        </is>
      </c>
      <c r="D175" t="inlineStr">
        <is>
          <t>Site/engineering plan</t>
        </is>
      </c>
      <c r="E175" t="inlineStr">
        <is>
          <t>Approved entitlement; buildings already on site</t>
        </is>
      </c>
      <c r="F175" t="inlineStr">
        <is>
          <t>County-stated status of application(s): Approved. Built/not-built is INFERRED: 3 data center building point(s) lie on/adjacent to the application area.</t>
        </is>
      </c>
      <c r="G175" t="inlineStr">
        <is>
          <t>STMP-2013-0001</t>
        </is>
      </c>
      <c r="H175" t="inlineStr">
        <is>
          <t>STMP-2013-0001 (Engineering Plan, Approved)</t>
        </is>
      </c>
      <c r="I175" t="inlineStr">
        <is>
          <t>2013-02-25</t>
        </is>
      </c>
      <c r="J175" t="inlineStr">
        <is>
          <t>ASHBURN CROSSING II : REQUEST APPROVAL OF A MODIFIED PROCESS SITE PLAN (STMP) FOR A FOUR HUNDRED THIRTY FIVE THOUSAND FIVE SQUARE FOOT (435,005) DATA CENTER RP</t>
        </is>
      </c>
      <c r="K175" t="inlineStr">
        <is>
          <t>58, 59, 60</t>
        </is>
      </c>
      <c r="L175" t="inlineStr">
        <is>
          <t>060485060000</t>
        </is>
      </c>
      <c r="M175" t="n">
        <v>39.029327</v>
      </c>
      <c r="N175" t="n">
        <v>-77.45997699999999</v>
      </c>
      <c r="O175" t="inlineStr">
        <is>
          <t>https://logis.loudoun.gov/gis/rest/services/Projects/LOLA_DATA/MapServer/0/query?where=PlanNumber%3D%27STMP-2013-0001%27&amp;outFields=PlanNumber,PlanType,PlanStatus,PlanName,PlanApplicationDate,PlanDescription&amp;f=html</t>
        </is>
      </c>
    </row>
    <row r="176">
      <c r="A176" t="n">
        <v>645</v>
      </c>
      <c r="B176" t="n">
        <v>398</v>
      </c>
      <c r="C176" t="inlineStr">
        <is>
          <t>CYRUSONE LOUDOUN TECH CENTER</t>
        </is>
      </c>
      <c r="D176" t="inlineStr">
        <is>
          <t>Site/engineering plan</t>
        </is>
      </c>
      <c r="E176" t="inlineStr">
        <is>
          <t>Approved, not yet built (inferred)</t>
        </is>
      </c>
      <c r="F176" t="inlineStr">
        <is>
          <t>County-stated status of application(s): Approved. Built/not-built is INFERRED: no mapped data center building lies within the application area.</t>
        </is>
      </c>
      <c r="G176" t="inlineStr">
        <is>
          <t>STMP-2014-0002</t>
        </is>
      </c>
      <c r="H176" t="inlineStr">
        <is>
          <t>STMP-2014-0002 (Engineering Plan, Approved)</t>
        </is>
      </c>
      <c r="I176" t="inlineStr">
        <is>
          <t>2014-03-04</t>
        </is>
      </c>
      <c r="J176" t="inlineStr">
        <is>
          <t>CYRUSONE LOUDOUN TECH CENTER : REQUEST APPROVAL OF A SITE PLAN TO CONSTRUCT A DATA CENTER/OFFICE AND ASSOCIATED INFRASTRUCTURE IN A INDUSTRIAL ZONING DISTRICT. SMK</t>
        </is>
      </c>
      <c r="M176" t="n">
        <v>39.117252</v>
      </c>
      <c r="N176" t="n">
        <v>-77.578317</v>
      </c>
      <c r="O176" t="inlineStr">
        <is>
          <t>https://logis.loudoun.gov/gis/rest/services/Projects/LOLA_DATA/MapServer/0/query?where=PlanNumber%3D%27STMP-2014-0002%27&amp;outFields=PlanNumber,PlanType,PlanStatus,PlanName,PlanApplicationDate,PlanDescription&amp;f=html</t>
        </is>
      </c>
    </row>
    <row r="177">
      <c r="A177" t="n">
        <v>646</v>
      </c>
      <c r="B177" t="n">
        <v>399</v>
      </c>
      <c r="C177" t="inlineStr">
        <is>
          <t>ICSP @ ARCOLA</t>
        </is>
      </c>
      <c r="D177" t="inlineStr">
        <is>
          <t>Site/engineering plan</t>
        </is>
      </c>
      <c r="E177" t="inlineStr">
        <is>
          <t>Approved entitlement; buildings already on site</t>
        </is>
      </c>
      <c r="F177" t="inlineStr">
        <is>
          <t>County-stated status of application(s): Approved. Built/not-built is INFERRED: 6 data center building point(s) lie on/adjacent to the application area.</t>
        </is>
      </c>
      <c r="G177" t="inlineStr">
        <is>
          <t>STMP-2015-0006</t>
        </is>
      </c>
      <c r="H177" t="inlineStr">
        <is>
          <t>STMP-2015-0006 (Engineering Plan, Approved); STMP-2021-0014 (Engineering Plan, Approved)</t>
        </is>
      </c>
      <c r="I177" t="inlineStr">
        <is>
          <t>2015-06-23</t>
        </is>
      </c>
      <c r="J177" t="inlineStr">
        <is>
          <t>ICSP @ ARCOLA : REQUEST APPROVAL OFA MODIFIED PROCESS SITE PLAN (STMP) FOR A FAST TRACK SITE PLAN TO ADD A 15,000 SF DATA CENTER BUILDING, IN THE PLANNED DEVELOPMENT GENERAL INDUSTRIAL (PDGI) ZONING DISTRICT. AM</t>
        </is>
      </c>
      <c r="K177" t="inlineStr">
        <is>
          <t>71, 72, 73, 74, 75, 153</t>
        </is>
      </c>
      <c r="L177" t="inlineStr">
        <is>
          <t>162392026000</t>
        </is>
      </c>
      <c r="M177" t="n">
        <v>38.948735</v>
      </c>
      <c r="N177" t="n">
        <v>-77.52183100000001</v>
      </c>
      <c r="O177" t="inlineStr">
        <is>
          <t>https://logis.loudoun.gov/gis/rest/services/Projects/LOLA_DATA/MapServer/0/query?where=PlanNumber%3D%27STMP-2021-0014%27&amp;outFields=PlanNumber,PlanType,PlanStatus,PlanName,PlanApplicationDate,PlanDescription&amp;f=html</t>
        </is>
      </c>
    </row>
    <row r="178">
      <c r="A178" t="n">
        <v>647</v>
      </c>
      <c r="B178" t="n">
        <v>400</v>
      </c>
      <c r="C178" t="inlineStr">
        <is>
          <t>COPT PATRIOT POINT, PHASE 1A &amp; 1B</t>
        </is>
      </c>
      <c r="D178" t="inlineStr">
        <is>
          <t>Site/engineering plan</t>
        </is>
      </c>
      <c r="E178" t="inlineStr">
        <is>
          <t>Approved entitlement; buildings already on site</t>
        </is>
      </c>
      <c r="F178" t="inlineStr">
        <is>
          <t>County-stated status of application(s): Approved. Built/not-built is INFERRED: 3 data center building point(s) lie on/adjacent to the application area.</t>
        </is>
      </c>
      <c r="G178" t="inlineStr">
        <is>
          <t>STMP-2015-0008</t>
        </is>
      </c>
      <c r="H178" t="inlineStr">
        <is>
          <t>STMP-2015-0008 (Engineering Plan, Approved)</t>
        </is>
      </c>
      <c r="I178" t="inlineStr">
        <is>
          <t>2015-08-18</t>
        </is>
      </c>
      <c r="J178" t="inlineStr">
        <is>
          <t>COPT PATRIOT POINT, PHASE 1A &amp; 1B : REQUEST APPROVAL OF A SITE PLAN MODIFIED PROCESS (STMP) FOR THE CONSTRUCTION OF A DATA CENTER, IN CONJUNCTION WITH SBWV-2015-0007 IN THE PLANNED DEVELOPMENT-INDUSTRIAL PARK (PDIP) ZONING DISTRICT. KI</t>
        </is>
      </c>
      <c r="K178" t="inlineStr">
        <is>
          <t>76, 77, 81</t>
        </is>
      </c>
      <c r="L178" t="inlineStr">
        <is>
          <t>060307119000</t>
        </is>
      </c>
      <c r="M178" t="n">
        <v>39.026154</v>
      </c>
      <c r="N178" t="n">
        <v>-77.451162</v>
      </c>
      <c r="O178" t="inlineStr">
        <is>
          <t>https://logis.loudoun.gov/gis/rest/services/Projects/LOLA_DATA/MapServer/0/query?where=PlanNumber%3D%27STMP-2015-0008%27&amp;outFields=PlanNumber,PlanType,PlanStatus,PlanName,PlanApplicationDate,PlanDescription&amp;f=html</t>
        </is>
      </c>
    </row>
    <row r="179">
      <c r="A179" t="n">
        <v>648</v>
      </c>
      <c r="B179" t="n">
        <v>401</v>
      </c>
      <c r="C179" t="inlineStr">
        <is>
          <t>COPT PATRIOT POINT, PHASE II</t>
        </is>
      </c>
      <c r="D179" t="inlineStr">
        <is>
          <t>Site/engineering plan</t>
        </is>
      </c>
      <c r="E179" t="inlineStr">
        <is>
          <t>Approved entitlement; buildings already on site</t>
        </is>
      </c>
      <c r="F179" t="inlineStr">
        <is>
          <t>County-stated status of application(s): Approved. Built/not-built is INFERRED: 3 data center building point(s) lie on/adjacent to the application area.</t>
        </is>
      </c>
      <c r="G179" t="inlineStr">
        <is>
          <t>STMP-2015-0010</t>
        </is>
      </c>
      <c r="H179" t="inlineStr">
        <is>
          <t>STMP-2015-0010 (Engineering Plan, Approved)</t>
        </is>
      </c>
      <c r="I179" t="inlineStr">
        <is>
          <t>2015-12-04</t>
        </is>
      </c>
      <c r="J179" t="inlineStr">
        <is>
          <t>COPT PATRIOT POINT, PHASE II : REQUEST APPROVAL OF A MODIFIED PROCESS SITE PLAN (STMP) FOR THE CONSTRUCTION OF A DATA CENTER, IN THE PLANNED DEVELOPMENT-INDUSTRIAL PARK (PDIP) ZONING DISTRICT. KI</t>
        </is>
      </c>
      <c r="K179" t="inlineStr">
        <is>
          <t>76, 77, 81</t>
        </is>
      </c>
      <c r="L179" t="inlineStr">
        <is>
          <t>060307119000</t>
        </is>
      </c>
      <c r="M179" t="n">
        <v>39.026154</v>
      </c>
      <c r="N179" t="n">
        <v>-77.451162</v>
      </c>
      <c r="O179" t="inlineStr">
        <is>
          <t>https://logis.loudoun.gov/gis/rest/services/Projects/LOLA_DATA/MapServer/0/query?where=PlanNumber%3D%27STMP-2015-0010%27&amp;outFields=PlanNumber,PlanType,PlanStatus,PlanName,PlanApplicationDate,PlanDescription&amp;f=html</t>
        </is>
      </c>
    </row>
    <row r="180">
      <c r="A180" t="n">
        <v>649</v>
      </c>
      <c r="B180" t="n">
        <v>402</v>
      </c>
      <c r="C180" t="inlineStr">
        <is>
          <t>ACC-10 DATA CENTER</t>
        </is>
      </c>
      <c r="D180" t="inlineStr">
        <is>
          <t>Site/engineering plan</t>
        </is>
      </c>
      <c r="E180" t="inlineStr">
        <is>
          <t>Approved entitlement; buildings already on site</t>
        </is>
      </c>
      <c r="F180" t="inlineStr">
        <is>
          <t>County-stated status of application(s): Approved. Built/not-built is INFERRED: 1 data center building point(s) lie on/adjacent to the application area.</t>
        </is>
      </c>
      <c r="G180" t="inlineStr">
        <is>
          <t>STMP-2016-0007</t>
        </is>
      </c>
      <c r="H180" t="inlineStr">
        <is>
          <t>STMP-2016-0007 (Engineering Plan, Approved)</t>
        </is>
      </c>
      <c r="I180" t="inlineStr">
        <is>
          <t>2016-11-14</t>
        </is>
      </c>
      <c r="J180" t="inlineStr">
        <is>
          <t>ACC-10 DATA CENTER : REQUEST APPROVAL OF A MODIFIED SITE PLAN (STMP) FOR THE DESIGN OF A TWO HUNDRED EIGHTY-EIGHT THOUSAND FOUR HUNDRED THREE (288,403) SQUARE FOOT DATA CENTER BUILDING AND ASSOCIATED PARKING, UTILITIES, AND INFRASTRUCTURE, IN THE PLANNED DEVELOPMENT-OFFICE PARK (PDOP) ZONING DISTRIC</t>
        </is>
      </c>
      <c r="K180" t="inlineStr">
        <is>
          <t>94</t>
        </is>
      </c>
      <c r="L180" t="inlineStr">
        <is>
          <t>061268762000</t>
        </is>
      </c>
      <c r="M180" t="n">
        <v>39.013296</v>
      </c>
      <c r="N180" t="n">
        <v>-77.46558899999999</v>
      </c>
      <c r="O180" t="inlineStr">
        <is>
          <t>https://logis.loudoun.gov/gis/rest/services/Projects/LOLA_DATA/MapServer/0/query?where=PlanNumber%3D%27STMP-2016-0007%27&amp;outFields=PlanNumber,PlanType,PlanStatus,PlanName,PlanApplicationDate,PlanDescription&amp;f=html</t>
        </is>
      </c>
    </row>
    <row r="181">
      <c r="A181" t="n">
        <v>650</v>
      </c>
      <c r="B181" t="n">
        <v>403</v>
      </c>
      <c r="C181" t="inlineStr">
        <is>
          <t>TRUE NORTH DATA PH 1</t>
        </is>
      </c>
      <c r="D181" t="inlineStr">
        <is>
          <t>Site/engineering plan</t>
        </is>
      </c>
      <c r="E181" t="inlineStr">
        <is>
          <t>Approved entitlement; buildings already on site</t>
        </is>
      </c>
      <c r="F181" t="inlineStr">
        <is>
          <t>County-stated status of application(s): Approved. Built/not-built is INFERRED: 5 data center building point(s) lie on/adjacent to the application area.</t>
        </is>
      </c>
      <c r="G181" t="inlineStr">
        <is>
          <t>STMP-2017-0009</t>
        </is>
      </c>
      <c r="H181" t="inlineStr">
        <is>
          <t>STMP-2017-0009 (Engineering Plan, Approved)</t>
        </is>
      </c>
      <c r="I181" t="inlineStr">
        <is>
          <t>2017-08-28</t>
        </is>
      </c>
      <c r="J181" t="inlineStr">
        <is>
          <t>TRUE NORTH DATA PH 1 : REQUEST APPROVAL OF A MODIFIED PROCESS SITE PLAN (STMP) TO DEVELOP AN OFFICE PARK FOR A DATA CENTER WITH ASSOCIATED UTILITIES, IN THE TRANSITIONAL RESIDENTIAL-10 (TR10) ZONING DISTRICT. HV</t>
        </is>
      </c>
      <c r="K181" t="inlineStr">
        <is>
          <t>104, 105, 106, 107, 197</t>
        </is>
      </c>
      <c r="L181" t="inlineStr">
        <is>
          <t>194103673000</t>
        </is>
      </c>
      <c r="M181" t="n">
        <v>39.043762</v>
      </c>
      <c r="N181" t="n">
        <v>-77.537139</v>
      </c>
      <c r="O181" t="inlineStr">
        <is>
          <t>https://logis.loudoun.gov/gis/rest/services/Projects/LOLA_DATA/MapServer/0/query?where=PlanNumber%3D%27STMP-2017-0009%27&amp;outFields=PlanNumber,PlanType,PlanStatus,PlanName,PlanApplicationDate,PlanDescription&amp;f=html</t>
        </is>
      </c>
    </row>
    <row r="182">
      <c r="A182" t="n">
        <v>651</v>
      </c>
      <c r="B182" t="n">
        <v>404</v>
      </c>
      <c r="C182" t="inlineStr">
        <is>
          <t>LOUDOUN CENTER RHINO PH 1</t>
        </is>
      </c>
      <c r="D182" t="inlineStr">
        <is>
          <t>Site/engineering plan</t>
        </is>
      </c>
      <c r="E182" t="inlineStr">
        <is>
          <t>Approved, not yet built (inferred)</t>
        </is>
      </c>
      <c r="F182" t="inlineStr">
        <is>
          <t>County-stated status of application(s): Approved. Built/not-built is INFERRED: no mapped data center building lies within the application area.</t>
        </is>
      </c>
      <c r="G182" t="inlineStr">
        <is>
          <t>STMP-2017-0013</t>
        </is>
      </c>
      <c r="H182" t="inlineStr">
        <is>
          <t>STMP-2017-0013 (Engineering Plan, Approved)</t>
        </is>
      </c>
      <c r="I182" t="inlineStr">
        <is>
          <t>2017-12-01</t>
        </is>
      </c>
      <c r="J182" t="inlineStr">
        <is>
          <t>LOUDOUN CENTER RHINO PH 1 : REQUEST APPROVAL OF A MODIFIED PROCESS SITE PLAN (STMP) FOR THE CONSTRUCTION OF A TWO STORY DATA CENTER BUILDING AND ASSOCIATED INFRASTRUCTURE, IN THE PLANNED DEVELOPMENT- OFFICE PARK (PDOP) ZONING DISTRICT. HV</t>
        </is>
      </c>
      <c r="M182" t="n">
        <v>39.117252</v>
      </c>
      <c r="N182" t="n">
        <v>-77.578317</v>
      </c>
      <c r="O182" t="inlineStr">
        <is>
          <t>https://logis.loudoun.gov/gis/rest/services/Projects/LOLA_DATA/MapServer/0/query?where=PlanNumber%3D%27STMP-2017-0013%27&amp;outFields=PlanNumber,PlanType,PlanStatus,PlanName,PlanApplicationDate,PlanDescription&amp;f=html</t>
        </is>
      </c>
    </row>
    <row r="183">
      <c r="A183" t="n">
        <v>652</v>
      </c>
      <c r="B183" t="n">
        <v>405</v>
      </c>
      <c r="C183" t="inlineStr">
        <is>
          <t>ASHBURN NEXUS</t>
        </is>
      </c>
      <c r="D183" t="inlineStr">
        <is>
          <t>Site/engineering plan</t>
        </is>
      </c>
      <c r="E183" t="inlineStr">
        <is>
          <t>Approved, not yet built (inferred)</t>
        </is>
      </c>
      <c r="F183" t="inlineStr">
        <is>
          <t>County-stated status of application(s): Approved. Built/not-built is INFERRED: no mapped data center building lies within the application area.</t>
        </is>
      </c>
      <c r="G183" t="inlineStr">
        <is>
          <t>STMP-2018-0001</t>
        </is>
      </c>
      <c r="H183" t="inlineStr">
        <is>
          <t>STMP-2018-0001 (Engineering Plan, Approved)</t>
        </is>
      </c>
      <c r="I183" t="inlineStr">
        <is>
          <t>2018-01-05</t>
        </is>
      </c>
      <c r="J183" t="inlineStr">
        <is>
          <t>ASHBURN NEXUS : REQUEST APPROVAL OF A SITE PLAN MODIFIED PROCESS (STMP) FOR THE CONSTRUCTION OF A ONE HUNDRED SIXTY FIVE THOUSAND SQUARE FOOT OF DATA CENTER, OFFICE FLOOR AREA, INCLUDING INFRASTRUCTURE, UTILITIES IN A PLANNED DEVELOPMENT OFFICE PARK (PDOP) ZONING DISTRICT. SMK</t>
        </is>
      </c>
      <c r="M183" t="n">
        <v>39.117252</v>
      </c>
      <c r="N183" t="n">
        <v>-77.578317</v>
      </c>
      <c r="O183" t="inlineStr">
        <is>
          <t>https://logis.loudoun.gov/gis/rest/services/Projects/LOLA_DATA/MapServer/0/query?where=PlanNumber%3D%27STMP-2018-0001%27&amp;outFields=PlanNumber,PlanType,PlanStatus,PlanName,PlanApplicationDate,PlanDescription&amp;f=html</t>
        </is>
      </c>
    </row>
    <row r="184">
      <c r="A184" t="n">
        <v>653</v>
      </c>
      <c r="B184" t="n">
        <v>406</v>
      </c>
      <c r="C184" t="inlineStr">
        <is>
          <t>LOUDOUN CENTER LT 1 ASH 2</t>
        </is>
      </c>
      <c r="D184" t="inlineStr">
        <is>
          <t>Site/engineering plan</t>
        </is>
      </c>
      <c r="E184" t="inlineStr">
        <is>
          <t>Approved entitlement; buildings already on site</t>
        </is>
      </c>
      <c r="F184" t="inlineStr">
        <is>
          <t>County-stated status of application(s): Approved. Built/not-built is INFERRED: 2 data center building point(s) lie on/adjacent to the application area.</t>
        </is>
      </c>
      <c r="G184" t="inlineStr">
        <is>
          <t>STMP-2018-0003</t>
        </is>
      </c>
      <c r="H184" t="inlineStr">
        <is>
          <t>STMP-2018-0003 (Engineering Plan, Approved)</t>
        </is>
      </c>
      <c r="I184" t="inlineStr">
        <is>
          <t>2018-02-09</t>
        </is>
      </c>
      <c r="J184" t="inlineStr">
        <is>
          <t>LOUDOUN CENTER LT 1 ASH 2 : REQUEST APPROVAL OF A MODIFIED PROCESS SITE PLAN (STMP) FOR THE CONSTRUCTION OF A ONE STORY DATA CENTER BUILDING AND ASSOCIATED INFRASTRUCTURE, IN THE PLANNED DEVELOPMENT- OFFICE PARK (PDOP) ZONING DISTRICT. HV</t>
        </is>
      </c>
      <c r="K184" t="inlineStr">
        <is>
          <t>108, 119</t>
        </is>
      </c>
      <c r="L184" t="inlineStr">
        <is>
          <t>061177666000; 061275931000</t>
        </is>
      </c>
      <c r="M184" t="n">
        <v>39.011389</v>
      </c>
      <c r="N184" t="n">
        <v>-77.463318</v>
      </c>
      <c r="O184" t="inlineStr">
        <is>
          <t>https://logis.loudoun.gov/gis/rest/services/Projects/LOLA_DATA/MapServer/0/query?where=PlanNumber%3D%27STMP-2018-0003%27&amp;outFields=PlanNumber,PlanType,PlanStatus,PlanName,PlanApplicationDate,PlanDescription&amp;f=html</t>
        </is>
      </c>
    </row>
    <row r="185">
      <c r="A185" t="n">
        <v>654</v>
      </c>
      <c r="B185" t="n">
        <v>407</v>
      </c>
      <c r="C185" t="inlineStr">
        <is>
          <t>PROJECT KALE</t>
        </is>
      </c>
      <c r="D185" t="inlineStr">
        <is>
          <t>Site/engineering plan</t>
        </is>
      </c>
      <c r="E185" t="inlineStr">
        <is>
          <t>Approved entitlement; buildings already on site</t>
        </is>
      </c>
      <c r="F185" t="inlineStr">
        <is>
          <t>County-stated status of application(s): Approved. Built/not-built is INFERRED: 3 data center building point(s) lie on/adjacent to the application area.</t>
        </is>
      </c>
      <c r="G185" t="inlineStr">
        <is>
          <t>STMP-2018-0007</t>
        </is>
      </c>
      <c r="H185" t="inlineStr">
        <is>
          <t>STMP-2018-0007 (Engineering Plan, Approved)</t>
        </is>
      </c>
      <c r="I185" t="inlineStr">
        <is>
          <t>2018-04-16</t>
        </is>
      </c>
      <c r="J185" t="inlineStr">
        <is>
          <t>PROJECT KALE : REQUEST APPROVAL OF A SITE PLAN MODIFIED PROCESS (STMP) FOR A TWO HUNDRED EIGHTY EIGHT THOUSAND (288,000) SQUARE FOOT DATA CENTER IN A PLANNED DEVELOPMENT INDUSTRIAL PARK (PDIP) ZONING DISTRICT. SMK</t>
        </is>
      </c>
      <c r="K185" t="inlineStr">
        <is>
          <t>118, 126, 127</t>
        </is>
      </c>
      <c r="L185" t="inlineStr">
        <is>
          <t>194498227000</t>
        </is>
      </c>
      <c r="M185" t="n">
        <v>39.05193</v>
      </c>
      <c r="N185" t="n">
        <v>-77.536203</v>
      </c>
      <c r="O185" t="inlineStr">
        <is>
          <t>https://logis.loudoun.gov/gis/rest/services/Projects/LOLA_DATA/MapServer/0/query?where=PlanNumber%3D%27STMP-2018-0007%27&amp;outFields=PlanNumber,PlanType,PlanStatus,PlanName,PlanApplicationDate,PlanDescription&amp;f=html</t>
        </is>
      </c>
    </row>
    <row r="186">
      <c r="A186" t="n">
        <v>655</v>
      </c>
      <c r="B186" t="n">
        <v>408</v>
      </c>
      <c r="C186" t="inlineStr">
        <is>
          <t>DIGITAL LOUDOUN IV BRODERICK</t>
        </is>
      </c>
      <c r="D186" t="inlineStr">
        <is>
          <t>Site/engineering plan</t>
        </is>
      </c>
      <c r="E186" t="inlineStr">
        <is>
          <t>Approved, not yet built (inferred)</t>
        </is>
      </c>
      <c r="F186" t="inlineStr">
        <is>
          <t>County-stated status of application(s): Approved. Built/not-built is INFERRED: no mapped data center building lies within the application area.</t>
        </is>
      </c>
      <c r="G186" t="inlineStr">
        <is>
          <t>STMP-2018-0011</t>
        </is>
      </c>
      <c r="H186" t="inlineStr">
        <is>
          <t>STMP-2018-0011 (Engineering Plan, Approved)</t>
        </is>
      </c>
      <c r="I186" t="inlineStr">
        <is>
          <t>2018-08-03</t>
        </is>
      </c>
      <c r="J186" t="inlineStr">
        <is>
          <t>DIGITAL LOUDOUN IV BRODERICK : REQUEST APPROVAL OF A MODIFIED PROCESS SITE PLAN (STMP) FOR THE CONSTRUCTION OF DATA CENTER FACILITIES AND ASSOCIATED INFRASTRUCTURE AND UTILITIES, IN THE PLANNED DEVELOPMENT- INDUSTRIAL PARK (PDIP) ZONING DISTRICT. HV</t>
        </is>
      </c>
      <c r="M186" t="n">
        <v>39.117252</v>
      </c>
      <c r="N186" t="n">
        <v>-77.578317</v>
      </c>
      <c r="O186" t="inlineStr">
        <is>
          <t>https://logis.loudoun.gov/gis/rest/services/Projects/LOLA_DATA/MapServer/0/query?where=PlanNumber%3D%27STMP-2018-0011%27&amp;outFields=PlanNumber,PlanType,PlanStatus,PlanName,PlanApplicationDate,PlanDescription&amp;f=html</t>
        </is>
      </c>
    </row>
    <row r="187">
      <c r="A187" t="n">
        <v>656</v>
      </c>
      <c r="B187" t="n">
        <v>409</v>
      </c>
      <c r="C187" t="inlineStr">
        <is>
          <t>QUANTUM PARK, CENTURION AT</t>
        </is>
      </c>
      <c r="D187" t="inlineStr">
        <is>
          <t>Site/engineering plan</t>
        </is>
      </c>
      <c r="E187" t="inlineStr">
        <is>
          <t>Approved entitlement; buildings already on site</t>
        </is>
      </c>
      <c r="F187" t="inlineStr">
        <is>
          <t>County-stated status of application(s): Approved. Built/not-built is INFERRED: 3 data center building point(s) lie on/adjacent to the application area.</t>
        </is>
      </c>
      <c r="G187" t="inlineStr">
        <is>
          <t>STMP-2018-0012</t>
        </is>
      </c>
      <c r="H187" t="inlineStr">
        <is>
          <t>STMP-2018-0012 (Engineering Plan, Approved)</t>
        </is>
      </c>
      <c r="I187" t="inlineStr">
        <is>
          <t>2018-08-06</t>
        </is>
      </c>
      <c r="J187" t="inlineStr">
        <is>
          <t>QUANTUM PARK, CENTURION AT : REQUEST APPROVAL OF A SITE PLAN MODIFIED PROCESS (STMP) FOR THE PROPOSED DATA CENTER BUILDINGS WITH SUPPORTIVE OFFICES, MECHANICAL YARDS, ASSOCIATED PARKING AND INFRASTRUCTURE IN A PLANNED DEVELOPMENT OFFICE PARK (PDOP) ZONING DISTRICT. SMK</t>
        </is>
      </c>
      <c r="K187" t="inlineStr">
        <is>
          <t>20, 124, 125</t>
        </is>
      </c>
      <c r="L187" t="inlineStr">
        <is>
          <t>061355894000; 088101859000; 088200644000</t>
        </is>
      </c>
      <c r="M187" t="n">
        <v>39.010895</v>
      </c>
      <c r="N187" t="n">
        <v>-77.47086</v>
      </c>
      <c r="O187" t="inlineStr">
        <is>
          <t>https://logis.loudoun.gov/gis/rest/services/Projects/LOLA_DATA/MapServer/0/query?where=PlanNumber%3D%27STMP-2018-0012%27&amp;outFields=PlanNumber,PlanType,PlanStatus,PlanName,PlanApplicationDate,PlanDescription&amp;f=html</t>
        </is>
      </c>
    </row>
    <row r="188">
      <c r="A188" t="n">
        <v>657</v>
      </c>
      <c r="B188" t="n">
        <v>410</v>
      </c>
      <c r="C188" t="inlineStr">
        <is>
          <t>LOUDOUN CENTER LC1B DATA CENTER</t>
        </is>
      </c>
      <c r="D188" t="inlineStr">
        <is>
          <t>Site/engineering plan</t>
        </is>
      </c>
      <c r="E188" t="inlineStr">
        <is>
          <t>Approved entitlement; buildings already on site</t>
        </is>
      </c>
      <c r="F188" t="inlineStr">
        <is>
          <t>County-stated status of application(s): Approved. Built/not-built is INFERRED: 1 data center building point(s) lie on/adjacent to the application area.</t>
        </is>
      </c>
      <c r="G188" t="inlineStr">
        <is>
          <t>STMP-2018-0013</t>
        </is>
      </c>
      <c r="H188" t="inlineStr">
        <is>
          <t>STMP-2018-0013 (Engineering Plan, Approved)</t>
        </is>
      </c>
      <c r="I188" t="inlineStr">
        <is>
          <t>2018-09-14</t>
        </is>
      </c>
      <c r="J188" t="inlineStr">
        <is>
          <t>LOUDOUN CENTER LC1B DATA CENTER : REQUEST APPROVAL OF A MODIFIED PROCESS SITE PLAN (STMP) FOR THE CONSTRUCTION OF A TWO STORY DATA CENTER BUILDING AND ASSOCIATED INFRASTRUCTURE, IN THE PLANNED DEVELOPMENT- OFFICE PARK (PDOP) ZONING DISTRICT. HV</t>
        </is>
      </c>
      <c r="K188" t="inlineStr">
        <is>
          <t>108</t>
        </is>
      </c>
      <c r="L188" t="inlineStr">
        <is>
          <t>061177666000</t>
        </is>
      </c>
      <c r="M188" t="n">
        <v>39.010287</v>
      </c>
      <c r="N188" t="n">
        <v>-77.46306300000001</v>
      </c>
      <c r="O188" t="inlineStr">
        <is>
          <t>https://logis.loudoun.gov/gis/rest/services/Projects/LOLA_DATA/MapServer/0/query?where=PlanNumber%3D%27STMP-2018-0013%27&amp;outFields=PlanNumber,PlanType,PlanStatus,PlanName,PlanApplicationDate,PlanDescription&amp;f=html</t>
        </is>
      </c>
    </row>
    <row r="189">
      <c r="A189" t="n">
        <v>658</v>
      </c>
      <c r="B189" t="n">
        <v>411</v>
      </c>
      <c r="C189" t="inlineStr">
        <is>
          <t>Q.R.</t>
        </is>
      </c>
      <c r="D189" t="inlineStr">
        <is>
          <t>Site/engineering plan</t>
        </is>
      </c>
      <c r="E189" t="inlineStr">
        <is>
          <t>Approved, not yet built (inferred)</t>
        </is>
      </c>
      <c r="F189" t="inlineStr">
        <is>
          <t>County-stated status of application(s): Approved. Built/not-built is INFERRED: no mapped data center building lies within the application area.</t>
        </is>
      </c>
      <c r="G189" t="inlineStr">
        <is>
          <t>STMP-2018-0015</t>
        </is>
      </c>
      <c r="H189" t="inlineStr">
        <is>
          <t>STMP-2018-0015 (Engineering Plan, Approved)</t>
        </is>
      </c>
      <c r="I189" t="inlineStr">
        <is>
          <t>2018-10-24</t>
        </is>
      </c>
      <c r="J189" t="inlineStr">
        <is>
          <t>Q.R. : REQUEST APPROVAL OF A MODIFIED PROCESS SITE PLAN (STMP) FOR FOUR (4) DATA CENTERS AND GUARDHOUSE WITH ASSOCIATED INFRASTRUCTURE, IN THE PLANNED DEVELOPMENT- INDUSTRIAL PARK (PDIP) AND SINGLE FAMILY RESIDENTIAL-1 (R1) ZONING DISTRICTS. HV</t>
        </is>
      </c>
      <c r="M189" t="n">
        <v>39.117252</v>
      </c>
      <c r="N189" t="n">
        <v>-77.578317</v>
      </c>
      <c r="O189" t="inlineStr">
        <is>
          <t>https://logis.loudoun.gov/gis/rest/services/Projects/LOLA_DATA/MapServer/0/query?where=PlanNumber%3D%27STMP-2018-0015%27&amp;outFields=PlanNumber,PlanType,PlanStatus,PlanName,PlanApplicationDate,PlanDescription&amp;f=html</t>
        </is>
      </c>
    </row>
    <row r="190">
      <c r="A190" t="n">
        <v>659</v>
      </c>
      <c r="B190" t="n">
        <v>412</v>
      </c>
      <c r="C190" t="inlineStr">
        <is>
          <t>TRUE NORTH DATA PH 2A</t>
        </is>
      </c>
      <c r="D190" t="inlineStr">
        <is>
          <t>Site/engineering plan</t>
        </is>
      </c>
      <c r="E190" t="inlineStr">
        <is>
          <t>Approved, not yet built (inferred)</t>
        </is>
      </c>
      <c r="F190" t="inlineStr">
        <is>
          <t>County-stated status of application(s): Approved. Built/not-built is INFERRED: no mapped data center building lies within the application area.</t>
        </is>
      </c>
      <c r="G190" t="inlineStr">
        <is>
          <t>STMP-2018-0017</t>
        </is>
      </c>
      <c r="H190" t="inlineStr">
        <is>
          <t>STMP-2018-0017 (Engineering Plan, Approved)</t>
        </is>
      </c>
      <c r="I190" t="inlineStr">
        <is>
          <t>2018-11-30</t>
        </is>
      </c>
      <c r="J190" t="inlineStr">
        <is>
          <t>TRUE NORTH DATA PH 2A : REQUEST APPROVAL OF A MODIFIED PROCESS SITE PLAN (STMP) FOR THE CONSTRUCTION OF THREE (3) DATA CENTER BUILDINGS AND ASSOCIATED INFRASTRUCTURE, IN THE PLANNED DEVELOPMENT- OFFICE PARK (PDOP) ZONING DISTRICT. HV</t>
        </is>
      </c>
      <c r="M190" t="n">
        <v>39.117252</v>
      </c>
      <c r="N190" t="n">
        <v>-77.578317</v>
      </c>
      <c r="O190" t="inlineStr">
        <is>
          <t>https://logis.loudoun.gov/gis/rest/services/Projects/LOLA_DATA/MapServer/0/query?where=PlanNumber%3D%27STMP-2018-0017%27&amp;outFields=PlanNumber,PlanType,PlanStatus,PlanName,PlanApplicationDate,PlanDescription&amp;f=html</t>
        </is>
      </c>
    </row>
    <row r="191">
      <c r="A191" t="n">
        <v>660</v>
      </c>
      <c r="B191" t="n">
        <v>413</v>
      </c>
      <c r="C191" t="inlineStr">
        <is>
          <t>DULLES HIGHPOINT PH 1</t>
        </is>
      </c>
      <c r="D191" t="inlineStr">
        <is>
          <t>Site/engineering plan</t>
        </is>
      </c>
      <c r="E191" t="inlineStr">
        <is>
          <t>Approved entitlement; buildings already on site</t>
        </is>
      </c>
      <c r="F191" t="inlineStr">
        <is>
          <t>County-stated status of application(s): Approved. Built/not-built is INFERRED: 2 data center building point(s) lie on/adjacent to the application area.</t>
        </is>
      </c>
      <c r="G191" t="inlineStr">
        <is>
          <t>STMP-2018-0019</t>
        </is>
      </c>
      <c r="H191" t="inlineStr">
        <is>
          <t>STMP-2018-0019 (Engineering Plan, Approved)</t>
        </is>
      </c>
      <c r="I191" t="inlineStr">
        <is>
          <t>2018-12-14</t>
        </is>
      </c>
      <c r="J191" t="inlineStr">
        <is>
          <t xml:space="preserve">DULLES HIGHPOINT PH 1 : REQUEST APPROVAL OF A MODIFIED PROCESS SITE PLAN (STMP) FOR THE CONSTRUCTION OF ONE (1) DATA CENTER, ONE (1) FLEX WAREHOUSE, AND ASSOCIATED INFRASTRUCTURE, IN THE PLANNED DEVELOPMENT- INDUSTRIAL PARK(PDIP) AND PLANNED DEVELOPMENT- RESEARCH AND DEVELOMPENT PARK (PDRDP) ZONING </t>
        </is>
      </c>
      <c r="K191" t="inlineStr">
        <is>
          <t>136, 142</t>
        </is>
      </c>
      <c r="L191" t="inlineStr">
        <is>
          <t>044193385000; 045494813000</t>
        </is>
      </c>
      <c r="M191" t="n">
        <v>38.996448</v>
      </c>
      <c r="N191" t="n">
        <v>-77.435669</v>
      </c>
      <c r="O191" t="inlineStr">
        <is>
          <t>https://logis.loudoun.gov/gis/rest/services/Projects/LOLA_DATA/MapServer/0/query?where=PlanNumber%3D%27STMP-2018-0019%27&amp;outFields=PlanNumber,PlanType,PlanStatus,PlanName,PlanApplicationDate,PlanDescription&amp;f=html</t>
        </is>
      </c>
    </row>
    <row r="192">
      <c r="A192" t="n">
        <v>661</v>
      </c>
      <c r="B192" t="n">
        <v>414</v>
      </c>
      <c r="C192" t="inlineStr">
        <is>
          <t>KINCORA CYRUSONE LB Q PH 3</t>
        </is>
      </c>
      <c r="D192" t="inlineStr">
        <is>
          <t>Site/engineering plan</t>
        </is>
      </c>
      <c r="E192" t="inlineStr">
        <is>
          <t>Approved, not yet built (inferred)</t>
        </is>
      </c>
      <c r="F192" t="inlineStr">
        <is>
          <t>County-stated status of application(s): Approved. Built/not-built is INFERRED: no mapped data center building lies within the application area.</t>
        </is>
      </c>
      <c r="G192" t="inlineStr">
        <is>
          <t>STMP-2019-0001</t>
        </is>
      </c>
      <c r="H192" t="inlineStr">
        <is>
          <t>STMP-2019-0001 (Engineering Plan, Approved)</t>
        </is>
      </c>
      <c r="I192" t="inlineStr">
        <is>
          <t>2019-01-14</t>
        </is>
      </c>
      <c r="J192" t="inlineStr">
        <is>
          <t>KINCORA CYRUSONE LB Q PH 3 : REQUEST APPROVAL OF A MODIFIED PROCESS SITE PLAN (STMP) FOR A THREE-STORY DATA CENTER FACILITY, ASSOCIATED ROADWAY, PARKING LOT, ANDUTILITY IMPROVEMENTS, IN THE PLANNED DEVELOPMENT- MIXED USE BUSINESS (PDMUB) ZONING DISTRICT. HV</t>
        </is>
      </c>
      <c r="M192" t="n">
        <v>39.117252</v>
      </c>
      <c r="N192" t="n">
        <v>-77.578317</v>
      </c>
      <c r="O192" t="inlineStr">
        <is>
          <t>https://logis.loudoun.gov/gis/rest/services/Projects/LOLA_DATA/MapServer/0/query?where=PlanNumber%3D%27STMP-2019-0001%27&amp;outFields=PlanNumber,PlanType,PlanStatus,PlanName,PlanApplicationDate,PlanDescription&amp;f=html</t>
        </is>
      </c>
    </row>
    <row r="193">
      <c r="A193" t="n">
        <v>662</v>
      </c>
      <c r="B193" t="n">
        <v>415</v>
      </c>
      <c r="C193" t="inlineStr">
        <is>
          <t>TRUE NORTH DATA PH 2B</t>
        </is>
      </c>
      <c r="D193" t="inlineStr">
        <is>
          <t>Site/engineering plan</t>
        </is>
      </c>
      <c r="E193" t="inlineStr">
        <is>
          <t>Approved, not yet built (inferred)</t>
        </is>
      </c>
      <c r="F193" t="inlineStr">
        <is>
          <t>County-stated status of application(s): Approved. Built/not-built is INFERRED: no mapped data center building lies within the application area.</t>
        </is>
      </c>
      <c r="G193" t="inlineStr">
        <is>
          <t>STMP-2019-0002</t>
        </is>
      </c>
      <c r="H193" t="inlineStr">
        <is>
          <t>STMP-2019-0002 (Engineering Plan, Approved)</t>
        </is>
      </c>
      <c r="I193" t="inlineStr">
        <is>
          <t>2019-02-01</t>
        </is>
      </c>
      <c r="J193" t="inlineStr">
        <is>
          <t>**APPROVAL sent 6/3/19** TRUE NORTH DATA PH 2B : REQUEST APPROVAL OF A MODIFIED PROCESS SITE PLAN (STMP) FOR THE CONSTRUCTION OF THREE (3) DATA CENTER BUILDINGS AND ASSOCIATED UTILITIES, IN THE PLANNED DEVELOPMENT- OFFICE PARK (PDOP) ZONING DISTRICT. HV</t>
        </is>
      </c>
      <c r="M193" t="n">
        <v>39.117252</v>
      </c>
      <c r="N193" t="n">
        <v>-77.578317</v>
      </c>
      <c r="O193" t="inlineStr">
        <is>
          <t>https://logis.loudoun.gov/gis/rest/services/Projects/LOLA_DATA/MapServer/0/query?where=PlanNumber%3D%27STMP-2019-0002%27&amp;outFields=PlanNumber,PlanType,PlanStatus,PlanName,PlanApplicationDate,PlanDescription&amp;f=html</t>
        </is>
      </c>
    </row>
    <row r="194">
      <c r="A194" t="n">
        <v>663</v>
      </c>
      <c r="B194" t="n">
        <v>416</v>
      </c>
      <c r="C194" t="inlineStr">
        <is>
          <t>WATERSIDE - LANDBAY A-1</t>
        </is>
      </c>
      <c r="D194" t="inlineStr">
        <is>
          <t>Site/engineering plan</t>
        </is>
      </c>
      <c r="E194" t="inlineStr">
        <is>
          <t>Approved entitlement; buildings already on site</t>
        </is>
      </c>
      <c r="F194" t="inlineStr">
        <is>
          <t>County-stated status of application(s): Approved. Built/not-built is INFERRED: 6 data center building point(s) lie on/adjacent to the application area.</t>
        </is>
      </c>
      <c r="G194" t="inlineStr">
        <is>
          <t>STMP-2019-0003</t>
        </is>
      </c>
      <c r="H194" t="inlineStr">
        <is>
          <t>STMP-2019-0003 (Engineering Plan, Approved)</t>
        </is>
      </c>
      <c r="I194" t="inlineStr">
        <is>
          <t>2019-02-06</t>
        </is>
      </c>
      <c r="J194" t="inlineStr">
        <is>
          <t>WATERSIDE - LANDBAY A-1 : REQUEST APPROVAL OF A MODIFIED PROCESS SITE PLAN (STMP) FOR THE CONSTRUCTION OF TWO (2) SINGLE-STORY DATA CENTERS AND ASSOCIATED SITE,GRADING, AND UTILITY IMPROVEMENTS, IN THE PLANNED DEVELOPMENT- INDUSTRIAL PARK (PDIP) AND PLANNED DEVELOPMENT- COMMERCIAL CENTER (SMALL REGI</t>
        </is>
      </c>
      <c r="K194" t="inlineStr">
        <is>
          <t>138, 139, 150, 168, 169, 186</t>
        </is>
      </c>
      <c r="L194" t="inlineStr">
        <is>
          <t>034385918000</t>
        </is>
      </c>
      <c r="M194" t="n">
        <v>38.981964</v>
      </c>
      <c r="N194" t="n">
        <v>-77.417224</v>
      </c>
      <c r="O194" t="inlineStr">
        <is>
          <t>https://logis.loudoun.gov/gis/rest/services/Projects/LOLA_DATA/MapServer/0/query?where=PlanNumber%3D%27STMP-2019-0003%27&amp;outFields=PlanNumber,PlanType,PlanStatus,PlanName,PlanApplicationDate,PlanDescription&amp;f=html</t>
        </is>
      </c>
    </row>
    <row r="195">
      <c r="A195" t="n">
        <v>664</v>
      </c>
      <c r="B195" t="n">
        <v>417</v>
      </c>
      <c r="C195" t="inlineStr">
        <is>
          <t>DULLES HIGHPOINT PH II</t>
        </is>
      </c>
      <c r="D195" t="inlineStr">
        <is>
          <t>Site/engineering plan</t>
        </is>
      </c>
      <c r="E195" t="inlineStr">
        <is>
          <t>Approved entitlement; buildings already on site</t>
        </is>
      </c>
      <c r="F195" t="inlineStr">
        <is>
          <t>County-stated status of application(s): Approved. Built/not-built is INFERRED: 2 data center building point(s) lie on/adjacent to the application area.</t>
        </is>
      </c>
      <c r="G195" t="inlineStr">
        <is>
          <t>STMP-2019-0008</t>
        </is>
      </c>
      <c r="H195" t="inlineStr">
        <is>
          <t>STMP-2019-0008 (Engineering Plan, Approved)</t>
        </is>
      </c>
      <c r="I195" t="inlineStr">
        <is>
          <t>2019-05-30</t>
        </is>
      </c>
      <c r="J195" t="inlineStr">
        <is>
          <t>DULLES HIGHPOINT PH II : REQUEST APPROVAL OF A MODIFIED PROCESS SITE PLAN (STMP) FOR THE CONSTRUCTION OF TWO (2) DATA CENTERS, FLEX WAREHOUSE, AND ASSOCIATED INFRASTRUCTURE, IN THE PLANNED DEVELOPMENT- INDUSTRIAL PARK (PDIP) ZONING DISTRICT. HV</t>
        </is>
      </c>
      <c r="K195" t="inlineStr">
        <is>
          <t>136, 142</t>
        </is>
      </c>
      <c r="L195" t="inlineStr">
        <is>
          <t>044193385000; 045494813000</t>
        </is>
      </c>
      <c r="M195" t="n">
        <v>38.996448</v>
      </c>
      <c r="N195" t="n">
        <v>-77.435669</v>
      </c>
      <c r="O195" t="inlineStr">
        <is>
          <t>https://logis.loudoun.gov/gis/rest/services/Projects/LOLA_DATA/MapServer/0/query?where=PlanNumber%3D%27STMP-2019-0008%27&amp;outFields=PlanNumber,PlanType,PlanStatus,PlanName,PlanApplicationDate,PlanDescription&amp;f=html</t>
        </is>
      </c>
    </row>
    <row r="196">
      <c r="A196" t="n">
        <v>665</v>
      </c>
      <c r="B196" t="n">
        <v>418</v>
      </c>
      <c r="C196" t="inlineStr">
        <is>
          <t>DULLES NORTH INDUSTRIAL PARK-LOT4</t>
        </is>
      </c>
      <c r="D196" t="inlineStr">
        <is>
          <t>Site/engineering plan</t>
        </is>
      </c>
      <c r="E196" t="inlineStr">
        <is>
          <t>Approved entitlement; buildings already on site</t>
        </is>
      </c>
      <c r="F196" t="inlineStr">
        <is>
          <t>County-stated status of application(s): Approved. Built/not-built is INFERRED: 3 data center building point(s) lie on/adjacent to the application area.</t>
        </is>
      </c>
      <c r="G196" t="inlineStr">
        <is>
          <t>STMP-2019-0009</t>
        </is>
      </c>
      <c r="H196" t="inlineStr">
        <is>
          <t>STMP-2019-0009 (Engineering Plan, Approved)</t>
        </is>
      </c>
      <c r="I196" t="inlineStr">
        <is>
          <t>2019-07-25</t>
        </is>
      </c>
      <c r="J196" t="inlineStr">
        <is>
          <t>DULLES NORTH INDUSTRIAL PARK-LOT4 : REQUEST APPROVAL OF A MODIFIED PROCESS SITE PLAN (STMP) FOR THE CONSTRUCTION OF ONE, TWO-STORY 212,960 SQUARE FOOT DATA CENTER AND ASSOCIATED SITE, GRADING, AND UTILITY IMPROVEMENTS, IN THE PLANNED DEVELOPMENT-INDUSTRIAL PARK (PDIP) ZONING DISTRICT. ACOLE</t>
        </is>
      </c>
      <c r="K196" t="inlineStr">
        <is>
          <t>120, 121, 218</t>
        </is>
      </c>
      <c r="L196" t="inlineStr">
        <is>
          <t>030286764000; 030382006000</t>
        </is>
      </c>
      <c r="M196" t="n">
        <v>39.023699</v>
      </c>
      <c r="N196" t="n">
        <v>-77.41909699999999</v>
      </c>
      <c r="O196" t="inlineStr">
        <is>
          <t>https://logis.loudoun.gov/gis/rest/services/Projects/LOLA_DATA/MapServer/0/query?where=PlanNumber%3D%27STMP-2019-0009%27&amp;outFields=PlanNumber,PlanType,PlanStatus,PlanName,PlanApplicationDate,PlanDescription&amp;f=html</t>
        </is>
      </c>
    </row>
    <row r="197">
      <c r="A197" t="n">
        <v>666</v>
      </c>
      <c r="B197" t="n">
        <v>419</v>
      </c>
      <c r="C197" t="inlineStr">
        <is>
          <t>IAD01</t>
        </is>
      </c>
      <c r="D197" t="inlineStr">
        <is>
          <t>Site/engineering plan</t>
        </is>
      </c>
      <c r="E197" t="inlineStr">
        <is>
          <t>Approved entitlement; buildings already on site</t>
        </is>
      </c>
      <c r="F197" t="inlineStr">
        <is>
          <t>County-stated status of application(s): Approved. Built/not-built is INFERRED: 7 data center building point(s) lie on/adjacent to the application area.</t>
        </is>
      </c>
      <c r="G197" t="inlineStr">
        <is>
          <t>STMP-2019-0010</t>
        </is>
      </c>
      <c r="H197" t="inlineStr">
        <is>
          <t>STMP-2019-0010 (Engineering Plan, Approved)</t>
        </is>
      </c>
      <c r="I197" t="inlineStr">
        <is>
          <t>2019-10-18</t>
        </is>
      </c>
      <c r="J197" t="inlineStr">
        <is>
          <t>IAD01 : REQUEST APPROVAL FOR A MODIFIED PROCESS SITE PLAN (STMP) FOR TWO (2) DATA CENTER BUILDINGS WITH ASSOCIATED INFRASTRUCTURE, IN THE PLANNED DEVELOPMENT- INDUSTRIAL PARK (PDIP) ZONING DISTRICT. HV</t>
        </is>
      </c>
      <c r="K197" t="inlineStr">
        <is>
          <t>98, 144, 145, 174, 175, 196, 204</t>
        </is>
      </c>
      <c r="L197" t="inlineStr">
        <is>
          <t>235297431000</t>
        </is>
      </c>
      <c r="M197" t="n">
        <v>39.062372</v>
      </c>
      <c r="N197" t="n">
        <v>-77.55427299999999</v>
      </c>
      <c r="O197" t="inlineStr">
        <is>
          <t>https://logis.loudoun.gov/gis/rest/services/Projects/LOLA_DATA/MapServer/0/query?where=PlanNumber%3D%27STMP-2019-0010%27&amp;outFields=PlanNumber,PlanType,PlanStatus,PlanName,PlanApplicationDate,PlanDescription&amp;f=html</t>
        </is>
      </c>
    </row>
    <row r="198">
      <c r="A198" t="n">
        <v>667</v>
      </c>
      <c r="B198" t="n">
        <v>420</v>
      </c>
      <c r="C198" t="inlineStr">
        <is>
          <t>SDC ASHBURN I</t>
        </is>
      </c>
      <c r="D198" t="inlineStr">
        <is>
          <t>Site/engineering plan</t>
        </is>
      </c>
      <c r="E198" t="inlineStr">
        <is>
          <t>Approved entitlement; buildings already on site</t>
        </is>
      </c>
      <c r="F198" t="inlineStr">
        <is>
          <t>County-stated status of application(s): Approved. Built/not-built is INFERRED: 3 data center building point(s) lie on/adjacent to the application area.</t>
        </is>
      </c>
      <c r="G198" t="inlineStr">
        <is>
          <t>STMP-2019-0011</t>
        </is>
      </c>
      <c r="H198" t="inlineStr">
        <is>
          <t>STMP-2019-0011 (Engineering Plan, Approved)</t>
        </is>
      </c>
      <c r="I198" t="inlineStr">
        <is>
          <t>2019-11-12</t>
        </is>
      </c>
      <c r="J198" t="inlineStr">
        <is>
          <t>SDC ASHBURN I : REQUEST APPROVAL OF A MODIFIED PROCESS SITE PLAN (STMP) FOR FOUR (4) DATA CENTERS, ONE (1) GUARD HOUSE, AND ASSOCIATED STRUCTURES, IN THE PLANNED DEVELOPMENT- OFFICE PARK (PDOP) ZONING DISTRICT. HV</t>
        </is>
      </c>
      <c r="K198" t="inlineStr">
        <is>
          <t>147, 148, 149</t>
        </is>
      </c>
      <c r="L198" t="inlineStr">
        <is>
          <t>062159785000</t>
        </is>
      </c>
      <c r="M198" t="n">
        <v>38.996093</v>
      </c>
      <c r="N198" t="n">
        <v>-77.471906</v>
      </c>
      <c r="O198" t="inlineStr">
        <is>
          <t>https://logis.loudoun.gov/gis/rest/services/Projects/LOLA_DATA/MapServer/0/query?where=PlanNumber%3D%27STMP-2019-0011%27&amp;outFields=PlanNumber,PlanType,PlanStatus,PlanName,PlanApplicationDate,PlanDescription&amp;f=html</t>
        </is>
      </c>
    </row>
    <row r="199">
      <c r="A199" t="n">
        <v>668</v>
      </c>
      <c r="B199" t="n">
        <v>421</v>
      </c>
      <c r="C199" t="inlineStr">
        <is>
          <t>WATERSIDE SITE PLAN LANDBAY B</t>
        </is>
      </c>
      <c r="D199" t="inlineStr">
        <is>
          <t>Site/engineering plan</t>
        </is>
      </c>
      <c r="E199" t="inlineStr">
        <is>
          <t>Approved entitlement; buildings already on site</t>
        </is>
      </c>
      <c r="F199" t="inlineStr">
        <is>
          <t>County-stated status of application(s): Approved. Built/not-built is INFERRED: 6 data center building point(s) lie on/adjacent to the application area.</t>
        </is>
      </c>
      <c r="G199" t="inlineStr">
        <is>
          <t>STMP-2019-0014</t>
        </is>
      </c>
      <c r="H199" t="inlineStr">
        <is>
          <t>STMP-2019-0014 (Engineering Plan, Approved)</t>
        </is>
      </c>
      <c r="I199" t="inlineStr">
        <is>
          <t>2019-12-23</t>
        </is>
      </c>
      <c r="J199" t="inlineStr">
        <is>
          <t xml:space="preserve">WATERSIDE SITE PLAN LANDBAY B : REQUEST APPROVAL FOR A SITE PLAN (STPL) FOR THE CONSTRUCTION OF ONE (1) 15,000 S.F. SINGLE-STORY DATA CENTER AND ASSOCIATED GRADING, AND UTILITY IMPROVEMENTS, IN THE PLANNED DEVELOPMENT INDUSTRIAL PARK (PDIP) AND PLANNED DEVELOPMENT- COMMERCIAL CENTER (SMALL REGIONAL </t>
        </is>
      </c>
      <c r="K199" t="inlineStr">
        <is>
          <t>138, 139, 150, 168, 169, 186</t>
        </is>
      </c>
      <c r="L199" t="inlineStr">
        <is>
          <t>034385918000</t>
        </is>
      </c>
      <c r="M199" t="n">
        <v>38.981964</v>
      </c>
      <c r="N199" t="n">
        <v>-77.417224</v>
      </c>
      <c r="O199" t="inlineStr">
        <is>
          <t>https://logis.loudoun.gov/gis/rest/services/Projects/LOLA_DATA/MapServer/0/query?where=PlanNumber%3D%27STMP-2019-0014%27&amp;outFields=PlanNumber,PlanType,PlanStatus,PlanName,PlanApplicationDate,PlanDescription&amp;f=html</t>
        </is>
      </c>
    </row>
    <row r="200">
      <c r="A200" t="n">
        <v>669</v>
      </c>
      <c r="B200" t="n">
        <v>422</v>
      </c>
      <c r="C200" t="inlineStr">
        <is>
          <t>ASH 3 SHELLHORN DC 1</t>
        </is>
      </c>
      <c r="D200" t="inlineStr">
        <is>
          <t>Site/engineering plan</t>
        </is>
      </c>
      <c r="E200" t="inlineStr">
        <is>
          <t>Approved, not yet built (inferred)</t>
        </is>
      </c>
      <c r="F200" t="inlineStr">
        <is>
          <t>County-stated status of application(s): Approved. Built/not-built is INFERRED: no mapped data center building lies within the application area.</t>
        </is>
      </c>
      <c r="G200" t="inlineStr">
        <is>
          <t>STMP-2020-0005</t>
        </is>
      </c>
      <c r="H200" t="inlineStr">
        <is>
          <t>STMP-2020-0005 (Engineering Plan, Approved)</t>
        </is>
      </c>
      <c r="I200" t="inlineStr">
        <is>
          <t>2020-04-10</t>
        </is>
      </c>
      <c r="J200" t="inlineStr">
        <is>
          <t>ASH 3 SHELLHORN DC 1 : REQUEST APPROVAL OF A MODIFIED PROCESS SITE PLAN (STMP) FOR A PROPOSEDDATA CENTER USE, IN THE PLANNED DEVELOPMENT- OFFICE PARK (PDOP) ZONINGDISTRICT. HV</t>
        </is>
      </c>
      <c r="M200" t="n">
        <v>39.117252</v>
      </c>
      <c r="N200" t="n">
        <v>-77.578317</v>
      </c>
      <c r="O200" t="inlineStr">
        <is>
          <t>https://logis.loudoun.gov/gis/rest/services/Projects/LOLA_DATA/MapServer/0/query?where=PlanNumber%3D%27STMP-2020-0005%27&amp;outFields=PlanNumber,PlanType,PlanStatus,PlanName,PlanApplicationDate,PlanDescription&amp;f=html</t>
        </is>
      </c>
    </row>
    <row r="201">
      <c r="A201" t="n">
        <v>670</v>
      </c>
      <c r="B201" t="n">
        <v>423</v>
      </c>
      <c r="C201" t="inlineStr">
        <is>
          <t>EDGECORE DULLES</t>
        </is>
      </c>
      <c r="D201" t="inlineStr">
        <is>
          <t>Site/engineering plan</t>
        </is>
      </c>
      <c r="E201" t="inlineStr">
        <is>
          <t>Approved, not yet built (inferred)</t>
        </is>
      </c>
      <c r="F201" t="inlineStr">
        <is>
          <t>County-stated status of application(s): Approved. Built/not-built is INFERRED: no mapped data center building lies within the application area.</t>
        </is>
      </c>
      <c r="G201" t="inlineStr">
        <is>
          <t>STMP-2020-0007</t>
        </is>
      </c>
      <c r="H201" t="inlineStr">
        <is>
          <t>STMP-2020-0007 (Engineering Plan, Approved)</t>
        </is>
      </c>
      <c r="I201" t="inlineStr">
        <is>
          <t>2020-05-22</t>
        </is>
      </c>
      <c r="J201" t="inlineStr">
        <is>
          <t>EDGECORE DULLES : REQUEST APPROVAL OF A MODIFIED PROCESS SITE PLAN (STMP) FOR THREE ONE STORY DATA CENTER BUILDINGS, IN THE PLANNED DEVELOPMENT OFFICE PARK (PDOP) ZONING DISTRICT. AM</t>
        </is>
      </c>
      <c r="M201" t="n">
        <v>39.117252</v>
      </c>
      <c r="N201" t="n">
        <v>-77.578317</v>
      </c>
      <c r="O201" t="inlineStr">
        <is>
          <t>https://logis.loudoun.gov/gis/rest/services/Projects/LOLA_DATA/MapServer/0/query?where=PlanNumber%3D%27STMP-2020-0007%27&amp;outFields=PlanNumber,PlanType,PlanStatus,PlanName,PlanApplicationDate,PlanDescription&amp;f=html</t>
        </is>
      </c>
    </row>
    <row r="202">
      <c r="A202" t="n">
        <v>671</v>
      </c>
      <c r="B202" t="n">
        <v>424</v>
      </c>
      <c r="C202" t="inlineStr">
        <is>
          <t>BEAUMEADE PROPERTIES</t>
        </is>
      </c>
      <c r="D202" t="inlineStr">
        <is>
          <t>Site/engineering plan</t>
        </is>
      </c>
      <c r="E202" t="inlineStr">
        <is>
          <t>Approved, not yet built (inferred)</t>
        </is>
      </c>
      <c r="F202" t="inlineStr">
        <is>
          <t>County-stated status of application(s): Approved. Built/not-built is INFERRED: no mapped data center building lies within the application area.</t>
        </is>
      </c>
      <c r="G202" t="inlineStr">
        <is>
          <t>STMP-2020-0009</t>
        </is>
      </c>
      <c r="H202" t="inlineStr">
        <is>
          <t>STMP-2020-0009 (Engineering Plan, Approved)</t>
        </is>
      </c>
      <c r="I202" t="inlineStr">
        <is>
          <t>2020-06-12</t>
        </is>
      </c>
      <c r="J202" t="inlineStr">
        <is>
          <t>BEAUMEADE PROPERTIES : REQUEST APPROVAL OF A MODIFIED PROCESS SITE PLAN (STMP) TO CONSTRUCT TWO DATA CENTERS AND ASSOCIATED INFRASTRUCTURE, IN THE PLANNED DEVELOPMENT INDUSTRIAL PARK (PDIP)ZONING DISTRICT. NS</t>
        </is>
      </c>
      <c r="M202" t="n">
        <v>39.117252</v>
      </c>
      <c r="N202" t="n">
        <v>-77.578317</v>
      </c>
      <c r="O202" t="inlineStr">
        <is>
          <t>https://logis.loudoun.gov/gis/rest/services/Projects/LOLA_DATA/MapServer/0/query?where=PlanNumber%3D%27STMP-2020-0009%27&amp;outFields=PlanNumber,PlanType,PlanStatus,PlanName,PlanApplicationDate,PlanDescription&amp;f=html</t>
        </is>
      </c>
    </row>
    <row r="203">
      <c r="A203" t="n">
        <v>672</v>
      </c>
      <c r="B203" t="n">
        <v>425</v>
      </c>
      <c r="C203" t="inlineStr">
        <is>
          <t>WATERSIDE LB B</t>
        </is>
      </c>
      <c r="D203" t="inlineStr">
        <is>
          <t>Site/engineering plan</t>
        </is>
      </c>
      <c r="E203" t="inlineStr">
        <is>
          <t>Approved entitlement; buildings already on site</t>
        </is>
      </c>
      <c r="F203" t="inlineStr">
        <is>
          <t>County-stated status of application(s): Approved. Built/not-built is INFERRED: 6 data center building point(s) lie on/adjacent to the application area.</t>
        </is>
      </c>
      <c r="G203" t="inlineStr">
        <is>
          <t>STMP-2020-0017</t>
        </is>
      </c>
      <c r="H203" t="inlineStr">
        <is>
          <t>STMP-2020-0017 (Engineering Plan, Approved)</t>
        </is>
      </c>
      <c r="I203" t="inlineStr">
        <is>
          <t>2020-12-15</t>
        </is>
      </c>
      <c r="J203" t="inlineStr">
        <is>
          <t>WATERSIDE LB B : REQUEST APPROVAL OF A MODIFIED PROCESS SITE PLAN (STMP) FOR THE CONSTRUCTION OF A TWO (2) TWO-STORY DATA CENTERS AND ASSOCIATED GRADING AND UTILITY IMPROVEMENTS, IN THE PLANNED DEVELOPMENT- INDUSTRIAL PARK (PDIP) ZONING DISTRICT. HV</t>
        </is>
      </c>
      <c r="K203" t="inlineStr">
        <is>
          <t>138, 139, 150, 168, 169, 186</t>
        </is>
      </c>
      <c r="L203" t="inlineStr">
        <is>
          <t>034385918000</t>
        </is>
      </c>
      <c r="M203" t="n">
        <v>38.981964</v>
      </c>
      <c r="N203" t="n">
        <v>-77.417224</v>
      </c>
      <c r="O203" t="inlineStr">
        <is>
          <t>https://logis.loudoun.gov/gis/rest/services/Projects/LOLA_DATA/MapServer/0/query?where=PlanNumber%3D%27STMP-2020-0017%27&amp;outFields=PlanNumber,PlanType,PlanStatus,PlanName,PlanApplicationDate,PlanDescription&amp;f=html</t>
        </is>
      </c>
    </row>
    <row r="204">
      <c r="A204" t="n">
        <v>673</v>
      </c>
      <c r="B204" t="n">
        <v>426</v>
      </c>
      <c r="C204" t="inlineStr">
        <is>
          <t>IAD 02</t>
        </is>
      </c>
      <c r="D204" t="inlineStr">
        <is>
          <t>Site/engineering plan</t>
        </is>
      </c>
      <c r="E204" t="inlineStr">
        <is>
          <t>Approved entitlement; buildings already on site</t>
        </is>
      </c>
      <c r="F204" t="inlineStr">
        <is>
          <t>County-stated status of application(s): Approved. Built/not-built is INFERRED: 7 data center building point(s) lie on/adjacent to the application area.</t>
        </is>
      </c>
      <c r="G204" t="inlineStr">
        <is>
          <t>STMP-2020-0018</t>
        </is>
      </c>
      <c r="H204" t="inlineStr">
        <is>
          <t>STMP-2020-0018 (Engineering Plan, Approved)</t>
        </is>
      </c>
      <c r="I204" t="inlineStr">
        <is>
          <t>2020-12-21</t>
        </is>
      </c>
      <c r="J204" t="inlineStr">
        <is>
          <t>IAD 02 : REQUEST APPROVAL OF A MODIFIED PROCESS SITE PLAN (STMP) FOR THE CONSTRUCTION OF TWO DATA CENTER BUILDINGS, IN THE PLANNED DEVELOPMENT INDUSTRIAL PARK (PDIP) ZONING DISTRICT. AM</t>
        </is>
      </c>
      <c r="K204" t="inlineStr">
        <is>
          <t>98, 144, 145, 174, 175, 196, 204</t>
        </is>
      </c>
      <c r="L204" t="inlineStr">
        <is>
          <t>235297431000</t>
        </is>
      </c>
      <c r="M204" t="n">
        <v>39.062372</v>
      </c>
      <c r="N204" t="n">
        <v>-77.55427299999999</v>
      </c>
      <c r="O204" t="inlineStr">
        <is>
          <t>https://logis.loudoun.gov/gis/rest/services/Projects/LOLA_DATA/MapServer/0/query?where=PlanNumber%3D%27STMP-2020-0018%27&amp;outFields=PlanNumber,PlanType,PlanStatus,PlanName,PlanApplicationDate,PlanDescription&amp;f=html</t>
        </is>
      </c>
    </row>
    <row r="205">
      <c r="A205" t="n">
        <v>674</v>
      </c>
      <c r="B205" t="n">
        <v>427</v>
      </c>
      <c r="C205" t="inlineStr">
        <is>
          <t>ASH 1- BRODERICK DC 2</t>
        </is>
      </c>
      <c r="D205" t="inlineStr">
        <is>
          <t>Site/engineering plan</t>
        </is>
      </c>
      <c r="E205" t="inlineStr">
        <is>
          <t>Approved, not yet built (inferred)</t>
        </is>
      </c>
      <c r="F205" t="inlineStr">
        <is>
          <t>County-stated status of application(s): Approved. Built/not-built is INFERRED: no mapped data center building lies within the application area.</t>
        </is>
      </c>
      <c r="G205" t="inlineStr">
        <is>
          <t>STMP-2021-0002</t>
        </is>
      </c>
      <c r="H205" t="inlineStr">
        <is>
          <t>STMP-2021-0002 (Engineering Plan, Approved)</t>
        </is>
      </c>
      <c r="I205" t="inlineStr">
        <is>
          <t>2021-02-03</t>
        </is>
      </c>
      <c r="J205" t="inlineStr">
        <is>
          <t>ASH 1- BRODERICK DC 2 : REQUEST APPROVAL OF A MODIFIED PROCESS SITE PLAN (STMP) FOR A FINAL SITE PLAN FOR A PROPOSED DATA CENTER USE IN THE PLANNED DEVELOPMENT-INDUSTRIAL PARK (PDIP) SDM</t>
        </is>
      </c>
      <c r="M205" t="n">
        <v>39.117252</v>
      </c>
      <c r="N205" t="n">
        <v>-77.578317</v>
      </c>
      <c r="O205" t="inlineStr">
        <is>
          <t>https://logis.loudoun.gov/gis/rest/services/Projects/LOLA_DATA/MapServer/0/query?where=PlanNumber%3D%27STMP-2021-0002%27&amp;outFields=PlanNumber,PlanType,PlanStatus,PlanName,PlanApplicationDate,PlanDescription&amp;f=html</t>
        </is>
      </c>
    </row>
    <row r="206">
      <c r="A206" t="n">
        <v>675</v>
      </c>
      <c r="B206" t="n">
        <v>428</v>
      </c>
      <c r="C206" t="inlineStr">
        <is>
          <t>BUILDINGS VA 13 &amp; VA 14</t>
        </is>
      </c>
      <c r="D206" t="inlineStr">
        <is>
          <t>Site/engineering plan</t>
        </is>
      </c>
      <c r="E206" t="inlineStr">
        <is>
          <t>Approved entitlement; buildings already on site</t>
        </is>
      </c>
      <c r="F206" t="inlineStr">
        <is>
          <t>County-stated status of application(s): Approved. Built/not-built is INFERRED: 2 data center building point(s) lie on/adjacent to the application area.</t>
        </is>
      </c>
      <c r="G206" t="inlineStr">
        <is>
          <t>STMP-2021-0007</t>
        </is>
      </c>
      <c r="H206" t="inlineStr">
        <is>
          <t>STMP-2021-0007 (Engineering Plan, Approved)</t>
        </is>
      </c>
      <c r="I206" t="inlineStr">
        <is>
          <t>2021-04-28</t>
        </is>
      </c>
      <c r="J206" t="inlineStr">
        <is>
          <t>BUILDINGS VA 13 &amp; VA 14 : REQUEST APPROVAL OF A MODIFIED PROCESS SITE PLAN (STMP) FOR THE CONSTRUCTION OF +/- 729,298 SF OF DATA CENTER/OFFICE FLOOR AREA INCLUDING ALL RELATED INFRASTRUCTURE, UTILITIES, ETC. IN THE (PDOP) PLANNED DEVELOPMENT- OFFICE PARK ZONING DISTRICT</t>
        </is>
      </c>
      <c r="K206" t="inlineStr">
        <is>
          <t>110, 128</t>
        </is>
      </c>
      <c r="L206" t="inlineStr">
        <is>
          <t>044288975000</t>
        </is>
      </c>
      <c r="M206" t="n">
        <v>39.0016</v>
      </c>
      <c r="N206" t="n">
        <v>-77.43723199999999</v>
      </c>
      <c r="O206" t="inlineStr">
        <is>
          <t>https://logis.loudoun.gov/gis/rest/services/Projects/LOLA_DATA/MapServer/0/query?where=PlanNumber%3D%27STMP-2021-0007%27&amp;outFields=PlanNumber,PlanType,PlanStatus,PlanName,PlanApplicationDate,PlanDescription&amp;f=html</t>
        </is>
      </c>
    </row>
    <row r="207">
      <c r="A207" t="n">
        <v>676</v>
      </c>
      <c r="B207" t="n">
        <v>429</v>
      </c>
      <c r="C207" t="inlineStr">
        <is>
          <t>STERLING PREMIERE BUILDING</t>
        </is>
      </c>
      <c r="D207" t="inlineStr">
        <is>
          <t>Site/engineering plan</t>
        </is>
      </c>
      <c r="E207" t="inlineStr">
        <is>
          <t>Approved, not yet built (inferred)</t>
        </is>
      </c>
      <c r="F207" t="inlineStr">
        <is>
          <t>County-stated status of application(s): Approved. Built/not-built is INFERRED: no mapped data center building lies within the application area.</t>
        </is>
      </c>
      <c r="G207" t="inlineStr">
        <is>
          <t>STMP-2021-0012</t>
        </is>
      </c>
      <c r="H207" t="inlineStr">
        <is>
          <t>STMP-2021-0012 (Engineering Plan, Approved)</t>
        </is>
      </c>
      <c r="I207" t="inlineStr">
        <is>
          <t>2021-08-27</t>
        </is>
      </c>
      <c r="J207" t="inlineStr">
        <is>
          <t>STERLING PREMIERE BUILDING : REQUEST APPROVAL OF A MODIFIED PROCESS SITE PLAN (STMP) FOR THE CONSTRUCTION OF A DATA CENTER, AND ALL ASSOCIATED INFRASTRUCTRE INCLUDING BMP POND, IN THE( PDIP) PLANNED DEVELOPMENT-INDUSTRIAL PARK ZONING DISTRICT. SDM .</t>
        </is>
      </c>
      <c r="M207" t="n">
        <v>38.991088</v>
      </c>
      <c r="N207" t="n">
        <v>-77.433745</v>
      </c>
      <c r="O207" t="inlineStr">
        <is>
          <t>https://logis.loudoun.gov/gis/rest/services/Projects/LOLA_DATA/MapServer/0/query?where=PlanNumber%3D%27STMP-2021-0012%27&amp;outFields=PlanNumber,PlanType,PlanStatus,PlanName,PlanApplicationDate,PlanDescription&amp;f=html</t>
        </is>
      </c>
    </row>
    <row r="208">
      <c r="A208" t="n">
        <v>677</v>
      </c>
      <c r="B208" t="n">
        <v>430</v>
      </c>
      <c r="C208" t="inlineStr">
        <is>
          <t>PROJECT ALLEGRO SOUTH CAMPUS PH 1</t>
        </is>
      </c>
      <c r="D208" t="inlineStr">
        <is>
          <t>Site/engineering plan</t>
        </is>
      </c>
      <c r="E208" t="inlineStr">
        <is>
          <t>Approved, not yet built (inferred)</t>
        </is>
      </c>
      <c r="F208" t="inlineStr">
        <is>
          <t>County-stated status of application(s): Approved. Built/not-built is INFERRED: no mapped data center building lies within the application area.</t>
        </is>
      </c>
      <c r="G208" t="inlineStr">
        <is>
          <t>STMP-2021-0013</t>
        </is>
      </c>
      <c r="H208" t="inlineStr">
        <is>
          <t>STMP-2021-0013 (Engineering Plan, Approved)</t>
        </is>
      </c>
      <c r="I208" t="inlineStr">
        <is>
          <t>2021-09-24</t>
        </is>
      </c>
      <c r="J208" t="inlineStr">
        <is>
          <t>PROJECT ALLEGRO SOUTH CAMPUS PH 1 : REQUEST APPROVAL OF A MODIFIED PROCESS SITE PLAN (STMP) FOR PHASE 1 OFTHE SOUTH CAMPUS OF A DATA CENTER COMPLEX WITH ASSOCIATED SUPPORT FACILITIES, IN THE (PDIP/R1) PLANNED DEVELOPMENT-INDUSTRIAL PARK/SINGLE FAMILY RESIDENTIAL-1 ZONING DISTRICTS. SDM</t>
        </is>
      </c>
      <c r="M208" t="n">
        <v>39.117252</v>
      </c>
      <c r="N208" t="n">
        <v>-77.578317</v>
      </c>
      <c r="O208" t="inlineStr">
        <is>
          <t>https://logis.loudoun.gov/gis/rest/services/Projects/LOLA_DATA/MapServer/0/query?where=PlanNumber%3D%27STMP-2021-0013%27&amp;outFields=PlanNumber,PlanType,PlanStatus,PlanName,PlanApplicationDate,PlanDescription&amp;f=html</t>
        </is>
      </c>
    </row>
    <row r="209">
      <c r="A209" t="n">
        <v>678</v>
      </c>
      <c r="B209" t="n">
        <v>431</v>
      </c>
      <c r="C209" t="inlineStr">
        <is>
          <t>WS-C2</t>
        </is>
      </c>
      <c r="D209" t="inlineStr">
        <is>
          <t>Site/engineering plan</t>
        </is>
      </c>
      <c r="E209" t="inlineStr">
        <is>
          <t>Approved entitlement; buildings already on site</t>
        </is>
      </c>
      <c r="F209" t="inlineStr">
        <is>
          <t>County-stated status of application(s): Approved. Built/not-built is INFERRED: 6 data center building point(s) lie on/adjacent to the application area.</t>
        </is>
      </c>
      <c r="G209" t="inlineStr">
        <is>
          <t>STMP-2021-0018</t>
        </is>
      </c>
      <c r="H209" t="inlineStr">
        <is>
          <t>STMP-2021-0018 (Engineering Plan, Approved)</t>
        </is>
      </c>
      <c r="I209" t="inlineStr">
        <is>
          <t>2021-12-10</t>
        </is>
      </c>
      <c r="J209" t="inlineStr">
        <is>
          <t>WS-C2 : REQUEST APPROVAL OF A MODIFIED PROCESS PLAN PROCESS (STMP) FOR CONSTURCTION OF ONE 15,000 SF DATA CENTER AND ASSOCIATED GRADING AND UTILITY IMPROVEMENTS, IN THE PLANNED DEVELOPMENT INDUSTRIAL PARK (PDIP) ZONING DISTRICT. AM</t>
        </is>
      </c>
      <c r="K209" t="inlineStr">
        <is>
          <t>138, 139, 150, 168, 169, 186</t>
        </is>
      </c>
      <c r="L209" t="inlineStr">
        <is>
          <t>034385918000</t>
        </is>
      </c>
      <c r="M209" t="n">
        <v>38.981964</v>
      </c>
      <c r="N209" t="n">
        <v>-77.417224</v>
      </c>
      <c r="O209" t="inlineStr">
        <is>
          <t>https://logis.loudoun.gov/gis/rest/services/Projects/LOLA_DATA/MapServer/0/query?where=PlanNumber%3D%27STMP-2021-0018%27&amp;outFields=PlanNumber,PlanType,PlanStatus,PlanName,PlanApplicationDate,PlanDescription&amp;f=html</t>
        </is>
      </c>
    </row>
    <row r="210">
      <c r="A210" t="n">
        <v>679</v>
      </c>
      <c r="B210" t="n">
        <v>432</v>
      </c>
      <c r="C210" t="inlineStr">
        <is>
          <t>DARVISH DATA CENTER</t>
        </is>
      </c>
      <c r="D210" t="inlineStr">
        <is>
          <t>Site/engineering plan</t>
        </is>
      </c>
      <c r="E210" t="inlineStr">
        <is>
          <t>Approved entitlement; buildings already on site</t>
        </is>
      </c>
      <c r="F210" t="inlineStr">
        <is>
          <t>County-stated status of application(s): Approved. Built/not-built is INFERRED: 1 data center building point(s) lie on/adjacent to the application area.</t>
        </is>
      </c>
      <c r="G210" t="inlineStr">
        <is>
          <t>STMP-2021-0020</t>
        </is>
      </c>
      <c r="H210" t="inlineStr">
        <is>
          <t>STMP-2021-0020 (Engineering Plan, Approved)</t>
        </is>
      </c>
      <c r="I210" t="inlineStr">
        <is>
          <t>2021-12-28</t>
        </is>
      </c>
      <c r="J210" t="inlineStr">
        <is>
          <t>DARVISH DATA CENTER : REQUEST APPROVAL OF A MODIFIED PROCESS SITE PLAN )STMP) FOR A FAST TRACK SITE PLAN FOR CONSTRUCTION OF +/- 277,800 SF DATA CENTER BUILDING, IN THE (PDIP) PLANNED DEVELOPMENT-INDUSTRIAL PARK ZONING DISTRICT. SDM</t>
        </is>
      </c>
      <c r="K210" t="inlineStr">
        <is>
          <t>190</t>
        </is>
      </c>
      <c r="L210" t="inlineStr">
        <is>
          <t>045195615000</t>
        </is>
      </c>
      <c r="M210" t="n">
        <v>38.986462</v>
      </c>
      <c r="N210" t="n">
        <v>-77.435303</v>
      </c>
      <c r="O210" t="inlineStr">
        <is>
          <t>https://logis.loudoun.gov/gis/rest/services/Projects/LOLA_DATA/MapServer/0/query?where=PlanNumber%3D%27STMP-2021-0020%27&amp;outFields=PlanNumber,PlanType,PlanStatus,PlanName,PlanApplicationDate,PlanDescription&amp;f=html</t>
        </is>
      </c>
    </row>
    <row r="211">
      <c r="A211" t="n">
        <v>680</v>
      </c>
      <c r="B211" t="n">
        <v>433</v>
      </c>
      <c r="C211" t="inlineStr">
        <is>
          <t>IAD04</t>
        </is>
      </c>
      <c r="D211" t="inlineStr">
        <is>
          <t>Site/engineering plan</t>
        </is>
      </c>
      <c r="E211" t="inlineStr">
        <is>
          <t>Approved entitlement; buildings already on site</t>
        </is>
      </c>
      <c r="F211" t="inlineStr">
        <is>
          <t>County-stated status of application(s): Approved. Built/not-built is INFERRED: 7 data center building point(s) lie on/adjacent to the application area.</t>
        </is>
      </c>
      <c r="G211" t="inlineStr">
        <is>
          <t>STMP-2022-0002</t>
        </is>
      </c>
      <c r="H211" t="inlineStr">
        <is>
          <t>STMP-2022-0002 (Engineering Plan, Approved)</t>
        </is>
      </c>
      <c r="I211" t="inlineStr">
        <is>
          <t>2022-03-16</t>
        </is>
      </c>
      <c r="J211" t="inlineStr">
        <is>
          <t>IAD04 : REQUEST APPROVAL OF A MODIFIED PROCESS SITE PLAN (STMP) FOR CONSTRUCTION OF 1 DATA CENTER BUILDING AND ASSOCIATED UTILITIES, IN THE (PDIP) PLANNED DEVELOPMENT- INDUSTRIAL PARK ZONING DISTRICT. SDM</t>
        </is>
      </c>
      <c r="K211" t="inlineStr">
        <is>
          <t>98, 144, 145, 174, 175, 196, 204</t>
        </is>
      </c>
      <c r="L211" t="inlineStr">
        <is>
          <t>235297431000</t>
        </is>
      </c>
      <c r="M211" t="n">
        <v>39.062372</v>
      </c>
      <c r="N211" t="n">
        <v>-77.55427299999999</v>
      </c>
      <c r="O211" t="inlineStr">
        <is>
          <t>https://logis.loudoun.gov/gis/rest/services/Projects/LOLA_DATA/MapServer/0/query?where=PlanNumber%3D%27STMP-2022-0002%27&amp;outFields=PlanNumber,PlanType,PlanStatus,PlanName,PlanApplicationDate,PlanDescription&amp;f=html</t>
        </is>
      </c>
    </row>
    <row r="212">
      <c r="A212" t="n">
        <v>681</v>
      </c>
      <c r="B212" t="n">
        <v>434</v>
      </c>
      <c r="C212" t="inlineStr">
        <is>
          <t>RELOCATION DRIVE</t>
        </is>
      </c>
      <c r="D212" t="inlineStr">
        <is>
          <t>Site/engineering plan</t>
        </is>
      </c>
      <c r="E212" t="inlineStr">
        <is>
          <t>Approved entitlement; buildings already on site</t>
        </is>
      </c>
      <c r="F212" t="inlineStr">
        <is>
          <t>County-stated status of application(s): Approved. Built/not-built is INFERRED: 1 data center building point(s) lie on/adjacent to the application area.</t>
        </is>
      </c>
      <c r="G212" t="inlineStr">
        <is>
          <t>STMP-2022-0003</t>
        </is>
      </c>
      <c r="H212" t="inlineStr">
        <is>
          <t>STMP-2022-0003 (Engineering Plan, Approved)</t>
        </is>
      </c>
      <c r="I212" t="inlineStr">
        <is>
          <t>2022-03-18</t>
        </is>
      </c>
      <c r="J212" t="inlineStr">
        <is>
          <t>RELOCATION DRIVE : REQUEST APPROVAL OF A MODIFIED PROCESS SITE PLAN (STMP) FOR (1) ONE DATA CENTER AND ASSOCIATED INFRASTRUCTURE INCLUDING SWM AND BMP TOTALING THREE HUNDRED FOUR THOUSAND ONE HUNDRED SIXTY-SIX SQUARE FEET(304,166.0) IN THE (R1) SINGLE FAMILY RESIDENTIAL-1 ZONING DISTRICT. SDM</t>
        </is>
      </c>
      <c r="K212" t="inlineStr">
        <is>
          <t>191</t>
        </is>
      </c>
      <c r="L212" t="inlineStr">
        <is>
          <t>045279612000</t>
        </is>
      </c>
      <c r="M212" t="n">
        <v>38.988456</v>
      </c>
      <c r="N212" t="n">
        <v>-77.440907</v>
      </c>
      <c r="O212" t="inlineStr">
        <is>
          <t>https://logis.loudoun.gov/gis/rest/services/Projects/LOLA_DATA/MapServer/0/query?where=PlanNumber%3D%27STMP-2022-0003%27&amp;outFields=PlanNumber,PlanType,PlanStatus,PlanName,PlanApplicationDate,PlanDescription&amp;f=html</t>
        </is>
      </c>
    </row>
    <row r="213">
      <c r="A213" t="n">
        <v>682</v>
      </c>
      <c r="B213" t="n">
        <v>435</v>
      </c>
      <c r="C213" t="inlineStr">
        <is>
          <t>NTT GLOBAL DATA CENTERS  VA8 &amp; VA9</t>
        </is>
      </c>
      <c r="D213" t="inlineStr">
        <is>
          <t>Site/engineering plan</t>
        </is>
      </c>
      <c r="E213" t="inlineStr">
        <is>
          <t>Approved, not yet built (inferred)</t>
        </is>
      </c>
      <c r="F213" t="inlineStr">
        <is>
          <t>County-stated status of application(s): Approved. Built/not-built is INFERRED: no mapped data center building lies within the application area.</t>
        </is>
      </c>
      <c r="G213" t="inlineStr">
        <is>
          <t>STMP-2022-0004</t>
        </is>
      </c>
      <c r="H213" t="inlineStr">
        <is>
          <t>STMP-2022-0004 (Engineering Plan, Approved)</t>
        </is>
      </c>
      <c r="I213" t="inlineStr">
        <is>
          <t>2022-04-08</t>
        </is>
      </c>
      <c r="J213" t="inlineStr">
        <is>
          <t>NTT GLOBAL DATA CENTERS VA8 &amp; VA9 : REQUEST APPROVAL OF A MODIFIED PROCESS SITE PLAN (STMP) FOR THE CONSTRUCTION OF TWO (2) 2-STORY DATA CENTERS, IN THE PLANNED DEVELOPMENT INDUSTRIAL PARK (PDIP) ZONING DISTRICT. AM</t>
        </is>
      </c>
      <c r="M213" t="n">
        <v>39.117252</v>
      </c>
      <c r="N213" t="n">
        <v>-77.578317</v>
      </c>
      <c r="O213" t="inlineStr">
        <is>
          <t>https://logis.loudoun.gov/gis/rest/services/Projects/LOLA_DATA/MapServer/0/query?where=PlanNumber%3D%27STMP-2022-0004%27&amp;outFields=PlanNumber,PlanType,PlanStatus,PlanName,PlanApplicationDate,PlanDescription&amp;f=html</t>
        </is>
      </c>
    </row>
    <row r="214">
      <c r="A214" t="n">
        <v>683</v>
      </c>
      <c r="B214" t="n">
        <v>436</v>
      </c>
      <c r="C214" t="inlineStr">
        <is>
          <t>BUILDING VA15</t>
        </is>
      </c>
      <c r="D214" t="inlineStr">
        <is>
          <t>Site/engineering plan</t>
        </is>
      </c>
      <c r="E214" t="inlineStr">
        <is>
          <t>Approved entitlement; buildings already on site</t>
        </is>
      </c>
      <c r="F214" t="inlineStr">
        <is>
          <t>County-stated status of application(s): Approved. Built/not-built is INFERRED: 2 data center building point(s) lie on/adjacent to the application area.</t>
        </is>
      </c>
      <c r="G214" t="inlineStr">
        <is>
          <t>STMP-2022-0005</t>
        </is>
      </c>
      <c r="H214" t="inlineStr">
        <is>
          <t>STMP-2022-0005 (Engineering Plan, Approved)</t>
        </is>
      </c>
      <c r="I214" t="inlineStr">
        <is>
          <t>2022-04-12</t>
        </is>
      </c>
      <c r="J214" t="inlineStr">
        <is>
          <t>BUILDING VA15 : REQUEST APPROVAL OF A MODIFIED PROCESS SITE PLAN (STMP) FOR THE CONSTRUCITON OF DATA CENTER BUILDING WITH ASSOCIATED SURFACE PARKING, DRIVE AISLE, AND UTILITY INFRASTRUCTURE, IN THE (PDOP) PLANNED DEVELOPMENT-OFFICE PARK ZONING DISTRICT. SDM</t>
        </is>
      </c>
      <c r="K214" t="inlineStr">
        <is>
          <t>110, 128</t>
        </is>
      </c>
      <c r="L214" t="inlineStr">
        <is>
          <t>044288975000</t>
        </is>
      </c>
      <c r="M214" t="n">
        <v>39.0016</v>
      </c>
      <c r="N214" t="n">
        <v>-77.43723199999999</v>
      </c>
      <c r="O214" t="inlineStr">
        <is>
          <t>https://logis.loudoun.gov/gis/rest/services/Projects/LOLA_DATA/MapServer/0/query?where=PlanNumber%3D%27STMP-2022-0005%27&amp;outFields=PlanNumber,PlanType,PlanStatus,PlanName,PlanApplicationDate,PlanDescription&amp;f=html</t>
        </is>
      </c>
    </row>
    <row r="215">
      <c r="A215" t="n">
        <v>684</v>
      </c>
      <c r="B215" t="n">
        <v>437</v>
      </c>
      <c r="C215" t="inlineStr">
        <is>
          <t>VANTAGE VA21</t>
        </is>
      </c>
      <c r="D215" t="inlineStr">
        <is>
          <t>Site/engineering plan</t>
        </is>
      </c>
      <c r="E215" t="inlineStr">
        <is>
          <t>Approved entitlement; buildings already on site</t>
        </is>
      </c>
      <c r="F215" t="inlineStr">
        <is>
          <t>County-stated status of application(s): Approved. Built/not-built is INFERRED: 2 data center building point(s) lie on/adjacent to the application area.</t>
        </is>
      </c>
      <c r="G215" t="inlineStr">
        <is>
          <t>STMP-2022-0006</t>
        </is>
      </c>
      <c r="H215" t="inlineStr">
        <is>
          <t>STMP-2022-0006 (Engineering Plan, Approved)</t>
        </is>
      </c>
      <c r="I215" t="inlineStr">
        <is>
          <t>2022-04-21</t>
        </is>
      </c>
      <c r="J215" t="inlineStr">
        <is>
          <t>VANTAGE VA21 : REQUEST APPROVAL OF A MODIFIED PROCESS SITE PLAN (STMP) FOR A PROPOSEDDATA CENTER BUILDING AND ALL OF THE ASSOCIATED INFRASTRUCTURE INCLUDING SWM AND BMP VAULTS, IN THE PLANNED DEVELOPMENT- INDUSTRIAL PARK (PDIP) AND SINGLE FAMILY RESIDENTIAL-4 (R4) ZONING DISTRICTS. HV</t>
        </is>
      </c>
      <c r="K215" t="inlineStr">
        <is>
          <t>194, 198</t>
        </is>
      </c>
      <c r="L215" t="inlineStr">
        <is>
          <t>032155119000</t>
        </is>
      </c>
      <c r="M215" t="n">
        <v>38.997768</v>
      </c>
      <c r="N215" t="n">
        <v>-77.429979</v>
      </c>
      <c r="O215" t="inlineStr">
        <is>
          <t>https://logis.loudoun.gov/gis/rest/services/Projects/LOLA_DATA/MapServer/0/query?where=PlanNumber%3D%27STMP-2022-0006%27&amp;outFields=PlanNumber,PlanType,PlanStatus,PlanName,PlanApplicationDate,PlanDescription&amp;f=html</t>
        </is>
      </c>
    </row>
    <row r="216">
      <c r="A216" t="n">
        <v>685</v>
      </c>
      <c r="B216" t="n">
        <v>438</v>
      </c>
      <c r="C216" t="inlineStr">
        <is>
          <t>PROJECT GOLD STERLING</t>
        </is>
      </c>
      <c r="D216" t="inlineStr">
        <is>
          <t>Site/engineering plan</t>
        </is>
      </c>
      <c r="E216" t="inlineStr">
        <is>
          <t>Approved entitlement; buildings already on site</t>
        </is>
      </c>
      <c r="F216" t="inlineStr">
        <is>
          <t>County-stated status of application(s): Approved. Built/not-built is INFERRED: 1 data center building point(s) lie on/adjacent to the application area.</t>
        </is>
      </c>
      <c r="G216" t="inlineStr">
        <is>
          <t>STMP-2022-0007</t>
        </is>
      </c>
      <c r="H216" t="inlineStr">
        <is>
          <t>STMP-2022-0007 (Engineering Plan, Approved)</t>
        </is>
      </c>
      <c r="I216" t="inlineStr">
        <is>
          <t>2022-06-09</t>
        </is>
      </c>
      <c r="J216" t="inlineStr">
        <is>
          <t>PROJECT GOLD STERLING : REQUEST APPROVAL OF A MODIFIED PROCESS SITE PLAN (STMP) FOR THE CONSTRUCTION OF PROPOSED 181,419 SF DATA CENTER BUILDING, 1,696 SF VISITORS CENTER BUILDING INCLUDING ALL RELATED INFRASTRUCTURE, PARKING, DRIVE AISLES, UTILITIES, ETC., IN THE PLANNED DEVELOPMENT-INDUSTRIAL PARK</t>
        </is>
      </c>
      <c r="K216" t="inlineStr">
        <is>
          <t>193</t>
        </is>
      </c>
      <c r="L216" t="inlineStr">
        <is>
          <t>045399350000</t>
        </is>
      </c>
      <c r="M216" t="n">
        <v>38.993033</v>
      </c>
      <c r="N216" t="n">
        <v>-77.434422</v>
      </c>
      <c r="O216" t="inlineStr">
        <is>
          <t>https://logis.loudoun.gov/gis/rest/services/Projects/LOLA_DATA/MapServer/0/query?where=PlanNumber%3D%27STMP-2022-0007%27&amp;outFields=PlanNumber,PlanType,PlanStatus,PlanName,PlanApplicationDate,PlanDescription&amp;f=html</t>
        </is>
      </c>
    </row>
    <row r="217">
      <c r="A217" t="n">
        <v>686</v>
      </c>
      <c r="B217" t="n">
        <v>439</v>
      </c>
      <c r="C217" t="inlineStr">
        <is>
          <t>ARCOLA GROVE DATA CENTERS</t>
        </is>
      </c>
      <c r="D217" t="inlineStr">
        <is>
          <t>Site/engineering plan</t>
        </is>
      </c>
      <c r="E217" t="inlineStr">
        <is>
          <t>Pending application</t>
        </is>
      </c>
      <c r="F217" t="inlineStr">
        <is>
          <t>County-stated status of application(s): In Review.</t>
        </is>
      </c>
      <c r="G217" t="inlineStr">
        <is>
          <t>STMP-2022-0008</t>
        </is>
      </c>
      <c r="H217" t="inlineStr">
        <is>
          <t>STMP-2022-0008 (Engineering Plan, In Review)</t>
        </is>
      </c>
      <c r="I217" t="inlineStr">
        <is>
          <t>2022-06-21</t>
        </is>
      </c>
      <c r="J217" t="inlineStr">
        <is>
          <t>(Conditional Approval) ARCOLA GROVE DATA CENTERS : REQUEST APPROVAL OF A MODIFIED PROCESS SITE PLAN (STMP) FOR TWO (2) DATA CENTERS AND ASSOICATED INFRASTRUCTURE, IN THE PLANNED DEVELOPMENT- INDUSTRIAL PARK (PDIP) ZONING DISTRCT. AM</t>
        </is>
      </c>
      <c r="M217" t="n">
        <v>39.117252</v>
      </c>
      <c r="N217" t="n">
        <v>-77.578317</v>
      </c>
      <c r="O217" t="inlineStr">
        <is>
          <t>https://logis.loudoun.gov/gis/rest/services/Projects/LOLA_DATA/MapServer/0/query?where=PlanNumber%3D%27STMP-2022-0008%27&amp;outFields=PlanNumber,PlanType,PlanStatus,PlanName,PlanApplicationDate,PlanDescription&amp;f=html</t>
        </is>
      </c>
    </row>
    <row r="218">
      <c r="A218" t="n">
        <v>687</v>
      </c>
      <c r="B218" t="n">
        <v>440</v>
      </c>
      <c r="C218" t="inlineStr">
        <is>
          <t>INTERGATE ASHBURN DATA CENTER BLDNG A</t>
        </is>
      </c>
      <c r="D218" t="inlineStr">
        <is>
          <t>Site/engineering plan</t>
        </is>
      </c>
      <c r="E218" t="inlineStr">
        <is>
          <t>Approved, not yet built (inferred)</t>
        </is>
      </c>
      <c r="F218" t="inlineStr">
        <is>
          <t>County-stated status of application(s): Approved. Built/not-built is INFERRED: no mapped data center building lies within the application area.</t>
        </is>
      </c>
      <c r="G218" t="inlineStr">
        <is>
          <t>STMP-2022-0011</t>
        </is>
      </c>
      <c r="H218" t="inlineStr">
        <is>
          <t>STMP-2022-0011 (Engineering Plan, Approved)</t>
        </is>
      </c>
      <c r="I218" t="inlineStr">
        <is>
          <t>2022-07-05</t>
        </is>
      </c>
      <c r="J218" t="inlineStr">
        <is>
          <t>INTERGATE ASHBURN DATA CENTER BLDNG A : REQUEST APPROVAL OF A MODIFIED PROCESS SITE PLAN (STMP) FOR A FINAL DATA CENTER AND RELATED INFRASTRUCTURE, DESIGNATED AS BUILDING "A" ON APPROVED APPLICATIONS STPL-2011-0014, SPAM-2013-0025, AND SPAM 2018-0037. THIS APPLICATION WILL SUPERCEDE THE PREVIOUSLY S</t>
        </is>
      </c>
      <c r="M218" t="n">
        <v>39.117252</v>
      </c>
      <c r="N218" t="n">
        <v>-77.578317</v>
      </c>
      <c r="O218" t="inlineStr">
        <is>
          <t>https://logis.loudoun.gov/gis/rest/services/Projects/LOLA_DATA/MapServer/0/query?where=PlanNumber%3D%27STMP-2022-0011%27&amp;outFields=PlanNumber,PlanType,PlanStatus,PlanName,PlanApplicationDate,PlanDescription&amp;f=html</t>
        </is>
      </c>
    </row>
    <row r="219">
      <c r="A219" t="n">
        <v>688</v>
      </c>
      <c r="B219" t="n">
        <v>441</v>
      </c>
      <c r="C219" t="inlineStr">
        <is>
          <t>DIGITAL LOUDOUN IV-BUILDING S</t>
        </is>
      </c>
      <c r="D219" t="inlineStr">
        <is>
          <t>Site/engineering plan</t>
        </is>
      </c>
      <c r="E219" t="inlineStr">
        <is>
          <t>Approved, not yet built (inferred)</t>
        </is>
      </c>
      <c r="F219" t="inlineStr">
        <is>
          <t>County-stated status of application(s): Approved. Built/not-built is INFERRED: no mapped data center building lies within the application area.</t>
        </is>
      </c>
      <c r="G219" t="inlineStr">
        <is>
          <t>STMP-2022-0012</t>
        </is>
      </c>
      <c r="H219" t="inlineStr">
        <is>
          <t>STMP-2022-0012 (Engineering Plan, Approved)</t>
        </is>
      </c>
      <c r="I219" t="inlineStr">
        <is>
          <t>2022-07-27</t>
        </is>
      </c>
      <c r="J219" t="inlineStr">
        <is>
          <t>DIGITAL LOUDOUN IV-BUILDING S : REQUEST APPROVAL OF A MODIFIED PROCESS SITE PLAN (STMP) FOR CONSTRUCTION OF ONE DATA CENTER BUILDING, GUARD BOOTH BUILDING AND ENTRY PLAZA AREA, AND ASSOCIATED INFRASTRUCTURE AND UTILITIES, IN THE PLANNED DEVELOPMENT-INDUSTRIAL PARK (PDIP) ZONING DISTRICT. AM</t>
        </is>
      </c>
      <c r="M219" t="n">
        <v>39.117252</v>
      </c>
      <c r="N219" t="n">
        <v>-77.578317</v>
      </c>
      <c r="O219" t="inlineStr">
        <is>
          <t>https://logis.loudoun.gov/gis/rest/services/Projects/LOLA_DATA/MapServer/0/query?where=PlanNumber%3D%27STMP-2022-0012%27&amp;outFields=PlanNumber,PlanType,PlanStatus,PlanName,PlanApplicationDate,PlanDescription&amp;f=html</t>
        </is>
      </c>
    </row>
    <row r="220">
      <c r="A220" t="n">
        <v>689</v>
      </c>
      <c r="B220" t="n">
        <v>442</v>
      </c>
      <c r="C220" t="inlineStr">
        <is>
          <t>DULLES 28 TECHNOLOGY PARK</t>
        </is>
      </c>
      <c r="D220" t="inlineStr">
        <is>
          <t>Site/engineering plan</t>
        </is>
      </c>
      <c r="E220" t="inlineStr">
        <is>
          <t>Approved entitlement; buildings already on site</t>
        </is>
      </c>
      <c r="F220" t="inlineStr">
        <is>
          <t>County-stated status of application(s): Approved. Built/not-built is INFERRED: 1 data center building point(s) lie on/adjacent to the application area.</t>
        </is>
      </c>
      <c r="G220" t="inlineStr">
        <is>
          <t>STMP-2022-0013</t>
        </is>
      </c>
      <c r="H220" t="inlineStr">
        <is>
          <t>STMP-2022-0013 (Engineering Plan, Approved)</t>
        </is>
      </c>
      <c r="I220" t="inlineStr">
        <is>
          <t>2022-07-29</t>
        </is>
      </c>
      <c r="J220" t="inlineStr">
        <is>
          <t>DULLES 28 TECHNOLOGY PARK : REQUEST APPROVAL OF A MODIFIED PROCESS SITE PLAN (STMP) FOR THE PROPOSED DEVELOPMENT OF TWO DATA CENTER BUILDINGS AND WHOLESALE/FLEX INDUSTRIAL BUILDINGS, IN THE PLANNED DEVELOPMENT-INDUSTRIAL PARK (PDIP) ZONING DISTRICT. AM</t>
        </is>
      </c>
      <c r="K220" t="inlineStr">
        <is>
          <t>213</t>
        </is>
      </c>
      <c r="L220" t="inlineStr">
        <is>
          <t>043176560000</t>
        </is>
      </c>
      <c r="M220" t="n">
        <v>39.009947</v>
      </c>
      <c r="N220" t="n">
        <v>-77.441648</v>
      </c>
      <c r="O220" t="inlineStr">
        <is>
          <t>https://logis.loudoun.gov/gis/rest/services/Projects/LOLA_DATA/MapServer/0/query?where=PlanNumber%3D%27STMP-2022-0013%27&amp;outFields=PlanNumber,PlanType,PlanStatus,PlanName,PlanApplicationDate,PlanDescription&amp;f=html</t>
        </is>
      </c>
    </row>
    <row r="221">
      <c r="A221" t="n">
        <v>690</v>
      </c>
      <c r="B221" t="n">
        <v>443</v>
      </c>
      <c r="C221" t="inlineStr">
        <is>
          <t>DARVISH DATA CENTER BUILDING B</t>
        </is>
      </c>
      <c r="D221" t="inlineStr">
        <is>
          <t>Site/engineering plan</t>
        </is>
      </c>
      <c r="E221" t="inlineStr">
        <is>
          <t>Approved entitlement; buildings already on site</t>
        </is>
      </c>
      <c r="F221" t="inlineStr">
        <is>
          <t>County-stated status of application(s): Approved. Built/not-built is INFERRED: 1 data center building point(s) lie on/adjacent to the application area.</t>
        </is>
      </c>
      <c r="G221" t="inlineStr">
        <is>
          <t>STMP-2022-0015</t>
        </is>
      </c>
      <c r="H221" t="inlineStr">
        <is>
          <t>STMP-2022-0015 (Engineering Plan, Approved)</t>
        </is>
      </c>
      <c r="I221" t="inlineStr">
        <is>
          <t>2022-08-08</t>
        </is>
      </c>
      <c r="J221" t="inlineStr">
        <is>
          <t>DARVISH DATA CENTER BUILDING B : REQUEST APPROVAL OF A MODIFIED PROCESS SITE PLAN (STMP) FOR A FAST TRACK SITE PLAN FOR CONSTRUCTION OF TWO DATA CENTER BUILDINGS, IN THE PLANNED DEVELOPMENT-INDUSTRIAL PARK (PDIP) ZONING DISTRICT. AM</t>
        </is>
      </c>
      <c r="K221" t="inlineStr">
        <is>
          <t>190</t>
        </is>
      </c>
      <c r="L221" t="inlineStr">
        <is>
          <t>045195615000</t>
        </is>
      </c>
      <c r="M221" t="n">
        <v>38.986462</v>
      </c>
      <c r="N221" t="n">
        <v>-77.435303</v>
      </c>
      <c r="O221" t="inlineStr">
        <is>
          <t>https://logis.loudoun.gov/gis/rest/services/Projects/LOLA_DATA/MapServer/0/query?where=PlanNumber%3D%27STMP-2022-0015%27&amp;outFields=PlanNumber,PlanType,PlanStatus,PlanName,PlanApplicationDate,PlanDescription&amp;f=html</t>
        </is>
      </c>
    </row>
    <row r="222">
      <c r="A222" t="n">
        <v>691</v>
      </c>
      <c r="B222" t="n">
        <v>444</v>
      </c>
      <c r="C222" t="inlineStr">
        <is>
          <t>VANTAGE VA 3</t>
        </is>
      </c>
      <c r="D222" t="inlineStr">
        <is>
          <t>Site/engineering plan</t>
        </is>
      </c>
      <c r="E222" t="inlineStr">
        <is>
          <t>Approved, not yet built (inferred)</t>
        </is>
      </c>
      <c r="F222" t="inlineStr">
        <is>
          <t>County-stated status of application(s): Approved. Built/not-built is INFERRED: no mapped data center building lies within the application area.</t>
        </is>
      </c>
      <c r="G222" t="inlineStr">
        <is>
          <t>STMP-2022-0016</t>
        </is>
      </c>
      <c r="H222" t="inlineStr">
        <is>
          <t>STMP-2022-0016 (Engineering Plan, Approved)</t>
        </is>
      </c>
      <c r="I222" t="inlineStr">
        <is>
          <t>2022-08-12</t>
        </is>
      </c>
      <c r="J222" t="inlineStr">
        <is>
          <t>VANTAGE VA 3 : REQUEST APPROVAL OF A MODIFIED PROCESS SITE PLAN FOR THE CONSTRUCTIONOF FOUR (4) DATACENTER BUILDINGS TOTALING 2,327,448 SQUARE FEET ALONG WITH THE ASSOCIATED ROAD NETWORK, TWO (2) STREAM CROSSINGS, INFRASTRUCTURE, AND STORMWATER MANAGEMENT VAULTS AND PONDS IN THE (A3/PDIP/PDOP) AGRIC</t>
        </is>
      </c>
      <c r="M222" t="n">
        <v>39.117252</v>
      </c>
      <c r="N222" t="n">
        <v>-77.578317</v>
      </c>
      <c r="O222" t="inlineStr">
        <is>
          <t>https://logis.loudoun.gov/gis/rest/services/Projects/LOLA_DATA/MapServer/0/query?where=PlanNumber%3D%27STMP-2022-0016%27&amp;outFields=PlanNumber,PlanType,PlanStatus,PlanName,PlanApplicationDate,PlanDescription&amp;f=html</t>
        </is>
      </c>
    </row>
    <row r="223">
      <c r="A223" t="n">
        <v>692</v>
      </c>
      <c r="B223" t="n">
        <v>445</v>
      </c>
      <c r="C223" t="inlineStr">
        <is>
          <t>CYRUSONE STERLING 11 DATA CENTER PH 2</t>
        </is>
      </c>
      <c r="D223" t="inlineStr">
        <is>
          <t>Site/engineering plan</t>
        </is>
      </c>
      <c r="E223" t="inlineStr">
        <is>
          <t>Approved entitlement; buildings already on site</t>
        </is>
      </c>
      <c r="F223" t="inlineStr">
        <is>
          <t>County-stated status of application(s): Approved. Built/not-built is INFERRED: 2 data center building point(s) lie on/adjacent to the application area.</t>
        </is>
      </c>
      <c r="G223" t="inlineStr">
        <is>
          <t>STMP-2022-0017</t>
        </is>
      </c>
      <c r="H223" t="inlineStr">
        <is>
          <t>STMP-2022-0017 (Engineering Plan, Approved)</t>
        </is>
      </c>
      <c r="I223" t="inlineStr">
        <is>
          <t>2022-08-19</t>
        </is>
      </c>
      <c r="J223" t="inlineStr">
        <is>
          <t>CYRUSONE STERLING 11 DATA CENTER PH 2 : REQUEST APPROVAL OF A MODIFIED PROCESS SITE PLAN (STMP) FOR THE CONSTRUCTION OF A DATA CENTER FACILITY WHICH WILL INCLUDE DATA HALLS, OFFICE SPACE, AND ASSOCIATED ROADWAY, PARKING LOT, AND UTILITY IMPROVEMENTS, IN THE (PDGI) PLANNED DEVELOPMENT-GENERL INDUSTRI</t>
        </is>
      </c>
      <c r="K223" t="inlineStr">
        <is>
          <t>134, 179</t>
        </is>
      </c>
      <c r="L223" t="inlineStr">
        <is>
          <t>124369522000</t>
        </is>
      </c>
      <c r="M223" t="n">
        <v>38.958524</v>
      </c>
      <c r="N223" t="n">
        <v>-77.505234</v>
      </c>
      <c r="O223" t="inlineStr">
        <is>
          <t>https://logis.loudoun.gov/gis/rest/services/Projects/LOLA_DATA/MapServer/0/query?where=PlanNumber%3D%27STMP-2022-0017%27&amp;outFields=PlanNumber,PlanType,PlanStatus,PlanName,PlanApplicationDate,PlanDescription&amp;f=html</t>
        </is>
      </c>
    </row>
    <row r="224">
      <c r="A224" t="n">
        <v>693</v>
      </c>
      <c r="B224" t="n">
        <v>446</v>
      </c>
      <c r="C224" t="inlineStr">
        <is>
          <t>TECH PARK AT BRAMBLETON</t>
        </is>
      </c>
      <c r="D224" t="inlineStr">
        <is>
          <t>Site/engineering plan</t>
        </is>
      </c>
      <c r="E224" t="inlineStr">
        <is>
          <t>Approved, not yet built (inferred)</t>
        </is>
      </c>
      <c r="F224" t="inlineStr">
        <is>
          <t>County-stated status of application(s): Approved. Built/not-built is INFERRED: no mapped data center building lies within the application area.</t>
        </is>
      </c>
      <c r="G224" t="inlineStr">
        <is>
          <t>STMP-2022-0018</t>
        </is>
      </c>
      <c r="H224" t="inlineStr">
        <is>
          <t>STMP-2022-0018 (Engineering Plan, Approved)</t>
        </is>
      </c>
      <c r="I224" t="inlineStr">
        <is>
          <t>2022-09-22</t>
        </is>
      </c>
      <c r="J224" t="inlineStr">
        <is>
          <t>TECH PARK AT BRAMBLETON : REQUEST APPROVAL OF A SITE PLAN (STMP) FOR FOUR (4) DATA CENTER BUILDINGS AND ON-SITE SUBSTATION IN THE PDIP ZONING DISTRICT ZDF</t>
        </is>
      </c>
      <c r="M224" t="n">
        <v>39.117252</v>
      </c>
      <c r="N224" t="n">
        <v>-77.578317</v>
      </c>
      <c r="O224" t="inlineStr">
        <is>
          <t>https://logis.loudoun.gov/gis/rest/services/Projects/LOLA_DATA/MapServer/0/query?where=PlanNumber%3D%27STMP-2022-0018%27&amp;outFields=PlanNumber,PlanType,PlanStatus,PlanName,PlanApplicationDate,PlanDescription&amp;f=html</t>
        </is>
      </c>
    </row>
    <row r="225">
      <c r="A225" t="n">
        <v>694</v>
      </c>
      <c r="B225" t="n">
        <v>447</v>
      </c>
      <c r="C225" t="inlineStr">
        <is>
          <t>PROJECT NOVA SOUTHEAST SITE PLAN</t>
        </is>
      </c>
      <c r="D225" t="inlineStr">
        <is>
          <t>Site/engineering plan</t>
        </is>
      </c>
      <c r="E225" t="inlineStr">
        <is>
          <t>Approved, not yet built (inferred)</t>
        </is>
      </c>
      <c r="F225" t="inlineStr">
        <is>
          <t>County-stated status of application(s): Approved. Built/not-built is INFERRED: no mapped data center building lies within the application area.</t>
        </is>
      </c>
      <c r="G225" t="inlineStr">
        <is>
          <t>STMP-2022-0020</t>
        </is>
      </c>
      <c r="H225" t="inlineStr">
        <is>
          <t>STMP-2022-0020 (Engineering Plan, Approved)</t>
        </is>
      </c>
      <c r="I225" t="inlineStr">
        <is>
          <t>2022-10-03</t>
        </is>
      </c>
      <c r="J225" t="inlineStr">
        <is>
          <t>PROJECT NOVA SOUTHEAST SITE PLAN : REQUEST APPROVAL OF A SITE PLAN (STMP) FOR TWO (2) NEW DATA CENTER FACILITIES WITH ASSOCIATED INFRASTRUCTURE AND BMP IN THE PD-OP ZONING DISTRICT. ZDF</t>
        </is>
      </c>
      <c r="M225" t="n">
        <v>39.117252</v>
      </c>
      <c r="N225" t="n">
        <v>-77.578317</v>
      </c>
      <c r="O225" t="inlineStr">
        <is>
          <t>https://logis.loudoun.gov/gis/rest/services/Projects/LOLA_DATA/MapServer/0/query?where=PlanNumber%3D%27STMP-2022-0020%27&amp;outFields=PlanNumber,PlanType,PlanStatus,PlanName,PlanApplicationDate,PlanDescription&amp;f=html</t>
        </is>
      </c>
    </row>
    <row r="226">
      <c r="A226" t="n">
        <v>695</v>
      </c>
      <c r="B226" t="n">
        <v>448</v>
      </c>
      <c r="C226" t="inlineStr">
        <is>
          <t>TRUE NORTH DATA</t>
        </is>
      </c>
      <c r="D226" t="inlineStr">
        <is>
          <t>Site/engineering plan</t>
        </is>
      </c>
      <c r="E226" t="inlineStr">
        <is>
          <t>Approved, not yet built (inferred)</t>
        </is>
      </c>
      <c r="F226" t="inlineStr">
        <is>
          <t>County-stated status of application(s): Approved. Built/not-built is INFERRED: no mapped data center building lies within the application area.</t>
        </is>
      </c>
      <c r="G226" t="inlineStr">
        <is>
          <t>STMP-2022-0021</t>
        </is>
      </c>
      <c r="H226" t="inlineStr">
        <is>
          <t>STMP-2022-0021 (Engineering Plan, Approved)</t>
        </is>
      </c>
      <c r="I226" t="inlineStr">
        <is>
          <t>2022-10-20</t>
        </is>
      </c>
      <c r="J226" t="inlineStr">
        <is>
          <t>TRUE NORTH DATA : REQUEST APPROVAL OF A MODIFIED PROCESS SITE PLAN (STMP) FOR A 309,906 SF DATA CENTER, IN THE PLANNED DEVELOPMENT- OFFICE PARK (PDOP) ZONINING DISTRICT. JAB</t>
        </is>
      </c>
      <c r="M226" t="n">
        <v>39.117252</v>
      </c>
      <c r="N226" t="n">
        <v>-77.578317</v>
      </c>
      <c r="O226" t="inlineStr">
        <is>
          <t>https://logis.loudoun.gov/gis/rest/services/Projects/LOLA_DATA/MapServer/0/query?where=PlanNumber%3D%27STMP-2022-0021%27&amp;outFields=PlanNumber,PlanType,PlanStatus,PlanName,PlanApplicationDate,PlanDescription&amp;f=html</t>
        </is>
      </c>
    </row>
    <row r="227">
      <c r="A227" t="n">
        <v>696</v>
      </c>
      <c r="B227" t="n">
        <v>449</v>
      </c>
      <c r="C227" t="inlineStr">
        <is>
          <t>VANTAGE-VA22</t>
        </is>
      </c>
      <c r="D227" t="inlineStr">
        <is>
          <t>Site/engineering plan</t>
        </is>
      </c>
      <c r="E227" t="inlineStr">
        <is>
          <t>Approved entitlement; buildings already on site</t>
        </is>
      </c>
      <c r="F227" t="inlineStr">
        <is>
          <t>County-stated status of application(s): Approved. Built/not-built is INFERRED: 2 data center building point(s) lie on/adjacent to the application area.</t>
        </is>
      </c>
      <c r="G227" t="inlineStr">
        <is>
          <t>STMP-2022-0023</t>
        </is>
      </c>
      <c r="H227" t="inlineStr">
        <is>
          <t>STMP-2022-0023 (Engineering Plan, Approved)</t>
        </is>
      </c>
      <c r="I227" t="inlineStr">
        <is>
          <t>2022-10-31</t>
        </is>
      </c>
      <c r="J227" t="inlineStr">
        <is>
          <t>VANTAGE-VA22 : REQUEST APPROVAL OF A SITE PLAN (Fast Track) for the construction of Data Center, circulation drives, and associated infrastructure on landpreviously developed under. (PDIP) ZONING DISTRICT. JAB STMP-2022-0006.</t>
        </is>
      </c>
      <c r="K227" t="inlineStr">
        <is>
          <t>194, 198</t>
        </is>
      </c>
      <c r="L227" t="inlineStr">
        <is>
          <t>032155119000</t>
        </is>
      </c>
      <c r="M227" t="n">
        <v>38.997768</v>
      </c>
      <c r="N227" t="n">
        <v>-77.429979</v>
      </c>
      <c r="O227" t="inlineStr">
        <is>
          <t>https://logis.loudoun.gov/gis/rest/services/Projects/LOLA_DATA/MapServer/0/query?where=PlanNumber%3D%27STMP-2022-0023%27&amp;outFields=PlanNumber,PlanType,PlanStatus,PlanName,PlanApplicationDate,PlanDescription&amp;f=html</t>
        </is>
      </c>
    </row>
    <row r="228">
      <c r="A228" t="n">
        <v>697</v>
      </c>
      <c r="B228" t="n">
        <v>450</v>
      </c>
      <c r="C228" t="inlineStr">
        <is>
          <t>PARCEL J ASHBURN CENTER</t>
        </is>
      </c>
      <c r="D228" t="inlineStr">
        <is>
          <t>Site/engineering plan</t>
        </is>
      </c>
      <c r="E228" t="inlineStr">
        <is>
          <t>Approved, not yet built (inferred)</t>
        </is>
      </c>
      <c r="F228" t="inlineStr">
        <is>
          <t>County-stated status of application(s): Approved. Built/not-built is INFERRED: no mapped data center building lies within the application area.</t>
        </is>
      </c>
      <c r="G228" t="inlineStr">
        <is>
          <t>STMP-2023-0001</t>
        </is>
      </c>
      <c r="H228" t="inlineStr">
        <is>
          <t>STMP-2023-0001 (Engineering Plan, Approved)</t>
        </is>
      </c>
      <c r="I228" t="inlineStr">
        <is>
          <t>2023-01-05</t>
        </is>
      </c>
      <c r="J228" t="inlineStr">
        <is>
          <t>PARCEL J ASHBURN CENTER : REQUEST APPROVAL OF A MODIFIED PROCESS SITE PLAN (STMP) FOR DEMO OF EXISTING ONE (1) STORY BUILDING AND CONSTRUCTION OF DATA CENTER AND ASSOCIATED INFRASTRUCTURE, IN THE PLANNED DEVELOPMENT - INDUSTRIAL PARK (PDIP) ZONING DISTRICT. EK</t>
        </is>
      </c>
      <c r="M228" t="n">
        <v>39.117252</v>
      </c>
      <c r="N228" t="n">
        <v>-77.578317</v>
      </c>
      <c r="O228" t="inlineStr">
        <is>
          <t>https://logis.loudoun.gov/gis/rest/services/Projects/LOLA_DATA/MapServer/0/query?where=PlanNumber%3D%27STMP-2023-0001%27&amp;outFields=PlanNumber,PlanType,PlanStatus,PlanName,PlanApplicationDate,PlanDescription&amp;f=html</t>
        </is>
      </c>
    </row>
    <row r="229">
      <c r="A229" t="n">
        <v>698</v>
      </c>
      <c r="B229" t="n">
        <v>451</v>
      </c>
      <c r="C229" t="inlineStr">
        <is>
          <t>IAD05</t>
        </is>
      </c>
      <c r="D229" t="inlineStr">
        <is>
          <t>Site/engineering plan</t>
        </is>
      </c>
      <c r="E229" t="inlineStr">
        <is>
          <t>Approved entitlement; buildings already on site</t>
        </is>
      </c>
      <c r="F229" t="inlineStr">
        <is>
          <t>County-stated status of application(s): Approved. Built/not-built is INFERRED: 7 data center building point(s) lie on/adjacent to the application area.</t>
        </is>
      </c>
      <c r="G229" t="inlineStr">
        <is>
          <t>STMP-2023-0004</t>
        </is>
      </c>
      <c r="H229" t="inlineStr">
        <is>
          <t>STMP-2023-0004 (Engineering Plan, Approved)</t>
        </is>
      </c>
      <c r="I229" t="inlineStr">
        <is>
          <t>2023-03-08</t>
        </is>
      </c>
      <c r="J229" t="inlineStr">
        <is>
          <t>IAD05 : REQUEST APPROVAL OF A MODIFIED PROCESS SITE PLAN (STMP) FOR CONSTRUCTION OF ONE (1) DATA CENTER IN THE, PLANNED DEVELOPMENT INDUSTRIAL PARK (PDIP) ZONING DISTRICT. EK</t>
        </is>
      </c>
      <c r="K229" t="inlineStr">
        <is>
          <t>98, 144, 145, 174, 175, 196, 204</t>
        </is>
      </c>
      <c r="L229" t="inlineStr">
        <is>
          <t>235297431000</t>
        </is>
      </c>
      <c r="M229" t="n">
        <v>39.062372</v>
      </c>
      <c r="N229" t="n">
        <v>-77.55427299999999</v>
      </c>
      <c r="O229" t="inlineStr">
        <is>
          <t>https://logis.loudoun.gov/gis/rest/services/Projects/LOLA_DATA/MapServer/0/query?where=PlanNumber%3D%27STMP-2023-0004%27&amp;outFields=PlanNumber,PlanType,PlanStatus,PlanName,PlanApplicationDate,PlanDescription&amp;f=html</t>
        </is>
      </c>
    </row>
    <row r="230">
      <c r="A230" t="n">
        <v>699</v>
      </c>
      <c r="B230" t="n">
        <v>452</v>
      </c>
      <c r="C230" t="inlineStr">
        <is>
          <t>IAD12 &amp; IAD13 DATA CENTER</t>
        </is>
      </c>
      <c r="D230" t="inlineStr">
        <is>
          <t>Site/engineering plan</t>
        </is>
      </c>
      <c r="E230" t="inlineStr">
        <is>
          <t>Approved entitlement; buildings already on site</t>
        </is>
      </c>
      <c r="F230" t="inlineStr">
        <is>
          <t>County-stated status of application(s): Approved. Built/not-built is INFERRED: 3 data center building point(s) lie on/adjacent to the application area.</t>
        </is>
      </c>
      <c r="G230" t="inlineStr">
        <is>
          <t>STMP-2023-0005</t>
        </is>
      </c>
      <c r="H230" t="inlineStr">
        <is>
          <t>STMP-2023-0005 (Engineering Plan, Approved)</t>
        </is>
      </c>
      <c r="I230" t="inlineStr">
        <is>
          <t>2023-05-15</t>
        </is>
      </c>
      <c r="J230" t="inlineStr">
        <is>
          <t>IAD12 &amp; IAD13 DATA CENTER : REQUEST APPROVAL OF A MODIFIED PROCESS SITE PLAN (STMP) FOR CONSTRUCTION OF TWO (2) DATA CENTER BUILDINGS AND ASSOCIATED ROADS, UTILITIES, AND AN OFFSITE STEP POOL CONVEYANCE SYSTEM, IN THE PLANNED DEVELOPMENT - INDUSTRIAL PARK (PDIP) AND SINGLE FAMILY RESIDENTIAL - 1(R1)</t>
        </is>
      </c>
      <c r="K230" t="inlineStr">
        <is>
          <t>176, 205, 206</t>
        </is>
      </c>
      <c r="L230" t="inlineStr">
        <is>
          <t>203354208000</t>
        </is>
      </c>
      <c r="M230" t="n">
        <v>38.949041</v>
      </c>
      <c r="N230" t="n">
        <v>-77.555145</v>
      </c>
      <c r="O230" t="inlineStr">
        <is>
          <t>https://logis.loudoun.gov/gis/rest/services/Projects/LOLA_DATA/MapServer/0/query?where=PlanNumber%3D%27STMP-2023-0005%27&amp;outFields=PlanNumber,PlanType,PlanStatus,PlanName,PlanApplicationDate,PlanDescription&amp;f=html</t>
        </is>
      </c>
    </row>
    <row r="231">
      <c r="A231" t="n">
        <v>700</v>
      </c>
      <c r="B231" t="n">
        <v>453</v>
      </c>
      <c r="C231" t="inlineStr">
        <is>
          <t>ASHBURN CORPORATE CENTER PHASE II</t>
        </is>
      </c>
      <c r="D231" t="inlineStr">
        <is>
          <t>Site/engineering plan</t>
        </is>
      </c>
      <c r="E231" t="inlineStr">
        <is>
          <t>Approved entitlement; buildings already on site</t>
        </is>
      </c>
      <c r="F231" t="inlineStr">
        <is>
          <t>County-stated status of application(s): Approved. Built/not-built is INFERRED: 1 data center building point(s) lie on/adjacent to the application area.</t>
        </is>
      </c>
      <c r="G231" t="inlineStr">
        <is>
          <t>STPL-2006-0004</t>
        </is>
      </c>
      <c r="H231" t="inlineStr">
        <is>
          <t>STPL-2006-0004 (Engineering Plan, Approved)</t>
        </is>
      </c>
      <c r="I231" t="inlineStr">
        <is>
          <t>2006-01-26</t>
        </is>
      </c>
      <c r="J231" t="inlineStr">
        <is>
          <t>ASHBURN CORPORATE CENTER PHASE II : REQUEST APPROVAL OF A SITE PLAN FOR A ONE-STORY DATA CENTER BUILDING ASSOCIATED PARKING AND UTILITY EXTENSIONS. er</t>
        </is>
      </c>
      <c r="K231" t="inlineStr">
        <is>
          <t>40</t>
        </is>
      </c>
      <c r="L231" t="inlineStr">
        <is>
          <t>060178810000</t>
        </is>
      </c>
      <c r="M231" t="n">
        <v>39.017905</v>
      </c>
      <c r="N231" t="n">
        <v>-77.46264600000001</v>
      </c>
      <c r="O231" t="inlineStr">
        <is>
          <t>https://logis.loudoun.gov/gis/rest/services/Projects/LOLA_DATA/MapServer/0/query?where=PlanNumber%3D%27STPL-2006-0004%27&amp;outFields=PlanNumber,PlanType,PlanStatus,PlanName,PlanApplicationDate,PlanDescription&amp;f=html</t>
        </is>
      </c>
    </row>
    <row r="232">
      <c r="A232" t="n">
        <v>701</v>
      </c>
      <c r="B232" t="n">
        <v>454</v>
      </c>
      <c r="C232" t="inlineStr">
        <is>
          <t>PETERSON/COMMONWEALTH CENTER</t>
        </is>
      </c>
      <c r="D232" t="inlineStr">
        <is>
          <t>Site/engineering plan</t>
        </is>
      </c>
      <c r="E232" t="inlineStr">
        <is>
          <t>Approved entitlement; buildings already on site</t>
        </is>
      </c>
      <c r="F232" t="inlineStr">
        <is>
          <t>County-stated status of application(s): Approved. Built/not-built is INFERRED: 1 data center building point(s) lie on/adjacent to the application area.</t>
        </is>
      </c>
      <c r="G232" t="inlineStr">
        <is>
          <t>STPL-2006-0075</t>
        </is>
      </c>
      <c r="H232" t="inlineStr">
        <is>
          <t>STPL-2006-0075 (Engineering Plan, Approved); STPR-2007-0032 (Engineering Plan, Approved); STPR-2008-0019 (Engineering Plan, Approved)</t>
        </is>
      </c>
      <c r="I232" t="inlineStr">
        <is>
          <t>2006-11-07</t>
        </is>
      </c>
      <c r="J232" t="inlineStr">
        <is>
          <t>PETERSON/COMMONWEALTH CENTER : REQUEST APPROVAL OF A SITE PLAN REVISION TO PREVIOUSLY APPROVED PLANS (STPR 2007-0032) FOR CONSTRUCTION OF GENERAL OFFICE AND DATA CENTER IN THE PLANNED DEVELOPMENT INDUSTRIAL PARK (PDIP) ZONING DISTRICT. er</t>
        </is>
      </c>
      <c r="K232" t="inlineStr">
        <is>
          <t>13</t>
        </is>
      </c>
      <c r="L232" t="inlineStr">
        <is>
          <t>040464286000</t>
        </is>
      </c>
      <c r="M232" t="n">
        <v>39.049231</v>
      </c>
      <c r="N232" t="n">
        <v>-77.44514599999999</v>
      </c>
      <c r="O232" t="inlineStr">
        <is>
          <t>https://logis.loudoun.gov/gis/rest/services/Projects/LOLA_DATA/MapServer/0/query?where=PlanNumber%3D%27STPR-2008-0019%27&amp;outFields=PlanNumber,PlanType,PlanStatus,PlanName,PlanApplicationDate,PlanDescription&amp;f=html</t>
        </is>
      </c>
    </row>
    <row r="233">
      <c r="A233" t="n">
        <v>702</v>
      </c>
      <c r="B233" t="n">
        <v>455</v>
      </c>
      <c r="C233" t="inlineStr">
        <is>
          <t>PROJECT COLUMBIA</t>
        </is>
      </c>
      <c r="D233" t="inlineStr">
        <is>
          <t>Site/engineering plan</t>
        </is>
      </c>
      <c r="E233" t="inlineStr">
        <is>
          <t>Approved entitlement; buildings already on site</t>
        </is>
      </c>
      <c r="F233" t="inlineStr">
        <is>
          <t>County-stated status of application(s): Approved. Built/not-built is INFERRED: 1 data center building point(s) lie on/adjacent to the application area.</t>
        </is>
      </c>
      <c r="G233" t="inlineStr">
        <is>
          <t>STPL-2011-0015</t>
        </is>
      </c>
      <c r="H233" t="inlineStr">
        <is>
          <t>STPL-2011-0015 (Engineering Plan, Approved)</t>
        </is>
      </c>
      <c r="I233" t="inlineStr">
        <is>
          <t>2011-06-14</t>
        </is>
      </c>
      <c r="J233" t="inlineStr">
        <is>
          <t>PROJECT COLUMBIA : REQUEST APPROVAL OF A SITE PLAN (STPL) FOR A PROPOSED SIXTY FOUR THOUSAND SEVEN HUNDRED EITHY TWO (64,782) SQUARE FOOT DATA CENTER AND A THIRTEEN THOUSAND SIX HUNDRED TWENTY SIX (13,626) SQUARE FOOT EXISTING DATA CENTER. DAS</t>
        </is>
      </c>
      <c r="K233" t="inlineStr">
        <is>
          <t>53</t>
        </is>
      </c>
      <c r="L233" t="inlineStr">
        <is>
          <t>045458114000</t>
        </is>
      </c>
      <c r="M233" t="n">
        <v>38.994455</v>
      </c>
      <c r="N233" t="n">
        <v>-77.448132</v>
      </c>
      <c r="O233" t="inlineStr">
        <is>
          <t>https://logis.loudoun.gov/gis/rest/services/Projects/LOLA_DATA/MapServer/0/query?where=PlanNumber%3D%27STPL-2011-0015%27&amp;outFields=PlanNumber,PlanType,PlanStatus,PlanName,PlanApplicationDate,PlanDescription&amp;f=html</t>
        </is>
      </c>
    </row>
    <row r="234">
      <c r="A234" t="n">
        <v>703</v>
      </c>
      <c r="B234" t="n">
        <v>456</v>
      </c>
      <c r="C234" t="inlineStr">
        <is>
          <t>LOUDOUN METRO DATA CENTERS LM1 &amp; LM2</t>
        </is>
      </c>
      <c r="D234" t="inlineStr">
        <is>
          <t>Site/engineering plan</t>
        </is>
      </c>
      <c r="E234" t="inlineStr">
        <is>
          <t>Approved entitlement; buildings already on site</t>
        </is>
      </c>
      <c r="F234" t="inlineStr">
        <is>
          <t>County-stated status of application(s): Approved. Built/not-built is INFERRED: 1 data center building point(s) lie on/adjacent to the application area.</t>
        </is>
      </c>
      <c r="G234" t="inlineStr">
        <is>
          <t>STPL-2013-0032</t>
        </is>
      </c>
      <c r="H234" t="inlineStr">
        <is>
          <t>STPL-2013-0032 (Engineering Plan, Approved)</t>
        </is>
      </c>
      <c r="I234" t="inlineStr">
        <is>
          <t>2013-06-11</t>
        </is>
      </c>
      <c r="J234" t="inlineStr">
        <is>
          <t>LOUDOUN METRO DATA CENTERS LM1 &amp; LM2 : REQUEST APPROVAL OF A SITE PLAN (SPTL) FOR THE DESIGN OF TWO (2) DATA CENTER BUILDINGS, AND ASSOCIATED UTILITIES AND INFRASTRUCTURE IN THE PLANNED DEVELOPMENT OFFICE PARK ZONING DSITRICT. EB</t>
        </is>
      </c>
      <c r="K234" t="inlineStr">
        <is>
          <t>217</t>
        </is>
      </c>
      <c r="L234" t="inlineStr">
        <is>
          <t>089496314000</t>
        </is>
      </c>
      <c r="M234" t="n">
        <v>39.007779</v>
      </c>
      <c r="N234" t="n">
        <v>-77.477082</v>
      </c>
      <c r="O234" t="inlineStr">
        <is>
          <t>https://logis.loudoun.gov/gis/rest/services/Projects/LOLA_DATA/MapServer/0/query?where=PlanNumber%3D%27STPL-2013-0032%27&amp;outFields=PlanNumber,PlanType,PlanStatus,PlanName,PlanApplicationDate,PlanDescription&amp;f=html</t>
        </is>
      </c>
    </row>
    <row r="235">
      <c r="A235" t="n">
        <v>704</v>
      </c>
      <c r="B235" t="n">
        <v>457</v>
      </c>
      <c r="C235" t="inlineStr">
        <is>
          <t>LOUDOUN CENTER ACC-9 DATA CENTER</t>
        </is>
      </c>
      <c r="D235" t="inlineStr">
        <is>
          <t>Site/engineering plan</t>
        </is>
      </c>
      <c r="E235" t="inlineStr">
        <is>
          <t>Approved, not yet built (inferred)</t>
        </is>
      </c>
      <c r="F235" t="inlineStr">
        <is>
          <t>County-stated status of application(s): Approved. Built/not-built is INFERRED: no mapped data center building lies within the application area.</t>
        </is>
      </c>
      <c r="G235" t="inlineStr">
        <is>
          <t>STPL-2013-0058</t>
        </is>
      </c>
      <c r="H235" t="inlineStr">
        <is>
          <t>STPL-2013-0058 (Engineering Plan, Approved)</t>
        </is>
      </c>
      <c r="I235" t="inlineStr">
        <is>
          <t>2013-12-26</t>
        </is>
      </c>
      <c r="J235" t="inlineStr">
        <is>
          <t>LOUDOUN CENTER ACC-9 DATA CENTER : REQUEST APPROVAL OF A SITE PLAN (STPL) FOR THE DESIGN OF A SINGLE DATACENTER BUILDING AND ASSOCIATES UTILITIES AND INFRASTRUCTURE IN A OFFICE PARK ZONING DISTRICT. SMK</t>
        </is>
      </c>
      <c r="M235" t="n">
        <v>39.117252</v>
      </c>
      <c r="N235" t="n">
        <v>-77.578317</v>
      </c>
      <c r="O235" t="inlineStr">
        <is>
          <t>https://logis.loudoun.gov/gis/rest/services/Projects/LOLA_DATA/MapServer/0/query?where=PlanNumber%3D%27STPL-2013-0058%27&amp;outFields=PlanNumber,PlanType,PlanStatus,PlanName,PlanApplicationDate,PlanDescription&amp;f=html</t>
        </is>
      </c>
    </row>
    <row r="236">
      <c r="A236" t="n">
        <v>705</v>
      </c>
      <c r="B236" t="n">
        <v>458</v>
      </c>
      <c r="C236" t="inlineStr">
        <is>
          <t>BEAUMEADE/LOUDOUN COUNTY PKWY PH III</t>
        </is>
      </c>
      <c r="D236" t="inlineStr">
        <is>
          <t>Site/engineering plan</t>
        </is>
      </c>
      <c r="E236" t="inlineStr">
        <is>
          <t>Approved, not yet built (inferred)</t>
        </is>
      </c>
      <c r="F236" t="inlineStr">
        <is>
          <t>County-stated status of application(s): Approved. Built/not-built is INFERRED: no mapped data center building lies within the application area.</t>
        </is>
      </c>
      <c r="G236" t="inlineStr">
        <is>
          <t>STPL-2014-0017</t>
        </is>
      </c>
      <c r="H236" t="inlineStr">
        <is>
          <t>STPL-2014-0017 (Engineering Plan, Approved)</t>
        </is>
      </c>
      <c r="I236" t="inlineStr">
        <is>
          <t>2014-03-18</t>
        </is>
      </c>
      <c r="J236" t="inlineStr">
        <is>
          <t>BEAUMEADE/LOUDOUN COUNTY PKWY PH III : REQUEST APPROVAL OF A SITE PLAN (STPL) FOR IMPROVEMENTS ASSOCIATED WITH TWO (2) DATA CENTERS BUILDINGS IN A INDUSTRIAL ZONING DISTRICT. SMK</t>
        </is>
      </c>
      <c r="M236" t="n">
        <v>39.117252</v>
      </c>
      <c r="N236" t="n">
        <v>-77.578317</v>
      </c>
      <c r="O236" t="inlineStr">
        <is>
          <t>https://logis.loudoun.gov/gis/rest/services/Projects/LOLA_DATA/MapServer/0/query?where=PlanNumber%3D%27STPL-2014-0017%27&amp;outFields=PlanNumber,PlanType,PlanStatus,PlanName,PlanApplicationDate,PlanDescription&amp;f=html</t>
        </is>
      </c>
    </row>
    <row r="237">
      <c r="A237" t="n">
        <v>706</v>
      </c>
      <c r="B237" t="n">
        <v>459</v>
      </c>
      <c r="C237" t="inlineStr">
        <is>
          <t>LOUDOUN METRO DATA CENTER LM 3 &amp; LM 4</t>
        </is>
      </c>
      <c r="D237" t="inlineStr">
        <is>
          <t>Site/engineering plan</t>
        </is>
      </c>
      <c r="E237" t="inlineStr">
        <is>
          <t>Approved, not yet built (inferred)</t>
        </is>
      </c>
      <c r="F237" t="inlineStr">
        <is>
          <t>County-stated status of application(s): Approved. Built/not-built is INFERRED: no mapped data center building lies within the application area.</t>
        </is>
      </c>
      <c r="G237" t="inlineStr">
        <is>
          <t>STPL-2014-0024</t>
        </is>
      </c>
      <c r="H237" t="inlineStr">
        <is>
          <t>STPL-2014-0024 (Engineering Plan, Approved)</t>
        </is>
      </c>
      <c r="I237" t="inlineStr">
        <is>
          <t>2014-05-22</t>
        </is>
      </c>
      <c r="J237" t="inlineStr">
        <is>
          <t>LOUDOUN METRO DATA CENTER LM 3 &amp; LM 4 : REQUEST APPROVAL OF A SITE PLAN (STPL) FOR TWO (2) DATA CENTER BUILDINGS AND ASSOCIATED ROADWAYS AND INFRASTRUCTURE PER APPROVED ZMAP-2000-0006. MCC</t>
        </is>
      </c>
      <c r="M237" t="n">
        <v>39.005552</v>
      </c>
      <c r="N237" t="n">
        <v>-77.482617</v>
      </c>
      <c r="O237" t="inlineStr">
        <is>
          <t>https://logis.loudoun.gov/gis/rest/services/Projects/LOLA_DATA/MapServer/0/query?where=PlanNumber%3D%27STPL-2014-0024%27&amp;outFields=PlanNumber,PlanType,PlanStatus,PlanName,PlanApplicationDate,PlanDescription&amp;f=html</t>
        </is>
      </c>
    </row>
    <row r="238">
      <c r="A238" t="n">
        <v>707</v>
      </c>
      <c r="B238" t="n">
        <v>460</v>
      </c>
      <c r="C238" t="inlineStr">
        <is>
          <t>LOUDOUN METRO DATA CENTER LM5-LM8</t>
        </is>
      </c>
      <c r="D238" t="inlineStr">
        <is>
          <t>Site/engineering plan</t>
        </is>
      </c>
      <c r="E238" t="inlineStr">
        <is>
          <t>Approved entitlement; buildings already on site</t>
        </is>
      </c>
      <c r="F238" t="inlineStr">
        <is>
          <t>County-stated status of application(s): Approved. Built/not-built is INFERRED: 1 data center building point(s) lie on/adjacent to the application area.</t>
        </is>
      </c>
      <c r="G238" t="inlineStr">
        <is>
          <t>STPL-2015-0011</t>
        </is>
      </c>
      <c r="H238" t="inlineStr">
        <is>
          <t>STPL-2015-0011 (Engineering Plan, Approved)</t>
        </is>
      </c>
      <c r="I238" t="inlineStr">
        <is>
          <t>2015-03-26</t>
        </is>
      </c>
      <c r="J238" t="inlineStr">
        <is>
          <t>LOUDOUN METRO DATA CENTER LM5-LM8 : REQUEST APPROVAL OF A SITE PLAN (STPL) FOR FOUR (4) DATA CENTER BUILDINGS AND ASSOCIATED ROADWAYS AND INFRASTRUCTURES IN A OFFICE PARKZONING DISTRICT. SMK</t>
        </is>
      </c>
      <c r="K238" t="inlineStr">
        <is>
          <t>217</t>
        </is>
      </c>
      <c r="L238" t="inlineStr">
        <is>
          <t>089496314000</t>
        </is>
      </c>
      <c r="M238" t="n">
        <v>39.00569</v>
      </c>
      <c r="N238" t="n">
        <v>-77.47698099999999</v>
      </c>
      <c r="O238" t="inlineStr">
        <is>
          <t>https://logis.loudoun.gov/gis/rest/services/Projects/LOLA_DATA/MapServer/0/query?where=PlanNumber%3D%27STPL-2015-0011%27&amp;outFields=PlanNumber,PlanType,PlanStatus,PlanName,PlanApplicationDate,PlanDescription&amp;f=html</t>
        </is>
      </c>
    </row>
    <row r="239">
      <c r="A239" t="n">
        <v>708</v>
      </c>
      <c r="B239" t="n">
        <v>461</v>
      </c>
      <c r="C239" t="inlineStr">
        <is>
          <t>ARCOLA LAKHVINDER PROPERTY</t>
        </is>
      </c>
      <c r="D239" t="inlineStr">
        <is>
          <t>Site/engineering plan</t>
        </is>
      </c>
      <c r="E239" t="inlineStr">
        <is>
          <t>Pending application</t>
        </is>
      </c>
      <c r="F239" t="inlineStr">
        <is>
          <t>County-stated status of application(s): In Review.</t>
        </is>
      </c>
      <c r="G239" t="inlineStr">
        <is>
          <t>STPL-2018-0019</t>
        </is>
      </c>
      <c r="H239" t="inlineStr">
        <is>
          <t>STPL-2018-0019 (Engineering Plan, In Review)</t>
        </is>
      </c>
      <c r="I239" t="inlineStr">
        <is>
          <t>2018-06-19</t>
        </is>
      </c>
      <c r="J239" t="inlineStr">
        <is>
          <t>(Conditional Approval) ARCOLA LAKHVINDER PROPERTY : REQUEST APPROVAL OF A SITE PLAN (STPL) FOR TWO DATA CENTER BUILDINGS WITH ASSOCIATED INFRASTRUCTURE, IN THE PLANNED DEVELOPMENT- GENERAL INDUSTRIAL (PDGI) ZONING DISTRICT. HV</t>
        </is>
      </c>
      <c r="M239" t="n">
        <v>38.942053</v>
      </c>
      <c r="N239" t="n">
        <v>-77.54690600000001</v>
      </c>
      <c r="O239" t="inlineStr">
        <is>
          <t>https://logis.loudoun.gov/gis/rest/services/Projects/LOLA_DATA/MapServer/0/query?where=PlanNumber%3D%27STPL-2018-0019%27&amp;outFields=PlanNumber,PlanType,PlanStatus,PlanName,PlanApplicationDate,PlanDescription&amp;f=html</t>
        </is>
      </c>
    </row>
    <row r="240">
      <c r="A240" t="n">
        <v>709</v>
      </c>
      <c r="B240" t="n">
        <v>462</v>
      </c>
      <c r="C240" t="inlineStr">
        <is>
          <t>21673 BEAUMEADE CIRCLE</t>
        </is>
      </c>
      <c r="D240" t="inlineStr">
        <is>
          <t>Site/engineering plan</t>
        </is>
      </c>
      <c r="E240" t="inlineStr">
        <is>
          <t>Approved entitlement; buildings already on site</t>
        </is>
      </c>
      <c r="F240" t="inlineStr">
        <is>
          <t>County-stated status of application(s): Approved. Built/not-built is INFERRED: 1 data center building point(s) lie on/adjacent to the application area.</t>
        </is>
      </c>
      <c r="G240" t="inlineStr">
        <is>
          <t>STPL-2019-0037</t>
        </is>
      </c>
      <c r="H240" t="inlineStr">
        <is>
          <t>STPL-2019-0037 (Engineering Plan, Approved)</t>
        </is>
      </c>
      <c r="I240" t="inlineStr">
        <is>
          <t>2019-09-17</t>
        </is>
      </c>
      <c r="J240" t="inlineStr">
        <is>
          <t>21673 BEAUMEADE CIRCLE : REQUEST APPROVAL OF A SITE PLAN (STPL) FOR A DATA CENTER, IN THE PLANNED DEVELOPMENT- INDUSTRIAL PARK (PDIP) ZONING DISTRICT. HV</t>
        </is>
      </c>
      <c r="K240" t="inlineStr">
        <is>
          <t>158</t>
        </is>
      </c>
      <c r="L240" t="inlineStr">
        <is>
          <t>060189720000</t>
        </is>
      </c>
      <c r="M240" t="n">
        <v>39.018806</v>
      </c>
      <c r="N240" t="n">
        <v>-77.45822200000001</v>
      </c>
      <c r="O240" t="inlineStr">
        <is>
          <t>https://logis.loudoun.gov/gis/rest/services/Projects/LOLA_DATA/MapServer/0/query?where=PlanNumber%3D%27STPL-2019-0037%27&amp;outFields=PlanNumber,PlanType,PlanStatus,PlanName,PlanApplicationDate,PlanDescription&amp;f=html</t>
        </is>
      </c>
    </row>
    <row r="241">
      <c r="A241" t="n">
        <v>710</v>
      </c>
      <c r="B241" t="n">
        <v>463</v>
      </c>
      <c r="C241" t="inlineStr">
        <is>
          <t>ASHBURN CENTER NORTH ZCOLO</t>
        </is>
      </c>
      <c r="D241" t="inlineStr">
        <is>
          <t>Site/engineering plan</t>
        </is>
      </c>
      <c r="E241" t="inlineStr">
        <is>
          <t>Approved entitlement; buildings already on site</t>
        </is>
      </c>
      <c r="F241" t="inlineStr">
        <is>
          <t>County-stated status of application(s): Approved. Built/not-built is INFERRED: 1 data center building point(s) lie on/adjacent to the application area.</t>
        </is>
      </c>
      <c r="G241" t="inlineStr">
        <is>
          <t>STPL-2019-0039</t>
        </is>
      </c>
      <c r="H241" t="inlineStr">
        <is>
          <t>STPL-2019-0039 (Engineering Plan, Approved)</t>
        </is>
      </c>
      <c r="I241" t="inlineStr">
        <is>
          <t>2019-10-02</t>
        </is>
      </c>
      <c r="J241" t="inlineStr">
        <is>
          <t>ASHBURN CENTER NORTH ZCOLO : REQUEST APPROVAL OF A SITE PLAN (STPL) FOR A PROPOSED DATA CENTER, IN THE PLANNED DEVELOPMENT- INDUSTRIAL PARK (PDIP) ZONING DISTRICT. HV</t>
        </is>
      </c>
      <c r="K241" t="inlineStr">
        <is>
          <t>181</t>
        </is>
      </c>
      <c r="L241" t="inlineStr">
        <is>
          <t>088481748000</t>
        </is>
      </c>
      <c r="M241" t="n">
        <v>39.017963</v>
      </c>
      <c r="N241" t="n">
        <v>-77.48157</v>
      </c>
      <c r="O241" t="inlineStr">
        <is>
          <t>https://logis.loudoun.gov/gis/rest/services/Projects/LOLA_DATA/MapServer/0/query?where=PlanNumber%3D%27STPL-2019-0039%27&amp;outFields=PlanNumber,PlanType,PlanStatus,PlanName,PlanApplicationDate,PlanDescription&amp;f=html</t>
        </is>
      </c>
    </row>
    <row r="242">
      <c r="A242" t="n">
        <v>711</v>
      </c>
      <c r="B242" t="n">
        <v>464</v>
      </c>
      <c r="C242" t="inlineStr">
        <is>
          <t>LOUDOUN CENTER- LC3 DATA CENTER</t>
        </is>
      </c>
      <c r="D242" t="inlineStr">
        <is>
          <t>Site/engineering plan</t>
        </is>
      </c>
      <c r="E242" t="inlineStr">
        <is>
          <t>Approved entitlement; buildings already on site</t>
        </is>
      </c>
      <c r="F242" t="inlineStr">
        <is>
          <t>County-stated status of application(s): Approved. Built/not-built is INFERRED: 2 data center building point(s) lie on/adjacent to the application area.</t>
        </is>
      </c>
      <c r="G242" t="inlineStr">
        <is>
          <t>STPL-2020-0044</t>
        </is>
      </c>
      <c r="H242" t="inlineStr">
        <is>
          <t>STPL-2020-0044 (Engineering Plan, Approved)</t>
        </is>
      </c>
      <c r="I242" t="inlineStr">
        <is>
          <t>2020-10-13</t>
        </is>
      </c>
      <c r="J242" t="inlineStr">
        <is>
          <t>LOUDOUN CENTER- LC3 DATA CENTER : REQUEST APPROVAL OF A SITE PLAN (STPL) FOR THE CONSTRUCTION OF A 3-STORY DATA CENTER, IN THE PLANNED DEVELOPMENT-OFFICE PARK (PDOP) ZONING DISTRICT. AM</t>
        </is>
      </c>
      <c r="K242" t="inlineStr">
        <is>
          <t>119, 177</t>
        </is>
      </c>
      <c r="L242" t="inlineStr">
        <is>
          <t>061275931000; 061285496000</t>
        </is>
      </c>
      <c r="M242" t="n">
        <v>39.01196</v>
      </c>
      <c r="N242" t="n">
        <v>-77.461759</v>
      </c>
      <c r="O242" t="inlineStr">
        <is>
          <t>https://logis.loudoun.gov/gis/rest/services/Projects/LOLA_DATA/MapServer/0/query?where=PlanNumber%3D%27STPL-2020-0044%27&amp;outFields=PlanNumber,PlanType,PlanStatus,PlanName,PlanApplicationDate,PlanDescription&amp;f=html</t>
        </is>
      </c>
    </row>
    <row r="243">
      <c r="A243" t="n">
        <v>712</v>
      </c>
      <c r="B243" t="n">
        <v>465</v>
      </c>
      <c r="C243" t="inlineStr">
        <is>
          <t>CORSCALE VA2 BLDG 1</t>
        </is>
      </c>
      <c r="D243" t="inlineStr">
        <is>
          <t>Site/engineering plan</t>
        </is>
      </c>
      <c r="E243" t="inlineStr">
        <is>
          <t>Approved, not yet built (inferred)</t>
        </is>
      </c>
      <c r="F243" t="inlineStr">
        <is>
          <t>County-stated status of application(s): Approved. Built/not-built is INFERRED: no mapped data center building lies within the application area.</t>
        </is>
      </c>
      <c r="G243" t="inlineStr">
        <is>
          <t>STPL-2022-0012</t>
        </is>
      </c>
      <c r="H243" t="inlineStr">
        <is>
          <t>STPL-2022-0012 (Engineering Plan, Approved)</t>
        </is>
      </c>
      <c r="I243" t="inlineStr">
        <is>
          <t>2022-04-11</t>
        </is>
      </c>
      <c r="J243" t="inlineStr">
        <is>
          <t>CORSCALE VA2 BLDG 1 : REQUEST APPROVAL OF A SITE PLAN (STPL) FOR THE CONSTRUCTION OF A DATACENTER BUILDING, IN THE PLANNED DEVELOPMENT- INDUSTRIAL PARK (PDIP) ZONING DISTRICT. HV</t>
        </is>
      </c>
      <c r="M243" t="n">
        <v>39.037598</v>
      </c>
      <c r="N243" t="n">
        <v>-77.43378300000001</v>
      </c>
      <c r="O243" t="inlineStr">
        <is>
          <t>https://logis.loudoun.gov/gis/rest/services/Projects/LOLA_DATA/MapServer/0/query?where=PlanNumber%3D%27STPL-2022-0012%27&amp;outFields=PlanNumber,PlanType,PlanStatus,PlanName,PlanApplicationDate,PlanDescription&amp;f=html</t>
        </is>
      </c>
    </row>
    <row r="244">
      <c r="A244" t="n">
        <v>713</v>
      </c>
      <c r="B244" t="n">
        <v>466</v>
      </c>
      <c r="C244" t="inlineStr">
        <is>
          <t>ASHBURN CENTER NORTH</t>
        </is>
      </c>
      <c r="D244" t="inlineStr">
        <is>
          <t>Site/engineering plan</t>
        </is>
      </c>
      <c r="E244" t="inlineStr">
        <is>
          <t>Approved entitlement; buildings already on site</t>
        </is>
      </c>
      <c r="F244" t="inlineStr">
        <is>
          <t>County-stated status of application(s): Approved. Built/not-built is INFERRED: 1 data center building point(s) lie on/adjacent to the application area.</t>
        </is>
      </c>
      <c r="G244" t="inlineStr">
        <is>
          <t>STPL-2022-0030</t>
        </is>
      </c>
      <c r="H244" t="inlineStr">
        <is>
          <t>STPL-2022-0030 (Engineering Plan, Approved)</t>
        </is>
      </c>
      <c r="I244" t="inlineStr">
        <is>
          <t>2022-08-10</t>
        </is>
      </c>
      <c r="J244" t="inlineStr">
        <is>
          <t>ASHBURN CENTER NORTH : REQUEST APPROVAL OF A SITE PLAN (STPL) FOR A PROPOSED DATA CENTER, IN THE PLANNED DEVELOPMENT-INDUSTRIAL PARK (PDIP) ZONING DISTRICT. AM</t>
        </is>
      </c>
      <c r="K244" t="inlineStr">
        <is>
          <t>181</t>
        </is>
      </c>
      <c r="L244" t="inlineStr">
        <is>
          <t>088481748000</t>
        </is>
      </c>
      <c r="M244" t="n">
        <v>39.017963</v>
      </c>
      <c r="N244" t="n">
        <v>-77.48157</v>
      </c>
      <c r="O244" t="inlineStr">
        <is>
          <t>https://logis.loudoun.gov/gis/rest/services/Projects/LOLA_DATA/MapServer/0/query?where=PlanNumber%3D%27STPL-2022-0030%27&amp;outFields=PlanNumber,PlanType,PlanStatus,PlanName,PlanApplicationDate,PlanDescription&amp;f=html</t>
        </is>
      </c>
    </row>
    <row r="245">
      <c r="A245" t="n">
        <v>714</v>
      </c>
      <c r="B245" t="n">
        <v>467</v>
      </c>
      <c r="C245" t="inlineStr">
        <is>
          <t>COCHRAN MILL ROAD</t>
        </is>
      </c>
      <c r="D245" t="inlineStr">
        <is>
          <t>Site/engineering plan</t>
        </is>
      </c>
      <c r="E245" t="inlineStr">
        <is>
          <t>Approved, not yet built (inferred)</t>
        </is>
      </c>
      <c r="F245" t="inlineStr">
        <is>
          <t>County-stated status of application(s): Approved. Built/not-built is INFERRED: no mapped data center building lies within the application area.</t>
        </is>
      </c>
      <c r="G245" t="inlineStr">
        <is>
          <t>STPL-2022-0040</t>
        </is>
      </c>
      <c r="H245" t="inlineStr">
        <is>
          <t>STPL-2022-0040 (Engineering Plan, Approved)</t>
        </is>
      </c>
      <c r="I245" t="inlineStr">
        <is>
          <t>2022-09-27</t>
        </is>
      </c>
      <c r="J245" t="inlineStr">
        <is>
          <t>(APPROVED) COCHRAN MILL ROAD : REQUEST APPROVAL OF A SITE PLAN (STPL) FOR THE REDEVELOPMENT OF MULTIPLE MATERIAL MANUFACTURING PLANTS AND NEW DEVELOPMENT CONSISTING OF THREE (3) DATA CENTERS, TWO (2) WAREHOUSES AND ASSOCIATED INFRASTRUCTURE IN THE MRHI ZONING DISTRICT. ZDF</t>
        </is>
      </c>
      <c r="M245" t="n">
        <v>39.073269</v>
      </c>
      <c r="N245" t="n">
        <v>-77.518467</v>
      </c>
      <c r="O245" t="inlineStr">
        <is>
          <t>https://logis.loudoun.gov/gis/rest/services/Projects/LOLA_DATA/MapServer/0/query?where=PlanNumber%3D%27STPL-2022-0040%27&amp;outFields=PlanNumber,PlanType,PlanStatus,PlanName,PlanApplicationDate,PlanDescription&amp;f=html</t>
        </is>
      </c>
    </row>
    <row r="246">
      <c r="A246" t="n">
        <v>715</v>
      </c>
      <c r="B246" t="n">
        <v>468</v>
      </c>
      <c r="C246" t="inlineStr">
        <is>
          <t>RIDGETOP CENTER</t>
        </is>
      </c>
      <c r="D246" t="inlineStr">
        <is>
          <t>Site/engineering plan</t>
        </is>
      </c>
      <c r="E246" t="inlineStr">
        <is>
          <t>Pending application</t>
        </is>
      </c>
      <c r="F246" t="inlineStr">
        <is>
          <t>County-stated status of application(s): In Review.</t>
        </is>
      </c>
      <c r="G246" t="inlineStr">
        <is>
          <t>STPL-2022-0051</t>
        </is>
      </c>
      <c r="H246" t="inlineStr">
        <is>
          <t>STPL-2022-0051 (Engineering Plan, In Review)</t>
        </is>
      </c>
      <c r="I246" t="inlineStr">
        <is>
          <t>2022-11-04</t>
        </is>
      </c>
      <c r="J246" t="inlineStr">
        <is>
          <t>(Conditional Approval) RIDGETOP CENTER : REQUEST APPROVAL OF A SITE PLAN (STPL) FOR THE CONSTRUCTION OF TWO DATA CENTER BUILDINGS, IN THE PLANNED DEVELOPMENT - INDUSTRIAL PARK (PDIP) ZONING DISTRICT. EK</t>
        </is>
      </c>
      <c r="M246" t="n">
        <v>39.024795</v>
      </c>
      <c r="N246" t="n">
        <v>-77.410124</v>
      </c>
      <c r="O246" t="inlineStr">
        <is>
          <t>https://logis.loudoun.gov/gis/rest/services/Projects/LOLA_DATA/MapServer/0/query?where=PlanNumber%3D%27STPL-2022-0051%27&amp;outFields=PlanNumber,PlanType,PlanStatus,PlanName,PlanApplicationDate,PlanDescription&amp;f=html</t>
        </is>
      </c>
    </row>
    <row r="247">
      <c r="A247" t="n">
        <v>716</v>
      </c>
      <c r="B247" t="n">
        <v>469</v>
      </c>
      <c r="C247" t="inlineStr">
        <is>
          <t>CLARKE HOOK CENTER</t>
        </is>
      </c>
      <c r="D247" t="inlineStr">
        <is>
          <t>Site/engineering plan</t>
        </is>
      </c>
      <c r="E247" t="inlineStr">
        <is>
          <t>Pending application</t>
        </is>
      </c>
      <c r="F247" t="inlineStr">
        <is>
          <t>County-stated status of application(s): In Review.</t>
        </is>
      </c>
      <c r="G247" t="inlineStr">
        <is>
          <t>STPL-2022-0052</t>
        </is>
      </c>
      <c r="H247" t="inlineStr">
        <is>
          <t>STPL-2022-0052 (Engineering Plan, In Review)</t>
        </is>
      </c>
      <c r="I247" t="inlineStr">
        <is>
          <t>2022-11-04</t>
        </is>
      </c>
      <c r="J247" t="inlineStr">
        <is>
          <t>(Conditional Approval) CLARKE HOOK CENTER : REQUEST APPROVAL OF A SITE PLAN (STPL) TO CONSTRUCT ONE DATA CENTER, IN THE PLANNED DEVELOPMENT - INDUSTRIAL PARK (PDIP) ZONING DISTRICT. EK</t>
        </is>
      </c>
      <c r="M247" t="n">
        <v>39.022192</v>
      </c>
      <c r="N247" t="n">
        <v>-77.40998999999999</v>
      </c>
      <c r="O247" t="inlineStr">
        <is>
          <t>https://logis.loudoun.gov/gis/rest/services/Projects/LOLA_DATA/MapServer/0/query?where=PlanNumber%3D%27STPL-2022-0052%27&amp;outFields=PlanNumber,PlanType,PlanStatus,PlanName,PlanApplicationDate,PlanDescription&amp;f=html</t>
        </is>
      </c>
    </row>
    <row r="248">
      <c r="A248" t="n">
        <v>717</v>
      </c>
      <c r="B248" t="n">
        <v>470</v>
      </c>
      <c r="C248" t="inlineStr">
        <is>
          <t>MANEKIN PLAZA</t>
        </is>
      </c>
      <c r="D248" t="inlineStr">
        <is>
          <t>Site/engineering plan</t>
        </is>
      </c>
      <c r="E248" t="inlineStr">
        <is>
          <t>Pending application</t>
        </is>
      </c>
      <c r="F248" t="inlineStr">
        <is>
          <t>County-stated status of application(s): In Review.</t>
        </is>
      </c>
      <c r="G248" t="inlineStr">
        <is>
          <t>STPL-2022-0053</t>
        </is>
      </c>
      <c r="H248" t="inlineStr">
        <is>
          <t>STPL-2022-0053 (Engineering Plan, In Review)</t>
        </is>
      </c>
      <c r="I248" t="inlineStr">
        <is>
          <t>2022-11-04</t>
        </is>
      </c>
      <c r="J248" t="inlineStr">
        <is>
          <t>(Conditional Approval) MANEKIN PLAZA : REQUEST APPROVAL FOR A SITE PLAN (STPL) TO CONSTRUCT ONE DATA CENTER, IN THE PLANNED DEVELOPMENT - INDUSTRIAL PARK (PDIP) ZONING DISTRICT. EK</t>
        </is>
      </c>
      <c r="M248" t="n">
        <v>39.023838</v>
      </c>
      <c r="N248" t="n">
        <v>-77.407561</v>
      </c>
      <c r="O248" t="inlineStr">
        <is>
          <t>https://logis.loudoun.gov/gis/rest/services/Projects/LOLA_DATA/MapServer/0/query?where=PlanNumber%3D%27STPL-2022-0053%27&amp;outFields=PlanNumber,PlanType,PlanStatus,PlanName,PlanApplicationDate,PlanDescription&amp;f=html</t>
        </is>
      </c>
    </row>
    <row r="249">
      <c r="A249" t="n">
        <v>718</v>
      </c>
      <c r="B249" t="n">
        <v>471</v>
      </c>
      <c r="C249" t="inlineStr">
        <is>
          <t>LC 11 AND 12 DATA CENTER</t>
        </is>
      </c>
      <c r="D249" t="inlineStr">
        <is>
          <t>Site/engineering plan</t>
        </is>
      </c>
      <c r="E249" t="inlineStr">
        <is>
          <t>Approved entitlement; buildings already on site</t>
        </is>
      </c>
      <c r="F249" t="inlineStr">
        <is>
          <t>County-stated status of application(s): Approved. Built/not-built is INFERRED: 1 data center building point(s) lie on/adjacent to the application area.</t>
        </is>
      </c>
      <c r="G249" t="inlineStr">
        <is>
          <t>STPL-2023-0001</t>
        </is>
      </c>
      <c r="H249" t="inlineStr">
        <is>
          <t>STPL-2023-0001 (Engineering Plan, Approved)</t>
        </is>
      </c>
      <c r="I249" t="inlineStr">
        <is>
          <t>2023-01-05</t>
        </is>
      </c>
      <c r="J249" t="inlineStr">
        <is>
          <t>LC 11 AND 12 DATA CENTER : REQUEST APPROVAL OF A SITE PLAN (STPL) TO CONSTRUCT TWO (2) DATA CENTERS AND ASSOCIATED INFRASTRUCTURE, IN THE PLANNED DEVELOPMENT - OFFICE PARK (PDOP) ZONING DISTRICT. EK</t>
        </is>
      </c>
      <c r="K249" t="inlineStr">
        <is>
          <t>217</t>
        </is>
      </c>
      <c r="L249" t="inlineStr">
        <is>
          <t>089496314000</t>
        </is>
      </c>
      <c r="M249" t="n">
        <v>39.00569</v>
      </c>
      <c r="N249" t="n">
        <v>-77.47698099999999</v>
      </c>
      <c r="O249" t="inlineStr">
        <is>
          <t>https://logis.loudoun.gov/gis/rest/services/Projects/LOLA_DATA/MapServer/0/query?where=PlanNumber%3D%27STPL-2023-0001%27&amp;outFields=PlanNumber,PlanType,PlanStatus,PlanName,PlanApplicationDate,PlanDescription&amp;f=html</t>
        </is>
      </c>
    </row>
    <row r="250">
      <c r="A250" t="n">
        <v>719</v>
      </c>
      <c r="B250" t="n">
        <v>472</v>
      </c>
      <c r="C250" t="inlineStr">
        <is>
          <t>DATA CENTER AT COMPASS CREEK SEC. 4</t>
        </is>
      </c>
      <c r="D250" t="inlineStr">
        <is>
          <t>Site/engineering plan</t>
        </is>
      </c>
      <c r="E250" t="inlineStr">
        <is>
          <t>Approved, not yet built (inferred)</t>
        </is>
      </c>
      <c r="F250" t="inlineStr">
        <is>
          <t>County-stated status of application(s): Approved. Built/not-built is INFERRED: no mapped data center building lies within the application area.</t>
        </is>
      </c>
      <c r="G250" t="inlineStr">
        <is>
          <t>STPL-2023-0004</t>
        </is>
      </c>
      <c r="H250" t="inlineStr">
        <is>
          <t>STPL-2023-0004 (Engineering Plan, Approved)</t>
        </is>
      </c>
      <c r="I250" t="inlineStr">
        <is>
          <t>2023-01-06</t>
        </is>
      </c>
      <c r="J250" t="inlineStr">
        <is>
          <t>DATA CENTER AT COMPASS CREEK SEC. 4 : REQUEST APPROVAL OF A SITE PLAN (STPL) FOR THE CONSTRUCTION OF THE ADDITION OF TWO BUILDINGS AND ASSOCIATED UTILITIES, IN THE PLANNED DEVELOPMENT INDUSTRIAL PARK (PDIP) ZONING DISTRICT. DS</t>
        </is>
      </c>
      <c r="M250" t="n">
        <v>39.117252</v>
      </c>
      <c r="N250" t="n">
        <v>-77.578317</v>
      </c>
      <c r="O250" t="inlineStr">
        <is>
          <t>https://logis.loudoun.gov/gis/rest/services/Projects/LOLA_DATA/MapServer/0/query?where=PlanNumber%3D%27STPL-2023-0004%27&amp;outFields=PlanNumber,PlanType,PlanStatus,PlanName,PlanApplicationDate,PlanDescription&amp;f=html</t>
        </is>
      </c>
    </row>
    <row r="251">
      <c r="A251" t="n">
        <v>720</v>
      </c>
      <c r="B251" t="n">
        <v>473</v>
      </c>
      <c r="C251" t="inlineStr">
        <is>
          <t>TELOS DATA CENTER</t>
        </is>
      </c>
      <c r="D251" t="inlineStr">
        <is>
          <t>Site/engineering plan</t>
        </is>
      </c>
      <c r="E251" t="inlineStr">
        <is>
          <t>Pending application</t>
        </is>
      </c>
      <c r="F251" t="inlineStr">
        <is>
          <t>County-stated status of application(s): In Review.</t>
        </is>
      </c>
      <c r="G251" t="inlineStr">
        <is>
          <t>STPL-2023-0007</t>
        </is>
      </c>
      <c r="H251" t="inlineStr">
        <is>
          <t>STPL-2023-0007 (Engineering Plan, In Review)</t>
        </is>
      </c>
      <c r="I251" t="inlineStr">
        <is>
          <t>2023-02-07</t>
        </is>
      </c>
      <c r="J251" t="inlineStr">
        <is>
          <t>(Conditional Approval 08-05-24) TELOS DATA CENTER : REQUEST APPROVAL OF A SITE PLAN (STPL) FOR THE CONSTRUCTION OF A PUBLIC DATA CENTER, IN THE PLANNED DEVELOPMENT INDUSTRIAL PARK (PDIP) ZONING DISTRICT. DS</t>
        </is>
      </c>
      <c r="M251" t="n">
        <v>39.06741</v>
      </c>
      <c r="N251" t="n">
        <v>-77.478853</v>
      </c>
      <c r="O251" t="inlineStr">
        <is>
          <t>https://logis.loudoun.gov/gis/rest/services/Projects/LOLA_DATA/MapServer/0/query?where=PlanNumber%3D%27STPL-2023-0007%27&amp;outFields=PlanNumber,PlanType,PlanStatus,PlanName,PlanApplicationDate,PlanDescription&amp;f=html</t>
        </is>
      </c>
    </row>
    <row r="252">
      <c r="A252" t="n">
        <v>721</v>
      </c>
      <c r="B252" t="n">
        <v>474</v>
      </c>
      <c r="C252" t="inlineStr">
        <is>
          <t>HORSESHOE DRIVE</t>
        </is>
      </c>
      <c r="D252" t="inlineStr">
        <is>
          <t>Site/engineering plan</t>
        </is>
      </c>
      <c r="E252" t="inlineStr">
        <is>
          <t>Pending application</t>
        </is>
      </c>
      <c r="F252" t="inlineStr">
        <is>
          <t>County-stated status of application(s): In Review.</t>
        </is>
      </c>
      <c r="G252" t="inlineStr">
        <is>
          <t>STPL-2023-0008</t>
        </is>
      </c>
      <c r="H252" t="inlineStr">
        <is>
          <t>STPL-2023-0008 (Engineering Plan, In Review)</t>
        </is>
      </c>
      <c r="I252" t="inlineStr">
        <is>
          <t>2023-02-08</t>
        </is>
      </c>
      <c r="J252" t="inlineStr">
        <is>
          <t>(Conditional Approval) HORSESHOE DRIVE : REQUEST APPROVAL OF A SITE PLAN (STPL) TO BUILD A DATA CENTER, IN THE PLANNED DEVELOPMENT - INDUSTRIAL PARK (PDIP) ZONING DISTRICT. EK</t>
        </is>
      </c>
      <c r="M252" t="n">
        <v>39.026094</v>
      </c>
      <c r="N252" t="n">
        <v>-77.41166200000001</v>
      </c>
      <c r="O252" t="inlineStr">
        <is>
          <t>https://logis.loudoun.gov/gis/rest/services/Projects/LOLA_DATA/MapServer/0/query?where=PlanNumber%3D%27STPL-2023-0008%27&amp;outFields=PlanNumber,PlanType,PlanStatus,PlanName,PlanApplicationDate,PlanDescription&amp;f=html</t>
        </is>
      </c>
    </row>
    <row r="253">
      <c r="A253" t="n">
        <v>722</v>
      </c>
      <c r="B253" t="n">
        <v>475</v>
      </c>
      <c r="C253" t="inlineStr">
        <is>
          <t>22675 DULLES SUMMIT COURT</t>
        </is>
      </c>
      <c r="D253" t="inlineStr">
        <is>
          <t>Site/engineering plan</t>
        </is>
      </c>
      <c r="E253" t="inlineStr">
        <is>
          <t>Approved, not yet built (inferred)</t>
        </is>
      </c>
      <c r="F253" t="inlineStr">
        <is>
          <t>County-stated status of application(s): Approved. Built/not-built is INFERRED: no mapped data center building lies within the application area.</t>
        </is>
      </c>
      <c r="G253" t="inlineStr">
        <is>
          <t>STPL-2023-0015</t>
        </is>
      </c>
      <c r="H253" t="inlineStr">
        <is>
          <t>STPL-2023-0015 (Engineering Plan, Approved)</t>
        </is>
      </c>
      <c r="I253" t="inlineStr">
        <is>
          <t>2023-03-01</t>
        </is>
      </c>
      <c r="J253" t="inlineStr">
        <is>
          <t>22675 DULLES SUMMIT COURT : REQUEST APPROVAL OF A SITE PLAN (STPL) FOR THE CONSTRUCTION OF TWO HUNDRED SIXTY THOUSAND (260,000) SQUARE FEET DATA CENTER FACILITY, WHICH WILL INCLUDE DATA HALL, OFFICE SPACE, AND ASSOCIATED ROADWAY, PARKING LOT, AND UTILITY IMPROVEMENTS, IN THE PLANNED DEVELOPMENT-GENE</t>
        </is>
      </c>
      <c r="M253" t="n">
        <v>39.117252</v>
      </c>
      <c r="N253" t="n">
        <v>-77.578317</v>
      </c>
      <c r="O253" t="inlineStr">
        <is>
          <t>https://logis.loudoun.gov/gis/rest/services/Projects/LOLA_DATA/MapServer/0/query?where=PlanNumber%3D%27STPL-2023-0015%27&amp;outFields=PlanNumber,PlanType,PlanStatus,PlanName,PlanApplicationDate,PlanDescription&amp;f=html</t>
        </is>
      </c>
    </row>
    <row r="254">
      <c r="A254" t="n">
        <v>723</v>
      </c>
      <c r="B254" t="n">
        <v>476</v>
      </c>
      <c r="C254" t="inlineStr">
        <is>
          <t>BELMONT LANDBAY KK DATA CENTER</t>
        </is>
      </c>
      <c r="D254" t="inlineStr">
        <is>
          <t>Site/engineering plan</t>
        </is>
      </c>
      <c r="E254" t="inlineStr">
        <is>
          <t>Pending application</t>
        </is>
      </c>
      <c r="F254" t="inlineStr">
        <is>
          <t>County-stated status of application(s): In Review.</t>
        </is>
      </c>
      <c r="G254" t="inlineStr">
        <is>
          <t>STPL-2023-0025</t>
        </is>
      </c>
      <c r="H254" t="inlineStr">
        <is>
          <t>STPL-2023-0025 (Engineering Plan, In Review)</t>
        </is>
      </c>
      <c r="I254" t="inlineStr">
        <is>
          <t>2023-05-15</t>
        </is>
      </c>
      <c r="J254" t="inlineStr">
        <is>
          <t>(Conditional Approval) BELMONT LANDBAY KK DATA CENTER : REQUEST APPROVAL OF A SITE PLAN (STPL) FOR THE CONSTRUCTION OF A DATA CENTER, OFFICE, AND ASSOCIATED SITE INFRASTRUCTURE TO SUPPORT THE DEVELOPMENT, IN THE PLANNED DEVELOPMENT OFFICE PARK (PDOP) ZONING DISTRICT. DS</t>
        </is>
      </c>
      <c r="M254" t="n">
        <v>39.117252</v>
      </c>
      <c r="N254" t="n">
        <v>-77.578317</v>
      </c>
      <c r="O254" t="inlineStr">
        <is>
          <t>https://logis.loudoun.gov/gis/rest/services/Projects/LOLA_DATA/MapServer/0/query?where=PlanNumber%3D%27STPL-2023-0025%27&amp;outFields=PlanNumber,PlanType,PlanStatus,PlanName,PlanApplicationDate,PlanDescription&amp;f=html</t>
        </is>
      </c>
    </row>
    <row r="255">
      <c r="A255" t="n">
        <v>724</v>
      </c>
      <c r="B255" t="n">
        <v>477</v>
      </c>
      <c r="C255" t="inlineStr">
        <is>
          <t>BRAMBLETON BUSINESS CAMPUS DATA CENTER</t>
        </is>
      </c>
      <c r="D255" t="inlineStr">
        <is>
          <t>Site/engineering plan</t>
        </is>
      </c>
      <c r="E255" t="inlineStr">
        <is>
          <t>Pending application</t>
        </is>
      </c>
      <c r="F255" t="inlineStr">
        <is>
          <t>County-stated status of application(s): In Review.</t>
        </is>
      </c>
      <c r="G255" t="inlineStr">
        <is>
          <t>STPL-2023-0028</t>
        </is>
      </c>
      <c r="H255" t="inlineStr">
        <is>
          <t>STPL-2023-0028 (Engineering Plan, In Review)</t>
        </is>
      </c>
      <c r="I255" t="inlineStr">
        <is>
          <t>2023-06-09</t>
        </is>
      </c>
      <c r="J255" t="inlineStr">
        <is>
          <t>BRAMBLETON BUSINESS CAMPUS DATA CENTER : REQUEST APPROVAL OF A SITE PLAN (STPL) FOR THE CONSTRUCTION OF A TWO (2) DATA CENTERS AND SUPPORTING UTILITIES, IN THE PLANNED DEVELOPMENT INDUSTRIAL PARK (PDIP) AND THE PLANNED DEVELOPMENT - ACTIVE ADULT AGE RESTRICTED (PDAAAR) ZONING DISTRICT. DS</t>
        </is>
      </c>
      <c r="M255" t="n">
        <v>38.954003</v>
      </c>
      <c r="N255" t="n">
        <v>-77.518816</v>
      </c>
      <c r="O255" t="inlineStr">
        <is>
          <t>https://logis.loudoun.gov/gis/rest/services/Projects/LOLA_DATA/MapServer/0/query?where=PlanNumber%3D%27STPL-2023-0028%27&amp;outFields=PlanNumber,PlanType,PlanStatus,PlanName,PlanApplicationDate,PlanDescription&amp;f=html</t>
        </is>
      </c>
    </row>
    <row r="256">
      <c r="A256" t="n">
        <v>725</v>
      </c>
      <c r="B256" t="n">
        <v>478</v>
      </c>
      <c r="C256" t="inlineStr">
        <is>
          <t>BRAMBLETON SHREVEPORT SOUTH DATA CENTER</t>
        </is>
      </c>
      <c r="D256" t="inlineStr">
        <is>
          <t>Site/engineering plan</t>
        </is>
      </c>
      <c r="E256" t="inlineStr">
        <is>
          <t>Pending application</t>
        </is>
      </c>
      <c r="F256" t="inlineStr">
        <is>
          <t>County-stated status of application(s): In Review.</t>
        </is>
      </c>
      <c r="G256" t="inlineStr">
        <is>
          <t>STPL-2023-0029</t>
        </is>
      </c>
      <c r="H256" t="inlineStr">
        <is>
          <t>STPL-2023-0029 (Engineering Plan, In Review)</t>
        </is>
      </c>
      <c r="I256" t="inlineStr">
        <is>
          <t>2023-06-09</t>
        </is>
      </c>
      <c r="J256" t="inlineStr">
        <is>
          <t>(Conditional Approval) BRAMBLETON SHREVEPORT SOUTH DATA CENTER : REQUEST APPROVAL OF A SITE PLAN (STPL) FOR THE CONSTRUCTION OF A TWO (2) DATA CENTERS AND SUPPORTING UTILITIES, IN THE PLANNED DEVELOPMENT INDUSTRIAL PARK (PDIP) ZONING DISTRICT. DS</t>
        </is>
      </c>
      <c r="M256" t="n">
        <v>38.958753</v>
      </c>
      <c r="N256" t="n">
        <v>-77.528674</v>
      </c>
      <c r="O256" t="inlineStr">
        <is>
          <t>https://logis.loudoun.gov/gis/rest/services/Projects/LOLA_DATA/MapServer/0/query?where=PlanNumber%3D%27STPL-2023-0029%27&amp;outFields=PlanNumber,PlanType,PlanStatus,PlanName,PlanApplicationDate,PlanDescription&amp;f=html</t>
        </is>
      </c>
    </row>
    <row r="257">
      <c r="A257" t="n">
        <v>726</v>
      </c>
      <c r="B257" t="n">
        <v>479</v>
      </c>
      <c r="C257" t="inlineStr">
        <is>
          <t>45865 MARIES ROAD</t>
        </is>
      </c>
      <c r="D257" t="inlineStr">
        <is>
          <t>Site/engineering plan</t>
        </is>
      </c>
      <c r="E257" t="inlineStr">
        <is>
          <t>Approved entitlement; buildings already on site</t>
        </is>
      </c>
      <c r="F257" t="inlineStr">
        <is>
          <t>County-stated status of application(s): Approved. Built/not-built is INFERRED: 1 data center building point(s) lie on/adjacent to the application area.</t>
        </is>
      </c>
      <c r="G257" t="inlineStr">
        <is>
          <t>STPL-2023-0035</t>
        </is>
      </c>
      <c r="H257" t="inlineStr">
        <is>
          <t>STPL-2023-0035 (Engineering Plan, Approved)</t>
        </is>
      </c>
      <c r="I257" t="inlineStr">
        <is>
          <t>2023-07-03</t>
        </is>
      </c>
      <c r="J257" t="inlineStr">
        <is>
          <t>45865 MARIES ROAD : REQUEST APPROVAL OF A SITE PLAN (STPL) FOR SITE IMPROVEMENTS FOR DATA CENTERS, IN THE PLANNED DEVELOPMENT INDUSTRIAL PARK (PDIP) ZONING DISTRICT. DS BLUEBEAM SESSION id 701-999-887</t>
        </is>
      </c>
      <c r="K257" t="inlineStr">
        <is>
          <t>219</t>
        </is>
      </c>
      <c r="L257" t="inlineStr">
        <is>
          <t>030292034000</t>
        </is>
      </c>
      <c r="M257" t="n">
        <v>39.021958</v>
      </c>
      <c r="N257" t="n">
        <v>-77.414941</v>
      </c>
      <c r="O257" t="inlineStr">
        <is>
          <t>https://logis.loudoun.gov/gis/rest/services/Projects/LOLA_DATA/MapServer/0/query?where=PlanNumber%3D%27STPL-2023-0035%27&amp;outFields=PlanNumber,PlanType,PlanStatus,PlanName,PlanApplicationDate,PlanDescription&amp;f=html</t>
        </is>
      </c>
    </row>
    <row r="258">
      <c r="A258" t="n">
        <v>727</v>
      </c>
      <c r="B258" t="n">
        <v>480</v>
      </c>
      <c r="C258" t="inlineStr">
        <is>
          <t>CYRUSONE BROADLANDS DATA CENTER</t>
        </is>
      </c>
      <c r="D258" t="inlineStr">
        <is>
          <t>Site/engineering plan</t>
        </is>
      </c>
      <c r="E258" t="inlineStr">
        <is>
          <t>Pending application</t>
        </is>
      </c>
      <c r="F258" t="inlineStr">
        <is>
          <t>County-stated status of application(s): In Review.</t>
        </is>
      </c>
      <c r="G258" t="inlineStr">
        <is>
          <t>STPL-2023-0041</t>
        </is>
      </c>
      <c r="H258" t="inlineStr">
        <is>
          <t>STPL-2023-0041 (Engineering Plan, In Review)</t>
        </is>
      </c>
      <c r="I258" t="inlineStr">
        <is>
          <t>2023-07-24</t>
        </is>
      </c>
      <c r="J258" t="inlineStr">
        <is>
          <t>(Conditional Approval) CYRUSONE BROADLANDS DATA CENTER : REQUESTED APPROVAL OF A SITE PLAN (STPL) FOR A DATA CENTER DEVELOPMENTON APPROXIMATELY FIFTY EIGHT (58) ACRES, DEVELOPMENT CONSISTS OF APPROXIMATELY SEVEN HUNDRED EIGHTY-FOUR THOUSAND SIX HUNDRED (784,600)SF OF DATA CENTER AND FOURTY ONE THOUS</t>
        </is>
      </c>
      <c r="M258" t="n">
        <v>39.032511</v>
      </c>
      <c r="N258" t="n">
        <v>-77.522616</v>
      </c>
      <c r="O258" t="inlineStr">
        <is>
          <t>https://logis.loudoun.gov/gis/rest/services/Projects/LOLA_DATA/MapServer/0/query?where=PlanNumber%3D%27STPL-2023-0041%27&amp;outFields=PlanNumber,PlanType,PlanStatus,PlanName,PlanApplicationDate,PlanDescription&amp;f=html</t>
        </is>
      </c>
    </row>
    <row r="259">
      <c r="A259" t="n">
        <v>728</v>
      </c>
      <c r="B259" t="n">
        <v>481</v>
      </c>
      <c r="C259" t="inlineStr">
        <is>
          <t>LOUDOUN TECH CENTER PARCEL H-2</t>
        </is>
      </c>
      <c r="D259" t="inlineStr">
        <is>
          <t>Site/engineering plan</t>
        </is>
      </c>
      <c r="E259" t="inlineStr">
        <is>
          <t>Approved entitlement; buildings already on site</t>
        </is>
      </c>
      <c r="F259" t="inlineStr">
        <is>
          <t>County-stated status of application(s): Approved. Built/not-built is INFERRED: 1 data center building point(s) lie on/adjacent to the application area.</t>
        </is>
      </c>
      <c r="G259" t="inlineStr">
        <is>
          <t>STPR-2007-0013</t>
        </is>
      </c>
      <c r="H259" t="inlineStr">
        <is>
          <t>STPR-2007-0013 (Engineering Plan, Approved)</t>
        </is>
      </c>
      <c r="I259" t="inlineStr">
        <is>
          <t>2007-05-11</t>
        </is>
      </c>
      <c r="J259" t="inlineStr">
        <is>
          <t>LOUDOUN TECH CENTER PARCEL H-2 : REQUEST APPROVAL OF A SITE PLAN REVISION TO INCORPORATE GENERATOR YARD AND TRANSFORMERS INTO PLANS, WHICH WAS PREVIOUSLY APPROVED FOR A DATA CENTER USE. er</t>
        </is>
      </c>
      <c r="K259" t="inlineStr">
        <is>
          <t>3</t>
        </is>
      </c>
      <c r="L259" t="inlineStr">
        <is>
          <t>030399036000</t>
        </is>
      </c>
      <c r="M259" t="n">
        <v>39.024736</v>
      </c>
      <c r="N259" t="n">
        <v>-77.412319</v>
      </c>
      <c r="O259" t="inlineStr">
        <is>
          <t>https://logis.loudoun.gov/gis/rest/services/Projects/LOLA_DATA/MapServer/0/query?where=PlanNumber%3D%27STPR-2007-0013%27&amp;outFields=PlanNumber,PlanType,PlanStatus,PlanName,PlanApplicationDate,PlanDescription&amp;f=html</t>
        </is>
      </c>
    </row>
    <row r="260">
      <c r="A260" t="n">
        <v>729</v>
      </c>
      <c r="B260" t="n">
        <v>482</v>
      </c>
      <c r="C260" t="inlineStr">
        <is>
          <t>LAING AT BEAUMEADE BUILDING D</t>
        </is>
      </c>
      <c r="D260" t="inlineStr">
        <is>
          <t>Site/engineering plan</t>
        </is>
      </c>
      <c r="E260" t="inlineStr">
        <is>
          <t>Approved entitlement; buildings already on site</t>
        </is>
      </c>
      <c r="F260" t="inlineStr">
        <is>
          <t>County-stated status of application(s): Approved. Built/not-built is INFERRED: 6 data center building point(s) lie on/adjacent to the application area.</t>
        </is>
      </c>
      <c r="G260" t="inlineStr">
        <is>
          <t>STPR-2007-0030</t>
        </is>
      </c>
      <c r="H260" t="inlineStr">
        <is>
          <t>STPR-2007-0030 (Engineering Plan, Approved)</t>
        </is>
      </c>
      <c r="I260" t="inlineStr">
        <is>
          <t>2007-08-29</t>
        </is>
      </c>
      <c r="J260" t="inlineStr">
        <is>
          <t>LAING AT BEAUMEADE BUILDING D : REQUEST APPROVAL OF A SITE PLAN REVISION FOR A 29,886 SQUARE FOOT DATA CENTER EXPANSION WITH 3,504 SQUARE FOOT LOADING DOCK ADDITION TO THE EXISTING 58,620 SQUARE FOOT OFFICE/WAREHOUSE BUILDING. er</t>
        </is>
      </c>
      <c r="K260" t="inlineStr">
        <is>
          <t>8, 9, 21, 22, 23, 25</t>
        </is>
      </c>
      <c r="L260" t="inlineStr">
        <is>
          <t>061483407000</t>
        </is>
      </c>
      <c r="M260" t="n">
        <v>39.015526</v>
      </c>
      <c r="N260" t="n">
        <v>-77.459838</v>
      </c>
      <c r="O260" t="inlineStr">
        <is>
          <t>https://logis.loudoun.gov/gis/rest/services/Projects/LOLA_DATA/MapServer/0/query?where=PlanNumber%3D%27STPR-2007-0030%27&amp;outFields=PlanNumber,PlanType,PlanStatus,PlanName,PlanApplicationDate,PlanDescription&amp;f=html</t>
        </is>
      </c>
    </row>
    <row r="261">
      <c r="A261" t="n">
        <v>730</v>
      </c>
      <c r="B261" t="n">
        <v>483</v>
      </c>
      <c r="C261" t="inlineStr">
        <is>
          <t>EQUINIX AT BEAUMEADE TECHNOLOGY CENTER</t>
        </is>
      </c>
      <c r="D261" t="inlineStr">
        <is>
          <t>Site/engineering plan</t>
        </is>
      </c>
      <c r="E261" t="inlineStr">
        <is>
          <t>Approved entitlement; buildings already on site</t>
        </is>
      </c>
      <c r="F261" t="inlineStr">
        <is>
          <t>County-stated status of application(s): Approved. Built/not-built is INFERRED: 6 data center building point(s) lie on/adjacent to the application area.</t>
        </is>
      </c>
      <c r="G261" t="inlineStr">
        <is>
          <t>STPR-2009-0026</t>
        </is>
      </c>
      <c r="H261" t="inlineStr">
        <is>
          <t>STPR-2009-0026 (Engineering Plan, Approved)</t>
        </is>
      </c>
      <c r="I261" t="inlineStr">
        <is>
          <t>2009-05-04</t>
        </is>
      </c>
      <c r="J261" t="inlineStr">
        <is>
          <t>EQUINIX AT BEAUMEADE TECHNOLOGY CENTER : REQUEST APPROVAL OF A SITE PLAN REVISION TO REMOVE AN EXISTING FLEX WAREHOUSE BUILDING &amp; REPLACE WITH A DATA CENTER BUILDING. CT</t>
        </is>
      </c>
      <c r="K261" t="inlineStr">
        <is>
          <t>8, 9, 21, 22, 23, 25</t>
        </is>
      </c>
      <c r="L261" t="inlineStr">
        <is>
          <t>061483407000</t>
        </is>
      </c>
      <c r="M261" t="n">
        <v>39.015526</v>
      </c>
      <c r="N261" t="n">
        <v>-77.459838</v>
      </c>
      <c r="O261" t="inlineStr">
        <is>
          <t>https://logis.loudoun.gov/gis/rest/services/Projects/LOLA_DATA/MapServer/0/query?where=PlanNumber%3D%27STPR-2009-0026%27&amp;outFields=PlanNumber,PlanType,PlanStatus,PlanName,PlanApplicationDate,PlanDescription&amp;f=html</t>
        </is>
      </c>
    </row>
    <row r="262">
      <c r="A262" t="n">
        <v>731</v>
      </c>
      <c r="B262" t="n">
        <v>484</v>
      </c>
      <c r="C262" t="inlineStr">
        <is>
          <t>TUSCARORA CROSSING</t>
        </is>
      </c>
      <c r="D262" t="inlineStr">
        <is>
          <t>Zoning/legislative</t>
        </is>
      </c>
      <c r="E262" t="inlineStr">
        <is>
          <t>Approved, not yet built (inferred)</t>
        </is>
      </c>
      <c r="F262" t="inlineStr">
        <is>
          <t>County-stated status of application(s): Approved. Built/not-built is INFERRED: no mapped data center building lies within the application area.</t>
        </is>
      </c>
      <c r="G262" t="inlineStr">
        <is>
          <t>ZCPA-2019-0010</t>
        </is>
      </c>
      <c r="H262" t="inlineStr">
        <is>
          <t>ZCPA-2019-0010 (Zoning Concept Plan Amendment, Approved)</t>
        </is>
      </c>
      <c r="I262" t="inlineStr">
        <is>
          <t>2019-05-01</t>
        </is>
      </c>
      <c r="J262" t="inlineStr">
        <is>
          <t>TUSCARORA CROSSING : A Zoning Concept Plan Amendment to amend the Proffers and Concept Development Plan associated with ZMAP-2012-0011 to allow additional Floor Area Ratio (FAR) for a Data Center on Land Bay 3 and to change the designation of Land Bay 6 from PD-H4, PD-CC-CC to PD-H4, R-16 (ADU) to a</t>
        </is>
      </c>
      <c r="M262" t="n">
        <v>39.08229</v>
      </c>
      <c r="N262" t="n">
        <v>-77.528676</v>
      </c>
      <c r="O262" t="inlineStr">
        <is>
          <t>https://logis.loudoun.gov/gis/rest/services/Projects/LOLA_DATA/MapServer/0/query?where=PlanNumber%3D%27ZCPA-2019-0010%27&amp;outFields=PlanNumber,PlanType,PlanStatus,PlanName,PlanApplicationDate,PlanDescription&amp;f=html</t>
        </is>
      </c>
    </row>
    <row r="263">
      <c r="A263" t="n">
        <v>732</v>
      </c>
      <c r="B263" t="n">
        <v>485</v>
      </c>
      <c r="C263" t="inlineStr">
        <is>
          <t>WATERSIDE NORTH</t>
        </is>
      </c>
      <c r="D263" t="inlineStr">
        <is>
          <t>Zoning/legislative</t>
        </is>
      </c>
      <c r="E263" t="inlineStr">
        <is>
          <t>Approved entitlement; buildings already on site</t>
        </is>
      </c>
      <c r="F263" t="inlineStr">
        <is>
          <t>County-stated status of application(s): Approved. Built/not-built is INFERRED: 6 data center building point(s) lie on/adjacent to the application area.</t>
        </is>
      </c>
      <c r="G263" t="inlineStr">
        <is>
          <t>ZMAP-2018-0011</t>
        </is>
      </c>
      <c r="H263" t="inlineStr">
        <is>
          <t>ZMAP-2018-0011 (Zoning Map Amendment, Approved); ZCPA-2020-0014 (Zoning Concept Plan Amendment, Approved)</t>
        </is>
      </c>
      <c r="I263" t="inlineStr">
        <is>
          <t>2018-11-05</t>
        </is>
      </c>
      <c r="J263" t="inlineStr">
        <is>
          <t>WATERSIDE NORTH : A Zoning Concept Plan Amendment (ZCPA) to amend the Proffers and Concept Development Plan associated with ZMAP-2018-001 to allow revisions of the Data Centers and Utility Substation layout (see ZCOR-2020-0147) and timing of transportation improvements/triggers.</t>
        </is>
      </c>
      <c r="K263" t="inlineStr">
        <is>
          <t>138, 139, 150, 168, 169, 186</t>
        </is>
      </c>
      <c r="L263" t="inlineStr">
        <is>
          <t>034385918000</t>
        </is>
      </c>
      <c r="M263" t="n">
        <v>38.981931</v>
      </c>
      <c r="N263" t="n">
        <v>-77.416798</v>
      </c>
      <c r="O263" t="inlineStr">
        <is>
          <t>https://logis.loudoun.gov/gis/rest/services/Projects/LOLA_DATA/MapServer/0/query?where=PlanNumber%3D%27ZCPA-2020-0014%27&amp;outFields=PlanNumber,PlanType,PlanStatus,PlanName,PlanApplicationDate,PlanDescription&amp;f=html</t>
        </is>
      </c>
    </row>
    <row r="264">
      <c r="A264" t="n">
        <v>733</v>
      </c>
      <c r="B264" t="n">
        <v>486</v>
      </c>
      <c r="C264" t="inlineStr">
        <is>
          <t>STONEWALL SECURE BUSINESS PARK</t>
        </is>
      </c>
      <c r="D264" t="inlineStr">
        <is>
          <t>Zoning/legislative</t>
        </is>
      </c>
      <c r="E264" t="inlineStr">
        <is>
          <t>Approved entitlement; buildings already on site</t>
        </is>
      </c>
      <c r="F264" t="inlineStr">
        <is>
          <t>County-stated status of application(s): Approved. Built/not-built is INFERRED: 3 data center building point(s) lie on/adjacent to the application area.</t>
        </is>
      </c>
      <c r="G264" t="inlineStr">
        <is>
          <t>ZMAP-2008-0017</t>
        </is>
      </c>
      <c r="H264" t="inlineStr">
        <is>
          <t>ZMAP-2008-0017 (Zoning Map Amendment, Approved)</t>
        </is>
      </c>
      <c r="I264" t="inlineStr">
        <is>
          <t>2008-09-15</t>
        </is>
      </c>
      <c r="J264" t="inlineStr">
        <is>
          <t>STONEWALL SECURE BUSINESS PARK : Rezone 193 acres from TR-10 to PD-IP to allow up to 3.9 million square feet of restricted access data center, office, and light industrial uses.</t>
        </is>
      </c>
      <c r="K264" t="inlineStr">
        <is>
          <t>118, 126, 127</t>
        </is>
      </c>
      <c r="L264" t="inlineStr">
        <is>
          <t>194498227000</t>
        </is>
      </c>
      <c r="M264" t="n">
        <v>39.05193</v>
      </c>
      <c r="N264" t="n">
        <v>-77.536203</v>
      </c>
      <c r="O264" t="inlineStr">
        <is>
          <t>https://logis.loudoun.gov/gis/rest/services/Projects/LOLA_DATA/MapServer/0/query?where=PlanNumber%3D%27ZMAP-2008-0017%27&amp;outFields=PlanNumber,PlanType,PlanStatus,PlanName,PlanApplicationDate,PlanDescription&amp;f=html</t>
        </is>
      </c>
    </row>
    <row r="265">
      <c r="A265" t="n">
        <v>734</v>
      </c>
      <c r="B265" t="n">
        <v>487</v>
      </c>
      <c r="C265" t="inlineStr">
        <is>
          <t>TRUE NORTH DATA</t>
        </is>
      </c>
      <c r="D265" t="inlineStr">
        <is>
          <t>Zoning/legislative</t>
        </is>
      </c>
      <c r="E265" t="inlineStr">
        <is>
          <t>Approved entitlement; buildings already on site</t>
        </is>
      </c>
      <c r="F265" t="inlineStr">
        <is>
          <t>County-stated status of application(s): Approved. Built/not-built is INFERRED: 5 data center building point(s) lie on/adjacent to the application area.</t>
        </is>
      </c>
      <c r="G265" t="inlineStr">
        <is>
          <t>ZMAP-2017-0003</t>
        </is>
      </c>
      <c r="H265" t="inlineStr">
        <is>
          <t>ZMAP-2017-0003 (Zoning Map Amendment, Approved)</t>
        </is>
      </c>
      <c r="I265" t="inlineStr">
        <is>
          <t>2017-04-17</t>
        </is>
      </c>
      <c r="J265" t="inlineStr">
        <is>
          <t>TRUE NORTH DATA : Rezone 105 acres to PD-OP to allow data center uses.</t>
        </is>
      </c>
      <c r="K265" t="inlineStr">
        <is>
          <t>104, 105, 106, 107, 197</t>
        </is>
      </c>
      <c r="L265" t="inlineStr">
        <is>
          <t>194103673000</t>
        </is>
      </c>
      <c r="M265" t="n">
        <v>39.043683</v>
      </c>
      <c r="N265" t="n">
        <v>-77.536923</v>
      </c>
      <c r="O265" t="inlineStr">
        <is>
          <t>https://logis.loudoun.gov/gis/rest/services/Projects/LOLA_DATA/MapServer/0/query?where=PlanNumber%3D%27ZMAP-2017-0003%27&amp;outFields=PlanNumber,PlanType,PlanStatus,PlanName,PlanApplicationDate,PlanDescription&amp;f=html</t>
        </is>
      </c>
    </row>
    <row r="266">
      <c r="A266" t="n">
        <v>735</v>
      </c>
      <c r="B266" t="n">
        <v>488</v>
      </c>
      <c r="C266" t="inlineStr">
        <is>
          <t>QUARRY COMMERCE CENTER</t>
        </is>
      </c>
      <c r="D266" t="inlineStr">
        <is>
          <t>Zoning/legislative</t>
        </is>
      </c>
      <c r="E266" t="inlineStr">
        <is>
          <t>Approved entitlement; buildings already on site</t>
        </is>
      </c>
      <c r="F266" t="inlineStr">
        <is>
          <t>County-stated status of application(s): Approved. Built/not-built is INFERRED: 3 data center building point(s) lie on/adjacent to the application area.</t>
        </is>
      </c>
      <c r="G266" t="inlineStr">
        <is>
          <t>ZMAP-2017-0004</t>
        </is>
      </c>
      <c r="H266" t="inlineStr">
        <is>
          <t>ZMAP-2017-0004 (Zoning Map Amendment, Approved)</t>
        </is>
      </c>
      <c r="I266" t="inlineStr">
        <is>
          <t>2017-09-13</t>
        </is>
      </c>
      <c r="J266" t="inlineStr">
        <is>
          <t>QUARRY COMMERCE CENTER : ZMAP to convert form CLI and MR-HI zoning to PD-GI under the Revised 1993 ZO for data centers.</t>
        </is>
      </c>
      <c r="K266" t="inlineStr">
        <is>
          <t>111, 112, 113</t>
        </is>
      </c>
      <c r="L266" t="inlineStr">
        <is>
          <t>097398776000</t>
        </is>
      </c>
      <c r="M266" t="n">
        <v>38.916551</v>
      </c>
      <c r="N266" t="n">
        <v>-77.47836100000001</v>
      </c>
      <c r="O266" t="inlineStr">
        <is>
          <t>https://logis.loudoun.gov/gis/rest/services/Projects/LOLA_DATA/MapServer/0/query?where=PlanNumber%3D%27ZMAP-2017-0004%27&amp;outFields=PlanNumber,PlanType,PlanStatus,PlanName,PlanApplicationDate,PlanDescription&amp;f=html</t>
        </is>
      </c>
    </row>
    <row r="267">
      <c r="A267" t="n">
        <v>736</v>
      </c>
      <c r="B267" t="n">
        <v>489</v>
      </c>
      <c r="C267" t="inlineStr">
        <is>
          <t>JK TECHNOLOGY PARK #1</t>
        </is>
      </c>
      <c r="D267" t="inlineStr">
        <is>
          <t>Zoning/legislative</t>
        </is>
      </c>
      <c r="E267" t="inlineStr">
        <is>
          <t>Approved, not yet built (inferred)</t>
        </is>
      </c>
      <c r="F267" t="inlineStr">
        <is>
          <t>County-stated status of application(s): Approved. Built/not-built is INFERRED: no mapped data center building lies within the application area.</t>
        </is>
      </c>
      <c r="G267" t="inlineStr">
        <is>
          <t>ZMAP-2018-0015</t>
        </is>
      </c>
      <c r="H267" t="inlineStr">
        <is>
          <t>ZMAP-2018-0015 (Zoning Map Amendment, Approved)</t>
        </is>
      </c>
      <c r="I267" t="inlineStr">
        <is>
          <t>2018-12-17</t>
        </is>
      </c>
      <c r="J267" t="inlineStr">
        <is>
          <t>JK TECHNOLOGY PARK #1 : A Zoning Map Amendment to rezone approximately 71.5-acres from CR-1 and R-1 Zoning Districts to PD-IP for an Industrial Park for Office and Data Center uses.</t>
        </is>
      </c>
      <c r="M267" t="n">
        <v>38.95541</v>
      </c>
      <c r="N267" t="n">
        <v>-77.545976</v>
      </c>
      <c r="O267" t="inlineStr">
        <is>
          <t>https://logis.loudoun.gov/gis/rest/services/Projects/LOLA_DATA/MapServer/0/query?where=PlanNumber%3D%27ZMAP-2018-0015%27&amp;outFields=PlanNumber,PlanType,PlanStatus,PlanName,PlanApplicationDate,PlanDescription&amp;f=html</t>
        </is>
      </c>
    </row>
    <row r="268">
      <c r="A268" t="n">
        <v>737</v>
      </c>
      <c r="B268" t="n">
        <v>490</v>
      </c>
      <c r="C268" t="inlineStr">
        <is>
          <t>LUCK/HAYDEN/LOUDOUN WATER PROPERTY</t>
        </is>
      </c>
      <c r="D268" t="inlineStr">
        <is>
          <t>Zoning/legislative</t>
        </is>
      </c>
      <c r="E268" t="inlineStr">
        <is>
          <t>Approved, not yet built (inferred)</t>
        </is>
      </c>
      <c r="F268" t="inlineStr">
        <is>
          <t>County-stated status of application(s): Approved. Built/not-built is INFERRED: no mapped data center building lies within the application area.</t>
        </is>
      </c>
      <c r="G268" t="inlineStr">
        <is>
          <t>ZMAP-2019-0003</t>
        </is>
      </c>
      <c r="H268" t="inlineStr">
        <is>
          <t>ZMAP-2019-0003 (Zoning Map Amendment, Approved)</t>
        </is>
      </c>
      <c r="I268" t="inlineStr">
        <is>
          <t>2019-01-28</t>
        </is>
      </c>
      <c r="J268" t="inlineStr">
        <is>
          <t>LUCK/HAYDEN/LOUDOUN WATER PROPERTY : A Zoning Map amendment to rezone from PD-IP and MR-HI Zoning Districtsto PD-GI for data centers and other PD-GI uses.</t>
        </is>
      </c>
      <c r="M268" t="n">
        <v>39.05141</v>
      </c>
      <c r="N268" t="n">
        <v>-77.534453</v>
      </c>
      <c r="O268" t="inlineStr">
        <is>
          <t>https://logis.loudoun.gov/gis/rest/services/Projects/LOLA_DATA/MapServer/0/query?where=PlanNumber%3D%27ZMAP-2019-0003%27&amp;outFields=PlanNumber,PlanType,PlanStatus,PlanName,PlanApplicationDate,PlanDescription&amp;f=html</t>
        </is>
      </c>
    </row>
    <row r="269">
      <c r="A269" t="n">
        <v>738</v>
      </c>
      <c r="B269" t="n">
        <v>491</v>
      </c>
      <c r="C269" t="inlineStr">
        <is>
          <t>JK TECHNOLOGY PARK #2</t>
        </is>
      </c>
      <c r="D269" t="inlineStr">
        <is>
          <t>Zoning/legislative</t>
        </is>
      </c>
      <c r="E269" t="inlineStr">
        <is>
          <t>Approved, not yet built (inferred)</t>
        </is>
      </c>
      <c r="F269" t="inlineStr">
        <is>
          <t>County-stated status of application(s): Approved. Built/not-built is INFERRED: no mapped data center building lies within the application area.</t>
        </is>
      </c>
      <c r="G269" t="inlineStr">
        <is>
          <t>ZMAP-2019-0015</t>
        </is>
      </c>
      <c r="H269" t="inlineStr">
        <is>
          <t>ZMAP-2019-0015 (Zoning Map Amendment, Approved)</t>
        </is>
      </c>
      <c r="I269" t="inlineStr">
        <is>
          <t>2019-08-27</t>
        </is>
      </c>
      <c r="J269" t="inlineStr">
        <is>
          <t>JK TECHNOLOGY PARK #2 : A Zoning Map Amendment to rezone approximately 19.95 acres from CR-1 &amp;RC to PD-IP for the development of PD-IP uses such as flex-office or data centers.</t>
        </is>
      </c>
      <c r="M269" t="n">
        <v>38.948837</v>
      </c>
      <c r="N269" t="n">
        <v>-77.54345600000001</v>
      </c>
      <c r="O269" t="inlineStr">
        <is>
          <t>https://logis.loudoun.gov/gis/rest/services/Projects/LOLA_DATA/MapServer/0/query?where=PlanNumber%3D%27ZMAP-2019-0015%27&amp;outFields=PlanNumber,PlanType,PlanStatus,PlanName,PlanApplicationDate,PlanDescription&amp;f=html</t>
        </is>
      </c>
    </row>
    <row r="270">
      <c r="A270" t="n">
        <v>739</v>
      </c>
      <c r="B270" t="n">
        <v>492</v>
      </c>
      <c r="C270" t="inlineStr">
        <is>
          <t>JK TECHNOLOGY PARK #3</t>
        </is>
      </c>
      <c r="D270" t="inlineStr">
        <is>
          <t>Zoning/legislative</t>
        </is>
      </c>
      <c r="E270" t="inlineStr">
        <is>
          <t>Approved, not yet built (inferred)</t>
        </is>
      </c>
      <c r="F270" t="inlineStr">
        <is>
          <t>County-stated status of application(s): Approved. Built/not-built is INFERRED: no mapped data center building lies within the application area.</t>
        </is>
      </c>
      <c r="G270" t="inlineStr">
        <is>
          <t>ZMAP-2019-0016</t>
        </is>
      </c>
      <c r="H270" t="inlineStr">
        <is>
          <t>ZMAP-2019-0016 (Zoning Map Amendment, Approved)</t>
        </is>
      </c>
      <c r="I270" t="inlineStr">
        <is>
          <t>2019-08-27</t>
        </is>
      </c>
      <c r="J270" t="inlineStr">
        <is>
          <t>JK TECHNOLOGY PARK #3 : A Zoning Map Amendment to rezone approximately 21.23 acres from RC to PDIP to develop an Industrial Park for permitted PD-IP uses such as Office or Data Center.</t>
        </is>
      </c>
      <c r="M270" t="n">
        <v>38.945789</v>
      </c>
      <c r="N270" t="n">
        <v>-77.540933</v>
      </c>
      <c r="O270" t="inlineStr">
        <is>
          <t>https://logis.loudoun.gov/gis/rest/services/Projects/LOLA_DATA/MapServer/0/query?where=PlanNumber%3D%27ZMAP-2019-0016%27&amp;outFields=PlanNumber,PlanType,PlanStatus,PlanName,PlanApplicationDate,PlanDescription&amp;f=html</t>
        </is>
      </c>
    </row>
    <row r="271">
      <c r="A271" t="n">
        <v>740</v>
      </c>
      <c r="B271" t="n">
        <v>493</v>
      </c>
      <c r="C271" t="inlineStr">
        <is>
          <t>H&amp;M PROPERTY</t>
        </is>
      </c>
      <c r="D271" t="inlineStr">
        <is>
          <t>Zoning/legislative</t>
        </is>
      </c>
      <c r="E271" t="inlineStr">
        <is>
          <t>Approved entitlement; buildings already on site</t>
        </is>
      </c>
      <c r="F271" t="inlineStr">
        <is>
          <t>County-stated status of application(s): Approved. Built/not-built is INFERRED: 2 data center building point(s) lie on/adjacent to the application area.</t>
        </is>
      </c>
      <c r="G271" t="inlineStr">
        <is>
          <t>ZMAP-2019-0017</t>
        </is>
      </c>
      <c r="H271" t="inlineStr">
        <is>
          <t>ZMAP-2019-0017 (Zoning Map Amendment, Approved)</t>
        </is>
      </c>
      <c r="I271" t="inlineStr">
        <is>
          <t>2019-09-23</t>
        </is>
      </c>
      <c r="J271" t="inlineStr">
        <is>
          <t>H&amp;M PROPERTY : A Zoning Map Amendment to rezone approximately 100.18 acres from MR-HIunder the Revised 1993 Loudoun County Zoning District to PD-GI Zoning District under the Revised 1993 Loudoun County Zoning Ordinance to allow the development of Data Center uses pursuant to Section 4-603(QQ).</t>
        </is>
      </c>
      <c r="K271" t="inlineStr">
        <is>
          <t>189, 223</t>
        </is>
      </c>
      <c r="L271" t="inlineStr">
        <is>
          <t>096183926000</t>
        </is>
      </c>
      <c r="M271" t="n">
        <v>38.92157</v>
      </c>
      <c r="N271" t="n">
        <v>-77.48279700000001</v>
      </c>
      <c r="O271" t="inlineStr">
        <is>
          <t>https://logis.loudoun.gov/gis/rest/services/Projects/LOLA_DATA/MapServer/0/query?where=PlanNumber%3D%27ZMAP-2019-0017%27&amp;outFields=PlanNumber,PlanType,PlanStatus,PlanName,PlanApplicationDate,PlanDescription&amp;f=html</t>
        </is>
      </c>
    </row>
    <row r="272">
      <c r="A272" t="n">
        <v>741</v>
      </c>
      <c r="B272" t="n">
        <v>494</v>
      </c>
      <c r="C272" t="inlineStr">
        <is>
          <t>BRAMBLETON SOUTH INDUSTRIAL PROPERTIES</t>
        </is>
      </c>
      <c r="D272" t="inlineStr">
        <is>
          <t>Zoning/legislative</t>
        </is>
      </c>
      <c r="E272" t="inlineStr">
        <is>
          <t>Approved, not yet built (inferred)</t>
        </is>
      </c>
      <c r="F272" t="inlineStr">
        <is>
          <t>County-stated status of application(s): Approved. Built/not-built is INFERRED: no mapped data center building lies within the application area.</t>
        </is>
      </c>
      <c r="G272" t="inlineStr">
        <is>
          <t>ZMAP-2020-0003</t>
        </is>
      </c>
      <c r="H272" t="inlineStr">
        <is>
          <t>ZMAP-2020-0003 (Zoning Map Amendment, Approved)</t>
        </is>
      </c>
      <c r="I272" t="inlineStr">
        <is>
          <t>2020-04-13</t>
        </is>
      </c>
      <c r="J272" t="inlineStr">
        <is>
          <t>BRAMBLETON SOUTH INDUSTRIAL PROPERTIES : A Zoning Map Amendment to rezone approximately 160 acres of property from CR-1, PD-GI and PD-H4 zoning districts to the PD-IP zoning district for the development of data center.</t>
        </is>
      </c>
      <c r="M272" t="n">
        <v>38.957082</v>
      </c>
      <c r="N272" t="n">
        <v>-77.530412</v>
      </c>
      <c r="O272" t="inlineStr">
        <is>
          <t>https://logis.loudoun.gov/gis/rest/services/Projects/LOLA_DATA/MapServer/0/query?where=PlanNumber%3D%27ZMAP-2020-0003%27&amp;outFields=PlanNumber,PlanType,PlanStatus,PlanName,PlanApplicationDate,PlanDescription&amp;f=html</t>
        </is>
      </c>
    </row>
    <row r="273">
      <c r="A273" t="n">
        <v>742</v>
      </c>
      <c r="B273" t="n">
        <v>495</v>
      </c>
      <c r="C273" t="inlineStr">
        <is>
          <t>DULLES 28 TECHNOLOGY PARK</t>
        </is>
      </c>
      <c r="D273" t="inlineStr">
        <is>
          <t>Zoning/legislative</t>
        </is>
      </c>
      <c r="E273" t="inlineStr">
        <is>
          <t>Approved entitlement; buildings already on site</t>
        </is>
      </c>
      <c r="F273" t="inlineStr">
        <is>
          <t>County-stated status of application(s): Approved. Built/not-built is INFERRED: 2 data center building point(s) lie on/adjacent to the application area.</t>
        </is>
      </c>
      <c r="G273" t="inlineStr">
        <is>
          <t>ZMAP-2020-0015</t>
        </is>
      </c>
      <c r="H273" t="inlineStr">
        <is>
          <t>ZMAP-2020-0015 (Zoning Map Amendment, Approved)</t>
        </is>
      </c>
      <c r="I273" t="inlineStr">
        <is>
          <t>2020-11-25</t>
        </is>
      </c>
      <c r="J273" t="inlineStr">
        <is>
          <t>DULLES 28 TECHNOLOGY PARK : 39.819 A Zoning Map Amendment to rezone approximately 39.819 acres from PD-CH under the 1972 Zoning Ordinance and PD-CC-RC under the Revised 1993 Loudoun County Zoning Ordinance to PD-IP to allow the development of data center and other PD-IP uses.</t>
        </is>
      </c>
      <c r="K273" t="inlineStr">
        <is>
          <t>212, 213</t>
        </is>
      </c>
      <c r="L273" t="inlineStr">
        <is>
          <t>043171795000; 043176560000</t>
        </is>
      </c>
      <c r="M273" t="n">
        <v>39.011004</v>
      </c>
      <c r="N273" t="n">
        <v>-77.441866</v>
      </c>
      <c r="O273" t="inlineStr">
        <is>
          <t>https://logis.loudoun.gov/gis/rest/services/Projects/LOLA_DATA/MapServer/0/query?where=PlanNumber%3D%27ZMAP-2020-0015%27&amp;outFields=PlanNumber,PlanType,PlanStatus,PlanName,PlanApplicationDate,PlanDescription&amp;f=html</t>
        </is>
      </c>
    </row>
    <row r="274">
      <c r="A274" t="n">
        <v>743</v>
      </c>
      <c r="B274" t="n">
        <v>496</v>
      </c>
      <c r="C274" t="inlineStr">
        <is>
          <t>FIREFOX DULLES</t>
        </is>
      </c>
      <c r="D274" t="inlineStr">
        <is>
          <t>Zoning/legislative</t>
        </is>
      </c>
      <c r="E274" t="inlineStr">
        <is>
          <t>Approved, not yet built (inferred)</t>
        </is>
      </c>
      <c r="F274" t="inlineStr">
        <is>
          <t>County-stated status of application(s): Approved. Built/not-built is INFERRED: no mapped data center building lies within the application area.</t>
        </is>
      </c>
      <c r="G274" t="inlineStr">
        <is>
          <t>ZMAP-2021-0018</t>
        </is>
      </c>
      <c r="H274" t="inlineStr">
        <is>
          <t>ZMAP-2021-0018 (Zoning Map Amendment, Approved)</t>
        </is>
      </c>
      <c r="I274" t="inlineStr">
        <is>
          <t>2021-10-15</t>
        </is>
      </c>
      <c r="J274" t="inlineStr">
        <is>
          <t>FIREFOX DULLES : A Zoning Map Amendment ( ZMAP ) to rezone the parcel to the Planned Development-Industrial Park ( PD-IP ) zoning district to allow the development of data center uses the Property up to an FAR of 0.6, and a Special Exception (SPEX) to increase the FAR to 1.0</t>
        </is>
      </c>
      <c r="M274" t="n">
        <v>38.920533</v>
      </c>
      <c r="N274" t="n">
        <v>-77.473291</v>
      </c>
      <c r="O274" t="inlineStr">
        <is>
          <t>https://logis.loudoun.gov/gis/rest/services/Projects/LOLA_DATA/MapServer/0/query?where=PlanNumber%3D%27ZMAP-2021-0018%27&amp;outFields=PlanNumber,PlanType,PlanStatus,PlanName,PlanApplicationDate,PlanDescription&amp;f=html</t>
        </is>
      </c>
    </row>
  </sheetData>
  <autoFilter ref="A1:O27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2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3" t="inlineStr">
        <is>
          <t>Combined #</t>
        </is>
      </c>
      <c r="B1" s="3" t="inlineStr">
        <is>
          <t>map #</t>
        </is>
      </c>
      <c r="C1" s="3" t="inlineStr">
        <is>
          <t>address</t>
        </is>
      </c>
      <c r="D1" s="3" t="inlineStr">
        <is>
          <t>PIN</t>
        </is>
      </c>
      <c r="E1" s="3" t="inlineStr">
        <is>
          <t>status</t>
        </is>
      </c>
      <c r="F1" s="3" t="inlineStr">
        <is>
          <t>status basis (inferred vs county-stated)</t>
        </is>
      </c>
      <c r="G1" s="3" t="inlineStr">
        <is>
          <t>county status label</t>
        </is>
      </c>
      <c r="H1" s="3" t="inlineStr">
        <is>
          <t>year built</t>
        </is>
      </c>
      <c r="I1" s="3" t="inlineStr">
        <is>
          <t>building permit issued</t>
        </is>
      </c>
      <c r="J1" s="3" t="inlineStr">
        <is>
          <t>sq ft</t>
        </is>
      </c>
      <c r="K1" s="3" t="inlineStr">
        <is>
          <t>lat</t>
        </is>
      </c>
      <c r="L1" s="3" t="inlineStr">
        <is>
          <t>lon</t>
        </is>
      </c>
      <c r="M1" s="3" t="inlineStr">
        <is>
          <t>source</t>
        </is>
      </c>
    </row>
    <row r="2">
      <c r="A2" t="n">
        <v>248</v>
      </c>
      <c r="B2" t="n">
        <v>1</v>
      </c>
      <c r="C2" t="inlineStr">
        <is>
          <t>45220 PROLOGIS PLZ</t>
        </is>
      </c>
      <c r="D2" t="inlineStr">
        <is>
          <t>045391908000</t>
        </is>
      </c>
      <c r="E2" t="inlineStr">
        <is>
          <t>Existing / operating (inferred)</t>
        </is>
      </c>
      <c r="F2" t="inlineStr">
        <is>
          <t>County lists as 'Existing or Permitted'; year built 2014, building permit 2008-04-09</t>
        </is>
      </c>
      <c r="G2" t="inlineStr">
        <is>
          <t>Existing or Permitted</t>
        </is>
      </c>
      <c r="H2" t="n">
        <v>2014</v>
      </c>
      <c r="I2" t="inlineStr">
        <is>
          <t>2008-04-09</t>
        </is>
      </c>
      <c r="K2" t="n">
        <v>38.991406</v>
      </c>
      <c r="L2" t="n">
        <v>-77.43653500000001</v>
      </c>
      <c r="M2" t="inlineStr">
        <is>
          <t>https://logis.loudoun.gov/gis/rest/services/Projects/BuildOut_LandUse/MapServer/0/1242?f=html</t>
        </is>
      </c>
    </row>
    <row r="3">
      <c r="A3" t="n">
        <v>249</v>
      </c>
      <c r="B3" t="n">
        <v>2</v>
      </c>
      <c r="C3" t="inlineStr">
        <is>
          <t>44610 GUILFORD DR</t>
        </is>
      </c>
      <c r="D3" t="inlineStr">
        <is>
          <t>060386530000</t>
        </is>
      </c>
      <c r="E3" t="inlineStr">
        <is>
          <t>Existing / operating (inferred)</t>
        </is>
      </c>
      <c r="F3" t="inlineStr">
        <is>
          <t>County lists as 'Existing or Permitted'; year built 2020, building permit 2020-05-18</t>
        </is>
      </c>
      <c r="G3" t="inlineStr">
        <is>
          <t>Existing or Permitted</t>
        </is>
      </c>
      <c r="H3" t="n">
        <v>2020</v>
      </c>
      <c r="I3" t="inlineStr">
        <is>
          <t>2020-05-18</t>
        </is>
      </c>
      <c r="K3" t="n">
        <v>39.024991</v>
      </c>
      <c r="L3" t="n">
        <v>-77.457562</v>
      </c>
      <c r="M3" t="inlineStr">
        <is>
          <t>https://logis.loudoun.gov/gis/rest/services/Projects/BuildOut_LandUse/MapServer/0/1472?f=html</t>
        </is>
      </c>
    </row>
    <row r="4">
      <c r="A4" t="n">
        <v>250</v>
      </c>
      <c r="B4" t="n">
        <v>3</v>
      </c>
      <c r="C4" t="inlineStr">
        <is>
          <t>21110 RIDGETOP CIR</t>
        </is>
      </c>
      <c r="D4" t="inlineStr">
        <is>
          <t>030399036000</t>
        </is>
      </c>
      <c r="E4" t="inlineStr">
        <is>
          <t>Existing / operating (inferred)</t>
        </is>
      </c>
      <c r="F4" t="inlineStr">
        <is>
          <t>County lists as 'Existing or Permitted'; year built 2001, building permit 2001-02-12</t>
        </is>
      </c>
      <c r="G4" t="inlineStr">
        <is>
          <t>Existing or Permitted</t>
        </is>
      </c>
      <c r="H4" t="n">
        <v>2001</v>
      </c>
      <c r="I4" t="inlineStr">
        <is>
          <t>2001-02-12</t>
        </is>
      </c>
      <c r="K4" t="n">
        <v>39.024776</v>
      </c>
      <c r="L4" t="n">
        <v>-77.41216900000001</v>
      </c>
      <c r="M4" t="inlineStr">
        <is>
          <t>https://logis.loudoun.gov/gis/rest/services/Projects/BuildOut_LandUse/MapServer/0/1520?f=html</t>
        </is>
      </c>
    </row>
    <row r="5">
      <c r="A5" t="n">
        <v>251</v>
      </c>
      <c r="B5" t="n">
        <v>4</v>
      </c>
      <c r="C5" t="inlineStr">
        <is>
          <t>45210 PROLOGIS PLZ</t>
        </is>
      </c>
      <c r="D5" t="inlineStr">
        <is>
          <t>045391908000</t>
        </is>
      </c>
      <c r="E5" t="inlineStr">
        <is>
          <t>Existing / operating (inferred)</t>
        </is>
      </c>
      <c r="F5" t="inlineStr">
        <is>
          <t>County lists as 'Existing or Permitted'; year built 2014, building permit 2008-04-09</t>
        </is>
      </c>
      <c r="G5" t="inlineStr">
        <is>
          <t>Existing or Permitted</t>
        </is>
      </c>
      <c r="H5" t="n">
        <v>2014</v>
      </c>
      <c r="I5" t="inlineStr">
        <is>
          <t>2008-04-09</t>
        </is>
      </c>
      <c r="K5" t="n">
        <v>38.990572</v>
      </c>
      <c r="L5" t="n">
        <v>-77.437059</v>
      </c>
      <c r="M5" t="inlineStr">
        <is>
          <t>https://logis.loudoun.gov/gis/rest/services/Projects/BuildOut_LandUse/MapServer/0/1574?f=html</t>
        </is>
      </c>
    </row>
    <row r="6">
      <c r="A6" t="n">
        <v>252</v>
      </c>
      <c r="B6" t="n">
        <v>5</v>
      </c>
      <c r="C6" t="inlineStr">
        <is>
          <t>21631 RED RUM DR</t>
        </is>
      </c>
      <c r="D6" t="inlineStr">
        <is>
          <t>088381462000</t>
        </is>
      </c>
      <c r="E6" t="inlineStr">
        <is>
          <t>Existing / operating (inferred)</t>
        </is>
      </c>
      <c r="F6" t="inlineStr">
        <is>
          <t>County lists as 'Existing or Permitted'; year built 2008, building permit 2007-09-11</t>
        </is>
      </c>
      <c r="G6" t="inlineStr">
        <is>
          <t>Existing or Permitted</t>
        </is>
      </c>
      <c r="H6" t="n">
        <v>2008</v>
      </c>
      <c r="I6" t="inlineStr">
        <is>
          <t>2007-09-11</t>
        </is>
      </c>
      <c r="K6" t="n">
        <v>39.015688</v>
      </c>
      <c r="L6" t="n">
        <v>-77.482578</v>
      </c>
      <c r="M6" t="inlineStr">
        <is>
          <t>https://logis.loudoun.gov/gis/rest/services/Projects/BuildOut_LandUse/MapServer/0/14332?f=html</t>
        </is>
      </c>
    </row>
    <row r="7">
      <c r="A7" t="n">
        <v>253</v>
      </c>
      <c r="B7" t="n">
        <v>6</v>
      </c>
      <c r="C7" t="inlineStr">
        <is>
          <t>21635 RED RUM DR</t>
        </is>
      </c>
      <c r="D7" t="inlineStr">
        <is>
          <t>088381462000</t>
        </is>
      </c>
      <c r="E7" t="inlineStr">
        <is>
          <t>Existing / operating (inferred)</t>
        </is>
      </c>
      <c r="F7" t="inlineStr">
        <is>
          <t>County lists as 'Existing or Permitted'; year built 2008, building permit 2007-09-11</t>
        </is>
      </c>
      <c r="G7" t="inlineStr">
        <is>
          <t>Existing or Permitted</t>
        </is>
      </c>
      <c r="H7" t="n">
        <v>2008</v>
      </c>
      <c r="I7" t="inlineStr">
        <is>
          <t>2007-09-11</t>
        </is>
      </c>
      <c r="K7" t="n">
        <v>39.015485</v>
      </c>
      <c r="L7" t="n">
        <v>-77.481724</v>
      </c>
      <c r="M7" t="inlineStr">
        <is>
          <t>https://logis.loudoun.gov/gis/rest/services/Projects/BuildOut_LandUse/MapServer/0/14333?f=html</t>
        </is>
      </c>
    </row>
    <row r="8">
      <c r="A8" t="n">
        <v>254</v>
      </c>
      <c r="B8" t="n">
        <v>7</v>
      </c>
      <c r="C8" t="inlineStr">
        <is>
          <t>21800 BEAUMEADE CIR</t>
        </is>
      </c>
      <c r="D8" t="inlineStr">
        <is>
          <t>061307791000</t>
        </is>
      </c>
      <c r="E8" t="inlineStr">
        <is>
          <t>Under construction / permitted, not complete (inferred)</t>
        </is>
      </c>
      <c r="F8" t="inlineStr">
        <is>
          <t>County lists as 'Existing or Permitted'; year built is placeholder 1000 and building permit issued 2023-05-26 (no completion recorded as of 2025-07-01)</t>
        </is>
      </c>
      <c r="G8" t="inlineStr">
        <is>
          <t>Existing or Permitted</t>
        </is>
      </c>
      <c r="I8" t="inlineStr">
        <is>
          <t>2023-05-26</t>
        </is>
      </c>
      <c r="K8" t="n">
        <v>39.013818</v>
      </c>
      <c r="L8" t="n">
        <v>-77.45156</v>
      </c>
      <c r="M8" t="inlineStr">
        <is>
          <t>https://logis.loudoun.gov/gis/rest/services/Projects/BuildOut_LandUse/MapServer/0/22465?f=html</t>
        </is>
      </c>
    </row>
    <row r="9">
      <c r="A9" t="n">
        <v>255</v>
      </c>
      <c r="B9" t="n">
        <v>8</v>
      </c>
      <c r="C9" t="inlineStr">
        <is>
          <t>21711 FILIGREE CT</t>
        </is>
      </c>
      <c r="D9" t="inlineStr">
        <is>
          <t>061483407000</t>
        </is>
      </c>
      <c r="E9" t="inlineStr">
        <is>
          <t>Existing / operating (inferred)</t>
        </is>
      </c>
      <c r="F9" t="inlineStr">
        <is>
          <t>County lists as 'Existing or Permitted'; year built 1998, building permit 1997-12-04</t>
        </is>
      </c>
      <c r="G9" t="inlineStr">
        <is>
          <t>Existing or Permitted</t>
        </is>
      </c>
      <c r="H9" t="n">
        <v>1998</v>
      </c>
      <c r="I9" t="inlineStr">
        <is>
          <t>1997-12-04</t>
        </is>
      </c>
      <c r="K9" t="n">
        <v>39.015547</v>
      </c>
      <c r="L9" t="n">
        <v>-77.46034299999999</v>
      </c>
      <c r="M9" t="inlineStr">
        <is>
          <t>https://logis.loudoun.gov/gis/rest/services/Projects/BuildOut_LandUse/MapServer/0/22470?f=html</t>
        </is>
      </c>
    </row>
    <row r="10">
      <c r="A10" t="n">
        <v>256</v>
      </c>
      <c r="B10" t="n">
        <v>9</v>
      </c>
      <c r="C10" t="inlineStr">
        <is>
          <t>21721 FILIGREE CT</t>
        </is>
      </c>
      <c r="D10" t="inlineStr">
        <is>
          <t>061483407000</t>
        </is>
      </c>
      <c r="E10" t="inlineStr">
        <is>
          <t>Existing / operating (inferred)</t>
        </is>
      </c>
      <c r="F10" t="inlineStr">
        <is>
          <t>County lists as 'Existing or Permitted'; year built 2010, building permit 2009-10-26</t>
        </is>
      </c>
      <c r="G10" t="inlineStr">
        <is>
          <t>Existing or Permitted</t>
        </is>
      </c>
      <c r="H10" t="n">
        <v>2010</v>
      </c>
      <c r="I10" t="inlineStr">
        <is>
          <t>2009-10-26</t>
        </is>
      </c>
      <c r="K10" t="n">
        <v>39.015195</v>
      </c>
      <c r="L10" t="n">
        <v>-77.459463</v>
      </c>
      <c r="M10" t="inlineStr">
        <is>
          <t>https://logis.loudoun.gov/gis/rest/services/Projects/BuildOut_LandUse/MapServer/0/22471?f=html</t>
        </is>
      </c>
    </row>
    <row r="11">
      <c r="A11" t="n">
        <v>257</v>
      </c>
      <c r="B11" t="n">
        <v>10</v>
      </c>
      <c r="C11" t="inlineStr">
        <is>
          <t>22340 DRESDEN ST</t>
        </is>
      </c>
      <c r="D11" t="inlineStr">
        <is>
          <t>044174648000</t>
        </is>
      </c>
      <c r="E11" t="inlineStr">
        <is>
          <t>Existing / operating (inferred)</t>
        </is>
      </c>
      <c r="F11" t="inlineStr">
        <is>
          <t>County lists as 'Existing or Permitted'; year built 2001, building permit 2000-06-20</t>
        </is>
      </c>
      <c r="G11" t="inlineStr">
        <is>
          <t>Existing or Permitted</t>
        </is>
      </c>
      <c r="H11" t="n">
        <v>2001</v>
      </c>
      <c r="I11" t="inlineStr">
        <is>
          <t>2000-06-20</t>
        </is>
      </c>
      <c r="K11" t="n">
        <v>38.997879</v>
      </c>
      <c r="L11" t="n">
        <v>-77.443949</v>
      </c>
      <c r="M11" t="inlineStr">
        <is>
          <t>https://logis.loudoun.gov/gis/rest/services/Projects/BuildOut_LandUse/MapServer/0/27978?f=html</t>
        </is>
      </c>
    </row>
    <row r="12">
      <c r="A12" t="n">
        <v>258</v>
      </c>
      <c r="B12" t="n">
        <v>11</v>
      </c>
      <c r="C12" t="inlineStr">
        <is>
          <t>44664 GUILFORD DR</t>
        </is>
      </c>
      <c r="D12" t="inlineStr">
        <is>
          <t>060298548000</t>
        </is>
      </c>
      <c r="E12" t="inlineStr">
        <is>
          <t>Existing / operating (inferred)</t>
        </is>
      </c>
      <c r="F12" t="inlineStr">
        <is>
          <t>County lists as 'Existing or Permitted'; year built 1990</t>
        </is>
      </c>
      <c r="G12" t="inlineStr">
        <is>
          <t>Existing or Permitted</t>
        </is>
      </c>
      <c r="H12" t="n">
        <v>1990</v>
      </c>
      <c r="K12" t="n">
        <v>39.022884</v>
      </c>
      <c r="L12" t="n">
        <v>-77.454914</v>
      </c>
      <c r="M12" t="inlineStr">
        <is>
          <t>https://logis.loudoun.gov/gis/rest/services/Projects/BuildOut_LandUse/MapServer/0/28019?f=html</t>
        </is>
      </c>
    </row>
    <row r="13">
      <c r="A13" t="n">
        <v>259</v>
      </c>
      <c r="B13" t="n">
        <v>12</v>
      </c>
      <c r="C13" t="inlineStr">
        <is>
          <t>44520 HASTINGS DR</t>
        </is>
      </c>
      <c r="D13" t="inlineStr">
        <is>
          <t>060182916000</t>
        </is>
      </c>
      <c r="E13" t="inlineStr">
        <is>
          <t>Existing / operating (inferred)</t>
        </is>
      </c>
      <c r="F13" t="inlineStr">
        <is>
          <t>County lists as 'Existing or Permitted'; year built 2006, building permit 2000-08-30</t>
        </is>
      </c>
      <c r="G13" t="inlineStr">
        <is>
          <t>Existing or Permitted</t>
        </is>
      </c>
      <c r="H13" t="n">
        <v>2006</v>
      </c>
      <c r="I13" t="inlineStr">
        <is>
          <t>2000-08-30</t>
        </is>
      </c>
      <c r="K13" t="n">
        <v>39.019963</v>
      </c>
      <c r="L13" t="n">
        <v>-77.45994399999999</v>
      </c>
      <c r="M13" t="inlineStr">
        <is>
          <t>https://logis.loudoun.gov/gis/rest/services/Projects/BuildOut_LandUse/MapServer/0/28036?f=html</t>
        </is>
      </c>
    </row>
    <row r="14">
      <c r="A14" t="n">
        <v>260</v>
      </c>
      <c r="B14" t="n">
        <v>13</v>
      </c>
      <c r="C14" t="inlineStr">
        <is>
          <t>45005 RUSSELL BRANCH PKWY</t>
        </is>
      </c>
      <c r="D14" t="inlineStr">
        <is>
          <t>040464286000</t>
        </is>
      </c>
      <c r="E14" t="inlineStr">
        <is>
          <t>Existing / operating (inferred)</t>
        </is>
      </c>
      <c r="F14" t="inlineStr">
        <is>
          <t>County lists as 'Existing or Permitted'; year built 2008, building permit 2007-08-03</t>
        </is>
      </c>
      <c r="G14" t="inlineStr">
        <is>
          <t>Existing or Permitted</t>
        </is>
      </c>
      <c r="H14" t="n">
        <v>2008</v>
      </c>
      <c r="I14" t="inlineStr">
        <is>
          <t>2007-08-03</t>
        </is>
      </c>
      <c r="K14" t="n">
        <v>39.048697</v>
      </c>
      <c r="L14" t="n">
        <v>-77.44537699999999</v>
      </c>
      <c r="M14" t="inlineStr">
        <is>
          <t>https://logis.loudoun.gov/gis/rest/services/Projects/BuildOut_LandUse/MapServer/0/31893?f=html</t>
        </is>
      </c>
    </row>
    <row r="15">
      <c r="A15" t="n">
        <v>261</v>
      </c>
      <c r="B15" t="n">
        <v>14</v>
      </c>
      <c r="C15" t="inlineStr">
        <is>
          <t>44490 CHILUM PL</t>
        </is>
      </c>
      <c r="D15" t="inlineStr">
        <is>
          <t>060182916000</t>
        </is>
      </c>
      <c r="E15" t="inlineStr">
        <is>
          <t>Existing / operating (inferred)</t>
        </is>
      </c>
      <c r="F15" t="inlineStr">
        <is>
          <t>County lists as 'Existing or Permitted'; year built 2005, building permit 2000-08-30</t>
        </is>
      </c>
      <c r="G15" t="inlineStr">
        <is>
          <t>Existing or Permitted</t>
        </is>
      </c>
      <c r="H15" t="n">
        <v>2005</v>
      </c>
      <c r="I15" t="inlineStr">
        <is>
          <t>2000-08-30</t>
        </is>
      </c>
      <c r="K15" t="n">
        <v>39.021505</v>
      </c>
      <c r="L15" t="n">
        <v>-77.45944</v>
      </c>
      <c r="M15" t="inlineStr">
        <is>
          <t>https://logis.loudoun.gov/gis/rest/services/Projects/BuildOut_LandUse/MapServer/0/33538?f=html</t>
        </is>
      </c>
    </row>
    <row r="16">
      <c r="A16" t="n">
        <v>262</v>
      </c>
      <c r="B16" t="n">
        <v>15</v>
      </c>
      <c r="C16" t="inlineStr">
        <is>
          <t>44470 CHILUM PL</t>
        </is>
      </c>
      <c r="D16" t="inlineStr">
        <is>
          <t>060182916000</t>
        </is>
      </c>
      <c r="E16" t="inlineStr">
        <is>
          <t>Existing / operating (inferred)</t>
        </is>
      </c>
      <c r="F16" t="inlineStr">
        <is>
          <t>County lists as 'Existing or Permitted'; year built 2001, building permit 2001-05-01</t>
        </is>
      </c>
      <c r="G16" t="inlineStr">
        <is>
          <t>Existing or Permitted</t>
        </is>
      </c>
      <c r="H16" t="n">
        <v>2001</v>
      </c>
      <c r="I16" t="inlineStr">
        <is>
          <t>2001-05-01</t>
        </is>
      </c>
      <c r="K16" t="n">
        <v>39.022256</v>
      </c>
      <c r="L16" t="n">
        <v>-77.461223</v>
      </c>
      <c r="M16" t="inlineStr">
        <is>
          <t>https://logis.loudoun.gov/gis/rest/services/Projects/BuildOut_LandUse/MapServer/0/33542?f=html</t>
        </is>
      </c>
    </row>
    <row r="17">
      <c r="A17" t="n">
        <v>263</v>
      </c>
      <c r="B17" t="n">
        <v>16</v>
      </c>
      <c r="C17" t="inlineStr">
        <is>
          <t>21571 BEAUMEADE CIR</t>
        </is>
      </c>
      <c r="D17" t="inlineStr">
        <is>
          <t>060202337000</t>
        </is>
      </c>
      <c r="E17" t="inlineStr">
        <is>
          <t>Existing / operating (inferred)</t>
        </is>
      </c>
      <c r="F17" t="inlineStr">
        <is>
          <t>County lists as 'Existing or Permitted'; year built 2001, building permit 1999-11-24</t>
        </is>
      </c>
      <c r="G17" t="inlineStr">
        <is>
          <t>Existing or Permitted</t>
        </is>
      </c>
      <c r="H17" t="n">
        <v>2001</v>
      </c>
      <c r="I17" t="inlineStr">
        <is>
          <t>1999-11-24</t>
        </is>
      </c>
      <c r="K17" t="n">
        <v>39.022182</v>
      </c>
      <c r="L17" t="n">
        <v>-77.45357799999999</v>
      </c>
      <c r="M17" t="inlineStr">
        <is>
          <t>https://logis.loudoun.gov/gis/rest/services/Projects/BuildOut_LandUse/MapServer/0/51205?f=html</t>
        </is>
      </c>
    </row>
    <row r="18">
      <c r="A18" t="n">
        <v>264</v>
      </c>
      <c r="B18" t="n">
        <v>17</v>
      </c>
      <c r="C18" t="inlineStr">
        <is>
          <t>45360 SEVERN WAY W</t>
        </is>
      </c>
      <c r="D18" t="inlineStr">
        <is>
          <t>042200988000</t>
        </is>
      </c>
      <c r="E18" t="inlineStr">
        <is>
          <t>Existing / operating (inferred)</t>
        </is>
      </c>
      <c r="F18" t="inlineStr">
        <is>
          <t>County lists as 'Existing or Permitted'; year built 2012, building permit 2014-10-07</t>
        </is>
      </c>
      <c r="G18" t="inlineStr">
        <is>
          <t>Existing or Permitted</t>
        </is>
      </c>
      <c r="H18" t="n">
        <v>2012</v>
      </c>
      <c r="I18" t="inlineStr">
        <is>
          <t>2014-10-07</t>
        </is>
      </c>
      <c r="K18" t="n">
        <v>39.021626</v>
      </c>
      <c r="L18" t="n">
        <v>-77.432869</v>
      </c>
      <c r="M18" t="inlineStr">
        <is>
          <t>https://logis.loudoun.gov/gis/rest/services/Projects/BuildOut_LandUse/MapServer/0/51229?f=html</t>
        </is>
      </c>
    </row>
    <row r="19">
      <c r="A19" t="n">
        <v>265</v>
      </c>
      <c r="B19" t="n">
        <v>18</v>
      </c>
      <c r="C19" t="inlineStr">
        <is>
          <t>1304 SQUIRE CT</t>
        </is>
      </c>
      <c r="D19" t="inlineStr">
        <is>
          <t>042295813000</t>
        </is>
      </c>
      <c r="E19" t="inlineStr">
        <is>
          <t>Existing / operating (inferred)</t>
        </is>
      </c>
      <c r="F19" t="inlineStr">
        <is>
          <t>County lists as 'Existing or Permitted'; year built 2018, building permit 2014-10-07</t>
        </is>
      </c>
      <c r="G19" t="inlineStr">
        <is>
          <t>Existing or Permitted</t>
        </is>
      </c>
      <c r="H19" t="n">
        <v>2018</v>
      </c>
      <c r="I19" t="inlineStr">
        <is>
          <t>2014-10-07</t>
        </is>
      </c>
      <c r="K19" t="n">
        <v>39.021571</v>
      </c>
      <c r="L19" t="n">
        <v>-77.43479499999999</v>
      </c>
      <c r="M19" t="inlineStr">
        <is>
          <t>https://logis.loudoun.gov/gis/rest/services/Projects/BuildOut_LandUse/MapServer/0/51231?f=html</t>
        </is>
      </c>
    </row>
    <row r="20">
      <c r="A20" t="n">
        <v>266</v>
      </c>
      <c r="B20" t="n">
        <v>19</v>
      </c>
      <c r="C20" t="inlineStr">
        <is>
          <t>45901 NOKES BLVD</t>
        </is>
      </c>
      <c r="D20" t="inlineStr">
        <is>
          <t>030297084000</t>
        </is>
      </c>
      <c r="E20" t="inlineStr">
        <is>
          <t>Existing / operating (inferred)</t>
        </is>
      </c>
      <c r="F20" t="inlineStr">
        <is>
          <t>County lists as 'Existing or Permitted'; year built 1998, building permit 1997-12-18</t>
        </is>
      </c>
      <c r="G20" t="inlineStr">
        <is>
          <t>Existing or Permitted</t>
        </is>
      </c>
      <c r="H20" t="n">
        <v>1998</v>
      </c>
      <c r="I20" t="inlineStr">
        <is>
          <t>1997-12-18</t>
        </is>
      </c>
      <c r="K20" t="n">
        <v>39.023323</v>
      </c>
      <c r="L20" t="n">
        <v>-77.41316399999999</v>
      </c>
      <c r="M20" t="inlineStr">
        <is>
          <t>https://logis.loudoun.gov/gis/rest/services/Projects/BuildOut_LandUse/MapServer/0/51272?f=html</t>
        </is>
      </c>
    </row>
    <row r="21">
      <c r="A21" t="n">
        <v>267</v>
      </c>
      <c r="B21" t="n">
        <v>20</v>
      </c>
      <c r="C21" t="inlineStr">
        <is>
          <t>21830 UUNET DR</t>
        </is>
      </c>
      <c r="D21" t="inlineStr">
        <is>
          <t>088200644000</t>
        </is>
      </c>
      <c r="E21" t="inlineStr">
        <is>
          <t>Existing / operating (inferred)</t>
        </is>
      </c>
      <c r="F21" t="inlineStr">
        <is>
          <t>County lists as 'Existing or Permitted'; year built 2000, building permit 2000-01-19</t>
        </is>
      </c>
      <c r="G21" t="inlineStr">
        <is>
          <t>Existing or Permitted</t>
        </is>
      </c>
      <c r="H21" t="n">
        <v>2000</v>
      </c>
      <c r="I21" t="inlineStr">
        <is>
          <t>2000-01-19</t>
        </is>
      </c>
      <c r="K21" t="n">
        <v>39.012562</v>
      </c>
      <c r="L21" t="n">
        <v>-77.475194</v>
      </c>
      <c r="M21" t="inlineStr">
        <is>
          <t>https://logis.loudoun.gov/gis/rest/services/Projects/BuildOut_LandUse/MapServer/0/55031?f=html</t>
        </is>
      </c>
    </row>
    <row r="22">
      <c r="A22" t="n">
        <v>268</v>
      </c>
      <c r="B22" t="n">
        <v>21</v>
      </c>
      <c r="C22" t="inlineStr">
        <is>
          <t>21715 FILIGREE CT</t>
        </is>
      </c>
      <c r="D22" t="inlineStr">
        <is>
          <t>061483407000</t>
        </is>
      </c>
      <c r="E22" t="inlineStr">
        <is>
          <t>Existing / operating (inferred)</t>
        </is>
      </c>
      <c r="F22" t="inlineStr">
        <is>
          <t>County lists as 'Existing or Permitted'; year built 2000, building permit 1999-12-22</t>
        </is>
      </c>
      <c r="G22" t="inlineStr">
        <is>
          <t>Existing or Permitted</t>
        </is>
      </c>
      <c r="H22" t="n">
        <v>2000</v>
      </c>
      <c r="I22" t="inlineStr">
        <is>
          <t>1999-12-22</t>
        </is>
      </c>
      <c r="K22" t="n">
        <v>39.016486</v>
      </c>
      <c r="L22" t="n">
        <v>-77.459074</v>
      </c>
      <c r="M22" t="inlineStr">
        <is>
          <t>https://logis.loudoun.gov/gis/rest/services/Projects/BuildOut_LandUse/MapServer/0/55263?f=html</t>
        </is>
      </c>
    </row>
    <row r="23">
      <c r="A23" t="n">
        <v>269</v>
      </c>
      <c r="B23" t="n">
        <v>22</v>
      </c>
      <c r="C23" t="inlineStr">
        <is>
          <t>21691 FILIGREE CT</t>
        </is>
      </c>
      <c r="D23" t="inlineStr">
        <is>
          <t>061483407000</t>
        </is>
      </c>
      <c r="E23" t="inlineStr">
        <is>
          <t>Existing / operating (inferred)</t>
        </is>
      </c>
      <c r="F23" t="inlineStr">
        <is>
          <t>County lists as 'Existing or Permitted'; year built 2000, building permit 2000-01-11</t>
        </is>
      </c>
      <c r="G23" t="inlineStr">
        <is>
          <t>Existing or Permitted</t>
        </is>
      </c>
      <c r="H23" t="n">
        <v>2000</v>
      </c>
      <c r="I23" t="inlineStr">
        <is>
          <t>2000-01-11</t>
        </is>
      </c>
      <c r="K23" t="n">
        <v>39.016477</v>
      </c>
      <c r="L23" t="n">
        <v>-77.46195899999999</v>
      </c>
      <c r="M23" t="inlineStr">
        <is>
          <t>https://logis.loudoun.gov/gis/rest/services/Projects/BuildOut_LandUse/MapServer/0/55264?f=html</t>
        </is>
      </c>
    </row>
    <row r="24">
      <c r="A24" t="n">
        <v>270</v>
      </c>
      <c r="B24" t="n">
        <v>23</v>
      </c>
      <c r="C24" t="inlineStr">
        <is>
          <t>21701 FILIGREE CT</t>
        </is>
      </c>
      <c r="D24" t="inlineStr">
        <is>
          <t>061483407000</t>
        </is>
      </c>
      <c r="E24" t="inlineStr">
        <is>
          <t>Existing / operating (inferred)</t>
        </is>
      </c>
      <c r="F24" t="inlineStr">
        <is>
          <t>County lists as 'Existing or Permitted'; year built 1998, building permit 1997-12-04</t>
        </is>
      </c>
      <c r="G24" t="inlineStr">
        <is>
          <t>Existing or Permitted</t>
        </is>
      </c>
      <c r="H24" t="n">
        <v>1998</v>
      </c>
      <c r="I24" t="inlineStr">
        <is>
          <t>1997-12-04</t>
        </is>
      </c>
      <c r="K24" t="n">
        <v>39.01591</v>
      </c>
      <c r="L24" t="n">
        <v>-77.461172</v>
      </c>
      <c r="M24" t="inlineStr">
        <is>
          <t>https://logis.loudoun.gov/gis/rest/services/Projects/BuildOut_LandUse/MapServer/0/55265?f=html</t>
        </is>
      </c>
    </row>
    <row r="25">
      <c r="A25" t="n">
        <v>271</v>
      </c>
      <c r="B25" t="n">
        <v>24</v>
      </c>
      <c r="C25" t="inlineStr">
        <is>
          <t>45845 NOKES BLVD</t>
        </is>
      </c>
      <c r="D25" t="inlineStr">
        <is>
          <t>030391106000</t>
        </is>
      </c>
      <c r="E25" t="inlineStr">
        <is>
          <t>Existing / operating (inferred)</t>
        </is>
      </c>
      <c r="F25" t="inlineStr">
        <is>
          <t>County lists as 'Existing or Permitted'; year built 2001, building permit 2000-06-01</t>
        </is>
      </c>
      <c r="G25" t="inlineStr">
        <is>
          <t>Existing or Permitted</t>
        </is>
      </c>
      <c r="H25" t="n">
        <v>2001</v>
      </c>
      <c r="I25" t="inlineStr">
        <is>
          <t>2000-06-01</t>
        </is>
      </c>
      <c r="K25" t="n">
        <v>39.023933</v>
      </c>
      <c r="L25" t="n">
        <v>-77.415159</v>
      </c>
      <c r="M25" t="inlineStr">
        <is>
          <t>https://logis.loudoun.gov/gis/rest/services/Projects/BuildOut_LandUse/MapServer/0/55267?f=html</t>
        </is>
      </c>
    </row>
    <row r="26">
      <c r="A26" t="n">
        <v>272</v>
      </c>
      <c r="B26" t="n">
        <v>25</v>
      </c>
      <c r="C26" t="inlineStr">
        <is>
          <t>21731 FILIGREE CT</t>
        </is>
      </c>
      <c r="D26" t="inlineStr">
        <is>
          <t>061483407000</t>
        </is>
      </c>
      <c r="E26" t="inlineStr">
        <is>
          <t>Existing / operating (inferred)</t>
        </is>
      </c>
      <c r="F26" t="inlineStr">
        <is>
          <t>County lists as 'Existing or Permitted'; year built 2010</t>
        </is>
      </c>
      <c r="G26" t="inlineStr">
        <is>
          <t>Existing or Permitted</t>
        </is>
      </c>
      <c r="H26" t="n">
        <v>2010</v>
      </c>
      <c r="K26" t="n">
        <v>39.014876</v>
      </c>
      <c r="L26" t="n">
        <v>-77.45855299999999</v>
      </c>
      <c r="M26" t="inlineStr">
        <is>
          <t>https://logis.loudoun.gov/gis/rest/services/Projects/BuildOut_LandUse/MapServer/0/55272?f=html</t>
        </is>
      </c>
    </row>
    <row r="27">
      <c r="A27" t="n">
        <v>273</v>
      </c>
      <c r="B27" t="n">
        <v>26</v>
      </c>
      <c r="C27" t="inlineStr">
        <is>
          <t>21301 BEAUMEADE CIR</t>
        </is>
      </c>
      <c r="D27" t="inlineStr">
        <is>
          <t>061307725000</t>
        </is>
      </c>
      <c r="E27" t="inlineStr">
        <is>
          <t>Existing / operating (inferred)</t>
        </is>
      </c>
      <c r="F27" t="inlineStr">
        <is>
          <t>County lists as 'Existing or Permitted'; year built 2006, building permit 2003-04-18</t>
        </is>
      </c>
      <c r="G27" t="inlineStr">
        <is>
          <t>Existing or Permitted</t>
        </is>
      </c>
      <c r="H27" t="n">
        <v>2006</v>
      </c>
      <c r="I27" t="inlineStr">
        <is>
          <t>2003-04-18</t>
        </is>
      </c>
      <c r="K27" t="n">
        <v>39.014766</v>
      </c>
      <c r="L27" t="n">
        <v>-77.451382</v>
      </c>
      <c r="M27" t="inlineStr">
        <is>
          <t>https://logis.loudoun.gov/gis/rest/services/Projects/BuildOut_LandUse/MapServer/0/55273?f=html</t>
        </is>
      </c>
    </row>
    <row r="28">
      <c r="A28" t="n">
        <v>274</v>
      </c>
      <c r="B28" t="n">
        <v>27</v>
      </c>
      <c r="C28" t="inlineStr">
        <is>
          <t>43881 DEVIN SHAFRON DR</t>
        </is>
      </c>
      <c r="D28" t="inlineStr">
        <is>
          <t>089278681000</t>
        </is>
      </c>
      <c r="E28" t="inlineStr">
        <is>
          <t>Existing / operating (inferred)</t>
        </is>
      </c>
      <c r="F28" t="inlineStr">
        <is>
          <t>County lists as 'Existing or Permitted'; year built 2001</t>
        </is>
      </c>
      <c r="G28" t="inlineStr">
        <is>
          <t>Existing or Permitted</t>
        </is>
      </c>
      <c r="H28" t="n">
        <v>2001</v>
      </c>
      <c r="K28" t="n">
        <v>39.002055</v>
      </c>
      <c r="L28" t="n">
        <v>-77.483419</v>
      </c>
      <c r="M28" t="inlineStr">
        <is>
          <t>https://logis.loudoun.gov/gis/rest/services/Projects/BuildOut_LandUse/MapServer/0/59727?f=html</t>
        </is>
      </c>
    </row>
    <row r="29">
      <c r="A29" t="n">
        <v>275</v>
      </c>
      <c r="B29" t="n">
        <v>28</v>
      </c>
      <c r="C29" t="inlineStr">
        <is>
          <t>43791 DEVIN SHAFRON DR</t>
        </is>
      </c>
      <c r="D29" t="inlineStr">
        <is>
          <t>089367531000</t>
        </is>
      </c>
      <c r="E29" t="inlineStr">
        <is>
          <t>Existing / operating (inferred)</t>
        </is>
      </c>
      <c r="F29" t="inlineStr">
        <is>
          <t>County lists as 'Existing or Permitted'; year built 2001, building permit 2000-12-06</t>
        </is>
      </c>
      <c r="G29" t="inlineStr">
        <is>
          <t>Existing or Permitted</t>
        </is>
      </c>
      <c r="H29" t="n">
        <v>2001</v>
      </c>
      <c r="I29" t="inlineStr">
        <is>
          <t>2000-12-06</t>
        </is>
      </c>
      <c r="K29" t="n">
        <v>39.0034</v>
      </c>
      <c r="L29" t="n">
        <v>-77.48713600000001</v>
      </c>
      <c r="M29" t="inlineStr">
        <is>
          <t>https://logis.loudoun.gov/gis/rest/services/Projects/BuildOut_LandUse/MapServer/0/59728?f=html</t>
        </is>
      </c>
    </row>
    <row r="30">
      <c r="A30" t="n">
        <v>276</v>
      </c>
      <c r="B30" t="n">
        <v>29</v>
      </c>
      <c r="C30" t="inlineStr">
        <is>
          <t>43831 DEVIN SHAFRON DR</t>
        </is>
      </c>
      <c r="D30" t="inlineStr">
        <is>
          <t>089372808000</t>
        </is>
      </c>
      <c r="E30" t="inlineStr">
        <is>
          <t>Existing / operating (inferred)</t>
        </is>
      </c>
      <c r="F30" t="inlineStr">
        <is>
          <t>County lists as 'Existing or Permitted'; year built 2001, building permit 2000-12-06</t>
        </is>
      </c>
      <c r="G30" t="inlineStr">
        <is>
          <t>Existing or Permitted</t>
        </is>
      </c>
      <c r="H30" t="n">
        <v>2001</v>
      </c>
      <c r="I30" t="inlineStr">
        <is>
          <t>2000-12-06</t>
        </is>
      </c>
      <c r="K30" t="n">
        <v>39.002779</v>
      </c>
      <c r="L30" t="n">
        <v>-77.48544699999999</v>
      </c>
      <c r="M30" t="inlineStr">
        <is>
          <t>https://logis.loudoun.gov/gis/rest/services/Projects/BuildOut_LandUse/MapServer/0/59729?f=html</t>
        </is>
      </c>
    </row>
    <row r="31">
      <c r="A31" t="n">
        <v>277</v>
      </c>
      <c r="B31" t="n">
        <v>30</v>
      </c>
      <c r="C31" t="inlineStr">
        <is>
          <t>22080 PACIFIC BLVD</t>
        </is>
      </c>
      <c r="D31" t="inlineStr">
        <is>
          <t>044261032000</t>
        </is>
      </c>
      <c r="E31" t="inlineStr">
        <is>
          <t>Existing / operating (inferred)</t>
        </is>
      </c>
      <c r="F31" t="inlineStr">
        <is>
          <t>County lists as 'Existing or Permitted'; year built 1998, building permit 1997-09-08</t>
        </is>
      </c>
      <c r="G31" t="inlineStr">
        <is>
          <t>Existing or Permitted</t>
        </is>
      </c>
      <c r="H31" t="n">
        <v>1998</v>
      </c>
      <c r="I31" t="inlineStr">
        <is>
          <t>1997-09-08</t>
        </is>
      </c>
      <c r="K31" t="n">
        <v>39.004715</v>
      </c>
      <c r="L31" t="n">
        <v>-77.44179699999999</v>
      </c>
      <c r="M31" t="inlineStr">
        <is>
          <t>https://logis.loudoun.gov/gis/rest/services/Projects/BuildOut_LandUse/MapServer/0/59739?f=html</t>
        </is>
      </c>
    </row>
    <row r="32">
      <c r="A32" t="n">
        <v>278</v>
      </c>
      <c r="B32" t="n">
        <v>31</v>
      </c>
      <c r="C32" t="inlineStr">
        <is>
          <t>22520 RANDOLPH DR</t>
        </is>
      </c>
      <c r="D32" t="inlineStr">
        <is>
          <t>045352692000</t>
        </is>
      </c>
      <c r="E32" t="inlineStr">
        <is>
          <t>Existing / operating (inferred)</t>
        </is>
      </c>
      <c r="F32" t="inlineStr">
        <is>
          <t>County lists as 'Existing or Permitted'; year built 2016, building permit 2016-09-20</t>
        </is>
      </c>
      <c r="G32" t="inlineStr">
        <is>
          <t>Existing or Permitted</t>
        </is>
      </c>
      <c r="H32" t="n">
        <v>2016</v>
      </c>
      <c r="I32" t="inlineStr">
        <is>
          <t>2016-09-20</t>
        </is>
      </c>
      <c r="K32" t="n">
        <v>38.993809</v>
      </c>
      <c r="L32" t="n">
        <v>-77.450475</v>
      </c>
      <c r="M32" t="inlineStr">
        <is>
          <t>https://logis.loudoun.gov/gis/rest/services/Projects/BuildOut_LandUse/MapServer/0/66035?f=html</t>
        </is>
      </c>
    </row>
    <row r="33">
      <c r="A33" t="n">
        <v>279</v>
      </c>
      <c r="B33" t="n">
        <v>32</v>
      </c>
      <c r="C33" t="inlineStr">
        <is>
          <t>22631 DULLES SUMMIT CT</t>
        </is>
      </c>
      <c r="D33" t="inlineStr">
        <is>
          <t>045358110000</t>
        </is>
      </c>
      <c r="E33" t="inlineStr">
        <is>
          <t>Existing / operating (inferred)</t>
        </is>
      </c>
      <c r="F33" t="inlineStr">
        <is>
          <t>County lists as 'Existing or Permitted'; year built 2012, building permit 2011-08-23</t>
        </is>
      </c>
      <c r="G33" t="inlineStr">
        <is>
          <t>Existing or Permitted</t>
        </is>
      </c>
      <c r="H33" t="n">
        <v>2012</v>
      </c>
      <c r="I33" t="inlineStr">
        <is>
          <t>2011-08-23</t>
        </is>
      </c>
      <c r="K33" t="n">
        <v>38.991666</v>
      </c>
      <c r="L33" t="n">
        <v>-77.448486</v>
      </c>
      <c r="M33" t="inlineStr">
        <is>
          <t>https://logis.loudoun.gov/gis/rest/services/Projects/BuildOut_LandUse/MapServer/0/66040?f=html</t>
        </is>
      </c>
    </row>
    <row r="34">
      <c r="A34" t="n">
        <v>280</v>
      </c>
      <c r="B34" t="n">
        <v>33</v>
      </c>
      <c r="C34" t="inlineStr">
        <is>
          <t>22630 DULLES SUMMIT CT</t>
        </is>
      </c>
      <c r="D34" t="inlineStr">
        <is>
          <t>045159083000</t>
        </is>
      </c>
      <c r="E34" t="inlineStr">
        <is>
          <t>Existing / operating (inferred)</t>
        </is>
      </c>
      <c r="F34" t="inlineStr">
        <is>
          <t>County lists as 'Existing or Permitted'; year built 2015, building permit 2014-10-07</t>
        </is>
      </c>
      <c r="G34" t="inlineStr">
        <is>
          <t>Existing or Permitted</t>
        </is>
      </c>
      <c r="H34" t="n">
        <v>2015</v>
      </c>
      <c r="I34" t="inlineStr">
        <is>
          <t>2014-10-07</t>
        </is>
      </c>
      <c r="K34" t="n">
        <v>38.9887</v>
      </c>
      <c r="L34" t="n">
        <v>-77.447666</v>
      </c>
      <c r="M34" t="inlineStr">
        <is>
          <t>https://logis.loudoun.gov/gis/rest/services/Projects/BuildOut_LandUse/MapServer/0/66047?f=html</t>
        </is>
      </c>
    </row>
    <row r="35">
      <c r="A35" t="n">
        <v>281</v>
      </c>
      <c r="B35" t="n">
        <v>34</v>
      </c>
      <c r="C35" t="inlineStr">
        <is>
          <t>45900 PATHFINDER PLZ</t>
        </is>
      </c>
      <c r="D35" t="inlineStr">
        <is>
          <t>033201325000</t>
        </is>
      </c>
      <c r="E35" t="inlineStr">
        <is>
          <t>Existing / operating (inferred)</t>
        </is>
      </c>
      <c r="F35" t="inlineStr">
        <is>
          <t>County lists as 'Existing or Permitted'; year built 2017, building permit 2017-01-13</t>
        </is>
      </c>
      <c r="G35" t="inlineStr">
        <is>
          <t>Existing or Permitted</t>
        </is>
      </c>
      <c r="H35" t="n">
        <v>2017</v>
      </c>
      <c r="I35" t="inlineStr">
        <is>
          <t>2017-01-13</t>
        </is>
      </c>
      <c r="K35" t="n">
        <v>38.988516</v>
      </c>
      <c r="L35" t="n">
        <v>-77.411727</v>
      </c>
      <c r="M35" t="inlineStr">
        <is>
          <t>https://logis.loudoun.gov/gis/rest/services/Projects/BuildOut_LandUse/MapServer/0/66546?f=html</t>
        </is>
      </c>
    </row>
    <row r="36">
      <c r="A36" t="n">
        <v>282</v>
      </c>
      <c r="B36" t="n">
        <v>35</v>
      </c>
      <c r="C36" t="inlineStr">
        <is>
          <t>22995 WILDER CT</t>
        </is>
      </c>
      <c r="D36" t="inlineStr">
        <is>
          <t>046368231000</t>
        </is>
      </c>
      <c r="E36" t="inlineStr">
        <is>
          <t>Existing / operating (inferred)</t>
        </is>
      </c>
      <c r="F36" t="inlineStr">
        <is>
          <t>County lists as 'Existing or Permitted'; year built 2006, building permit 1999-12-30</t>
        </is>
      </c>
      <c r="G36" t="inlineStr">
        <is>
          <t>Existing or Permitted</t>
        </is>
      </c>
      <c r="H36" t="n">
        <v>2006</v>
      </c>
      <c r="I36" t="inlineStr">
        <is>
          <t>1999-12-30</t>
        </is>
      </c>
      <c r="K36" t="n">
        <v>38.980591</v>
      </c>
      <c r="L36" t="n">
        <v>-77.443758</v>
      </c>
      <c r="M36" t="inlineStr">
        <is>
          <t>https://logis.loudoun.gov/gis/rest/services/Projects/BuildOut_LandUse/MapServer/0/69223?f=html</t>
        </is>
      </c>
    </row>
    <row r="37">
      <c r="A37" t="n">
        <v>283</v>
      </c>
      <c r="B37" t="n">
        <v>36</v>
      </c>
      <c r="C37" t="inlineStr">
        <is>
          <t>22811 INTERNATIONAL DR</t>
        </is>
      </c>
      <c r="D37" t="inlineStr">
        <is>
          <t>034462865000</t>
        </is>
      </c>
      <c r="E37" t="inlineStr">
        <is>
          <t>Existing / operating (inferred)</t>
        </is>
      </c>
      <c r="F37" t="inlineStr">
        <is>
          <t>County lists as 'Existing or Permitted'; year built 1985</t>
        </is>
      </c>
      <c r="G37" t="inlineStr">
        <is>
          <t>Existing or Permitted</t>
        </is>
      </c>
      <c r="H37" t="n">
        <v>1985</v>
      </c>
      <c r="K37" t="n">
        <v>38.984966</v>
      </c>
      <c r="L37" t="n">
        <v>-77.42566100000001</v>
      </c>
      <c r="M37" t="inlineStr">
        <is>
          <t>https://logis.loudoun.gov/gis/rest/services/Projects/BuildOut_LandUse/MapServer/0/69265?f=html</t>
        </is>
      </c>
    </row>
    <row r="38">
      <c r="A38" t="n">
        <v>284</v>
      </c>
      <c r="B38" t="n">
        <v>37</v>
      </c>
      <c r="C38" t="inlineStr">
        <is>
          <t>22810 INTERNATIONAL DR</t>
        </is>
      </c>
      <c r="D38" t="inlineStr">
        <is>
          <t>034468458000</t>
        </is>
      </c>
      <c r="E38" t="inlineStr">
        <is>
          <t>Existing / operating (inferred)</t>
        </is>
      </c>
      <c r="F38" t="inlineStr">
        <is>
          <t>County lists as 'Existing or Permitted'; year built 1999, building permit 1999-02-05</t>
        </is>
      </c>
      <c r="G38" t="inlineStr">
        <is>
          <t>Existing or Permitted</t>
        </is>
      </c>
      <c r="H38" t="n">
        <v>1999</v>
      </c>
      <c r="I38" t="inlineStr">
        <is>
          <t>1999-02-05</t>
        </is>
      </c>
      <c r="K38" t="n">
        <v>38.984423</v>
      </c>
      <c r="L38" t="n">
        <v>-77.42381399999999</v>
      </c>
      <c r="M38" t="inlineStr">
        <is>
          <t>https://logis.loudoun.gov/gis/rest/services/Projects/BuildOut_LandUse/MapServer/0/69271?f=html</t>
        </is>
      </c>
    </row>
    <row r="39">
      <c r="A39" t="n">
        <v>285</v>
      </c>
      <c r="B39" t="n">
        <v>38</v>
      </c>
      <c r="C39" t="inlineStr">
        <is>
          <t>22860 INTERNATIONAL DR</t>
        </is>
      </c>
      <c r="D39" t="inlineStr">
        <is>
          <t>034468458000</t>
        </is>
      </c>
      <c r="E39" t="inlineStr">
        <is>
          <t>Existing / operating (inferred)</t>
        </is>
      </c>
      <c r="F39" t="inlineStr">
        <is>
          <t>County lists as 'Existing or Permitted'; year built 2000, building permit 1999-08-03</t>
        </is>
      </c>
      <c r="G39" t="inlineStr">
        <is>
          <t>Existing or Permitted</t>
        </is>
      </c>
      <c r="H39" t="n">
        <v>2000</v>
      </c>
      <c r="I39" t="inlineStr">
        <is>
          <t>1999-08-03</t>
        </is>
      </c>
      <c r="K39" t="n">
        <v>38.983645</v>
      </c>
      <c r="L39" t="n">
        <v>-77.424088</v>
      </c>
      <c r="M39" t="inlineStr">
        <is>
          <t>https://logis.loudoun.gov/gis/rest/services/Projects/BuildOut_LandUse/MapServer/0/69274?f=html</t>
        </is>
      </c>
    </row>
    <row r="40">
      <c r="A40" t="n">
        <v>286</v>
      </c>
      <c r="B40" t="n">
        <v>39</v>
      </c>
      <c r="C40" t="inlineStr">
        <is>
          <t>22916 INTERNATIONAL DR</t>
        </is>
      </c>
      <c r="D40" t="inlineStr">
        <is>
          <t>034365461000</t>
        </is>
      </c>
      <c r="E40" t="inlineStr">
        <is>
          <t>Existing / operating (inferred)</t>
        </is>
      </c>
      <c r="F40" t="inlineStr">
        <is>
          <t>County lists as 'Existing or Permitted'; year built 2019, building permit 2018-10-04</t>
        </is>
      </c>
      <c r="G40" t="inlineStr">
        <is>
          <t>Existing or Permitted</t>
        </is>
      </c>
      <c r="H40" t="n">
        <v>2019</v>
      </c>
      <c r="I40" t="inlineStr">
        <is>
          <t>2018-10-04</t>
        </is>
      </c>
      <c r="K40" t="n">
        <v>38.982549</v>
      </c>
      <c r="L40" t="n">
        <v>-77.424623</v>
      </c>
      <c r="M40" t="inlineStr">
        <is>
          <t>https://logis.loudoun.gov/gis/rest/services/Projects/BuildOut_LandUse/MapServer/0/69294?f=html</t>
        </is>
      </c>
    </row>
    <row r="41">
      <c r="A41" t="n">
        <v>287</v>
      </c>
      <c r="B41" t="n">
        <v>40</v>
      </c>
      <c r="C41" t="inlineStr">
        <is>
          <t>44480 HASTINGS DR</t>
        </is>
      </c>
      <c r="D41" t="inlineStr">
        <is>
          <t>060178810000</t>
        </is>
      </c>
      <c r="E41" t="inlineStr">
        <is>
          <t>Existing / operating (inferred)</t>
        </is>
      </c>
      <c r="F41" t="inlineStr">
        <is>
          <t>County lists as 'Existing or Permitted'; year built 2007, building permit 2006-08-30</t>
        </is>
      </c>
      <c r="G41" t="inlineStr">
        <is>
          <t>Existing or Permitted</t>
        </is>
      </c>
      <c r="H41" t="n">
        <v>2007</v>
      </c>
      <c r="I41" t="inlineStr">
        <is>
          <t>2006-08-30</t>
        </is>
      </c>
      <c r="K41" t="n">
        <v>39.017994</v>
      </c>
      <c r="L41" t="n">
        <v>-77.462594</v>
      </c>
      <c r="M41" t="inlineStr">
        <is>
          <t>https://logis.loudoun.gov/gis/rest/services/Projects/BuildOut_LandUse/MapServer/0/93216?f=html</t>
        </is>
      </c>
    </row>
    <row r="42">
      <c r="A42" t="n">
        <v>288</v>
      </c>
      <c r="B42" t="n">
        <v>41</v>
      </c>
      <c r="C42" t="inlineStr">
        <is>
          <t>22651 DULLES SUMMIT CT</t>
        </is>
      </c>
      <c r="D42" t="inlineStr">
        <is>
          <t>045254455000</t>
        </is>
      </c>
      <c r="E42" t="inlineStr">
        <is>
          <t>Existing / operating (inferred)</t>
        </is>
      </c>
      <c r="F42" t="inlineStr">
        <is>
          <t>County lists as 'Existing or Permitted'; year built 2012, building permit 2011-08-23</t>
        </is>
      </c>
      <c r="G42" t="inlineStr">
        <is>
          <t>Existing or Permitted</t>
        </is>
      </c>
      <c r="H42" t="n">
        <v>2012</v>
      </c>
      <c r="I42" t="inlineStr">
        <is>
          <t>2011-08-23</t>
        </is>
      </c>
      <c r="K42" t="n">
        <v>38.990671</v>
      </c>
      <c r="L42" t="n">
        <v>-77.448824</v>
      </c>
      <c r="M42" t="inlineStr">
        <is>
          <t>https://logis.loudoun.gov/gis/rest/services/Projects/BuildOut_LandUse/MapServer/0/97918?f=html</t>
        </is>
      </c>
    </row>
    <row r="43">
      <c r="A43" t="n">
        <v>289</v>
      </c>
      <c r="B43" t="n">
        <v>42</v>
      </c>
      <c r="C43" t="inlineStr">
        <is>
          <t>44461 CHILUM PL</t>
        </is>
      </c>
      <c r="D43" t="inlineStr">
        <is>
          <t>060170268000</t>
        </is>
      </c>
      <c r="E43" t="inlineStr">
        <is>
          <t>Existing / operating (inferred)</t>
        </is>
      </c>
      <c r="F43" t="inlineStr">
        <is>
          <t>County lists as 'Existing or Permitted'; year built 2011, building permit 2010-08-20</t>
        </is>
      </c>
      <c r="G43" t="inlineStr">
        <is>
          <t>Existing or Permitted</t>
        </is>
      </c>
      <c r="H43" t="n">
        <v>2011</v>
      </c>
      <c r="I43" t="inlineStr">
        <is>
          <t>2010-08-20</t>
        </is>
      </c>
      <c r="K43" t="n">
        <v>39.021134</v>
      </c>
      <c r="L43" t="n">
        <v>-77.46352</v>
      </c>
      <c r="M43" t="inlineStr">
        <is>
          <t>https://logis.loudoun.gov/gis/rest/services/Projects/BuildOut_LandUse/MapServer/0/98585?f=html</t>
        </is>
      </c>
    </row>
    <row r="44">
      <c r="A44" t="n">
        <v>290</v>
      </c>
      <c r="B44" t="n">
        <v>43</v>
      </c>
      <c r="C44" t="inlineStr">
        <is>
          <t>44521 HASTINGS DR</t>
        </is>
      </c>
      <c r="D44" t="inlineStr">
        <is>
          <t>060170268000</t>
        </is>
      </c>
      <c r="E44" t="inlineStr">
        <is>
          <t>Existing / operating (inferred)</t>
        </is>
      </c>
      <c r="F44" t="inlineStr">
        <is>
          <t>County lists as 'Existing or Permitted'; year built 2009, building permit 2008-03-13</t>
        </is>
      </c>
      <c r="G44" t="inlineStr">
        <is>
          <t>Existing or Permitted</t>
        </is>
      </c>
      <c r="H44" t="n">
        <v>2009</v>
      </c>
      <c r="I44" t="inlineStr">
        <is>
          <t>2008-03-13</t>
        </is>
      </c>
      <c r="K44" t="n">
        <v>39.020132</v>
      </c>
      <c r="L44" t="n">
        <v>-77.463019</v>
      </c>
      <c r="M44" t="inlineStr">
        <is>
          <t>https://logis.loudoun.gov/gis/rest/services/Projects/BuildOut_LandUse/MapServer/0/98586?f=html</t>
        </is>
      </c>
    </row>
    <row r="45">
      <c r="A45" t="n">
        <v>291</v>
      </c>
      <c r="B45" t="n">
        <v>44</v>
      </c>
      <c r="C45" t="inlineStr">
        <is>
          <t>21551 BEAUMEADE CIR</t>
        </is>
      </c>
      <c r="D45" t="inlineStr">
        <is>
          <t>060108050000</t>
        </is>
      </c>
      <c r="E45" t="inlineStr">
        <is>
          <t>Existing / operating (inferred)</t>
        </is>
      </c>
      <c r="F45" t="inlineStr">
        <is>
          <t>County lists as 'Existing or Permitted'; year built 2011, building permit 2011-06-29</t>
        </is>
      </c>
      <c r="G45" t="inlineStr">
        <is>
          <t>Existing or Permitted</t>
        </is>
      </c>
      <c r="H45" t="n">
        <v>2011</v>
      </c>
      <c r="I45" t="inlineStr">
        <is>
          <t>2011-06-29</t>
        </is>
      </c>
      <c r="K45" t="n">
        <v>39.021273</v>
      </c>
      <c r="L45" t="n">
        <v>-77.451634</v>
      </c>
      <c r="M45" t="inlineStr">
        <is>
          <t>https://logis.loudoun.gov/gis/rest/services/Projects/BuildOut_LandUse/MapServer/0/99190?f=html</t>
        </is>
      </c>
    </row>
    <row r="46">
      <c r="A46" t="n">
        <v>292</v>
      </c>
      <c r="B46" t="n">
        <v>45</v>
      </c>
      <c r="C46" t="inlineStr">
        <is>
          <t>43790 DEVIN SHAFRON DR</t>
        </is>
      </c>
      <c r="D46" t="inlineStr">
        <is>
          <t>089374763000</t>
        </is>
      </c>
      <c r="E46" t="inlineStr">
        <is>
          <t>Existing / operating (inferred)</t>
        </is>
      </c>
      <c r="F46" t="inlineStr">
        <is>
          <t>County lists as 'Existing or Permitted'; year built 2011</t>
        </is>
      </c>
      <c r="G46" t="inlineStr">
        <is>
          <t>Existing or Permitted</t>
        </is>
      </c>
      <c r="H46" t="n">
        <v>2011</v>
      </c>
      <c r="K46" t="n">
        <v>39.005017</v>
      </c>
      <c r="L46" t="n">
        <v>-77.485495</v>
      </c>
      <c r="M46" t="inlineStr">
        <is>
          <t>https://logis.loudoun.gov/gis/rest/services/Projects/BuildOut_LandUse/MapServer/0/99801?f=html</t>
        </is>
      </c>
    </row>
    <row r="47">
      <c r="A47" t="n">
        <v>293</v>
      </c>
      <c r="B47" t="n">
        <v>46</v>
      </c>
      <c r="C47" t="inlineStr">
        <is>
          <t>43830 DEVIN SHAFRON DR</t>
        </is>
      </c>
      <c r="D47" t="inlineStr">
        <is>
          <t>089374763000</t>
        </is>
      </c>
      <c r="E47" t="inlineStr">
        <is>
          <t>Existing / operating (inferred)</t>
        </is>
      </c>
      <c r="F47" t="inlineStr">
        <is>
          <t>County lists as 'Existing or Permitted'; year built 2011, building permit 2010-07-23</t>
        </is>
      </c>
      <c r="G47" t="inlineStr">
        <is>
          <t>Existing or Permitted</t>
        </is>
      </c>
      <c r="H47" t="n">
        <v>2011</v>
      </c>
      <c r="I47" t="inlineStr">
        <is>
          <t>2010-07-23</t>
        </is>
      </c>
      <c r="K47" t="n">
        <v>39.004273</v>
      </c>
      <c r="L47" t="n">
        <v>-77.484219</v>
      </c>
      <c r="M47" t="inlineStr">
        <is>
          <t>https://logis.loudoun.gov/gis/rest/services/Projects/BuildOut_LandUse/MapServer/0/99802?f=html</t>
        </is>
      </c>
    </row>
    <row r="48">
      <c r="A48" t="n">
        <v>294</v>
      </c>
      <c r="B48" t="n">
        <v>47</v>
      </c>
      <c r="C48" t="inlineStr">
        <is>
          <t>43915 DEVIN SHAFRON DR</t>
        </is>
      </c>
      <c r="D48" t="inlineStr">
        <is>
          <t>089382215000</t>
        </is>
      </c>
      <c r="E48" t="inlineStr">
        <is>
          <t>Existing / operating (inferred)</t>
        </is>
      </c>
      <c r="F48" t="inlineStr">
        <is>
          <t>County lists as 'Existing or Permitted'; year built 2010, building permit 2009-07-10</t>
        </is>
      </c>
      <c r="G48" t="inlineStr">
        <is>
          <t>Existing or Permitted</t>
        </is>
      </c>
      <c r="H48" t="n">
        <v>2010</v>
      </c>
      <c r="I48" t="inlineStr">
        <is>
          <t>2009-07-10</t>
        </is>
      </c>
      <c r="K48" t="n">
        <v>39.002612</v>
      </c>
      <c r="L48" t="n">
        <v>-77.481961</v>
      </c>
      <c r="M48" t="inlineStr">
        <is>
          <t>https://logis.loudoun.gov/gis/rest/services/Projects/BuildOut_LandUse/MapServer/0/99803?f=html</t>
        </is>
      </c>
    </row>
    <row r="49">
      <c r="A49" t="n">
        <v>295</v>
      </c>
      <c r="B49" t="n">
        <v>48</v>
      </c>
      <c r="C49" t="inlineStr">
        <is>
          <t>21561 BEAUMEADE CIR</t>
        </is>
      </c>
      <c r="D49" t="inlineStr">
        <is>
          <t>060202337000</t>
        </is>
      </c>
      <c r="E49" t="inlineStr">
        <is>
          <t>Existing / operating (inferred)</t>
        </is>
      </c>
      <c r="F49" t="inlineStr">
        <is>
          <t>County lists as 'Existing or Permitted'; year built 2000, building permit 1999-11-24</t>
        </is>
      </c>
      <c r="G49" t="inlineStr">
        <is>
          <t>Existing or Permitted</t>
        </is>
      </c>
      <c r="H49" t="n">
        <v>2000</v>
      </c>
      <c r="I49" t="inlineStr">
        <is>
          <t>1999-11-24</t>
        </is>
      </c>
      <c r="K49" t="n">
        <v>39.021742</v>
      </c>
      <c r="L49" t="n">
        <v>-77.452735</v>
      </c>
      <c r="M49" t="inlineStr">
        <is>
          <t>https://logis.loudoun.gov/gis/rest/services/Projects/BuildOut_LandUse/MapServer/0/104712?f=html</t>
        </is>
      </c>
    </row>
    <row r="50">
      <c r="A50" t="n">
        <v>296</v>
      </c>
      <c r="B50" t="n">
        <v>49</v>
      </c>
      <c r="C50" t="inlineStr">
        <is>
          <t>21625 GRESHAM DR</t>
        </is>
      </c>
      <c r="D50" t="inlineStr">
        <is>
          <t>061467942000</t>
        </is>
      </c>
      <c r="E50" t="inlineStr">
        <is>
          <t>Existing / operating (inferred)</t>
        </is>
      </c>
      <c r="F50" t="inlineStr">
        <is>
          <t>County lists as 'Existing or Permitted'; year built 2014, building permit 2013-06-07</t>
        </is>
      </c>
      <c r="G50" t="inlineStr">
        <is>
          <t>Existing or Permitted</t>
        </is>
      </c>
      <c r="H50" t="n">
        <v>2014</v>
      </c>
      <c r="I50" t="inlineStr">
        <is>
          <t>2013-06-07</t>
        </is>
      </c>
      <c r="K50" t="n">
        <v>39.017509</v>
      </c>
      <c r="L50" t="n">
        <v>-77.46564100000001</v>
      </c>
      <c r="M50" t="inlineStr">
        <is>
          <t>https://logis.loudoun.gov/gis/rest/services/Projects/BuildOut_LandUse/MapServer/0/104796?f=html</t>
        </is>
      </c>
    </row>
    <row r="51">
      <c r="A51" t="n">
        <v>297</v>
      </c>
      <c r="B51" t="n">
        <v>50</v>
      </c>
      <c r="C51" t="inlineStr">
        <is>
          <t>21735 RED RUM DR</t>
        </is>
      </c>
      <c r="D51" t="inlineStr">
        <is>
          <t>088392214000</t>
        </is>
      </c>
      <c r="E51" t="inlineStr">
        <is>
          <t>Under construction / permitted, not complete (inferred)</t>
        </is>
      </c>
      <c r="F51" t="inlineStr">
        <is>
          <t>County lists as 'Existing or Permitted'; year built is placeholder 1000 and building permit issued 2024-06-07 (no completion recorded as of 2025-07-01)</t>
        </is>
      </c>
      <c r="G51" t="inlineStr">
        <is>
          <t>Existing or Permitted</t>
        </is>
      </c>
      <c r="I51" t="inlineStr">
        <is>
          <t>2024-06-07</t>
        </is>
      </c>
      <c r="K51" t="n">
        <v>39.013884</v>
      </c>
      <c r="L51" t="n">
        <v>-77.477026</v>
      </c>
      <c r="M51" t="inlineStr">
        <is>
          <t>https://logis.loudoun.gov/gis/rest/services/Projects/BuildOut_LandUse/MapServer/0/105098?f=html</t>
        </is>
      </c>
    </row>
    <row r="52">
      <c r="A52" t="n">
        <v>298</v>
      </c>
      <c r="B52" t="n">
        <v>51</v>
      </c>
      <c r="C52" t="inlineStr">
        <is>
          <t>21741 RED RUM DR</t>
        </is>
      </c>
      <c r="D52" t="inlineStr">
        <is>
          <t>088389930000</t>
        </is>
      </c>
      <c r="E52" t="inlineStr">
        <is>
          <t>Existing / operating (inferred)</t>
        </is>
      </c>
      <c r="F52" t="inlineStr">
        <is>
          <t>County lists as 'Existing or Permitted'; year built 2017, building permit 2012-06-27</t>
        </is>
      </c>
      <c r="G52" t="inlineStr">
        <is>
          <t>Existing or Permitted</t>
        </is>
      </c>
      <c r="H52" t="n">
        <v>2017</v>
      </c>
      <c r="I52" t="inlineStr">
        <is>
          <t>2012-06-27</t>
        </is>
      </c>
      <c r="K52" t="n">
        <v>39.015355</v>
      </c>
      <c r="L52" t="n">
        <v>-77.478284</v>
      </c>
      <c r="M52" t="inlineStr">
        <is>
          <t>https://logis.loudoun.gov/gis/rest/services/Projects/BuildOut_LandUse/MapServer/0/105099?f=html</t>
        </is>
      </c>
    </row>
    <row r="53">
      <c r="A53" t="n">
        <v>299</v>
      </c>
      <c r="B53" t="n">
        <v>52</v>
      </c>
      <c r="C53" t="inlineStr">
        <is>
          <t>21745 RED RUM DR</t>
        </is>
      </c>
      <c r="D53" t="inlineStr">
        <is>
          <t>088389930000</t>
        </is>
      </c>
      <c r="E53" t="inlineStr">
        <is>
          <t>Existing / operating (inferred)</t>
        </is>
      </c>
      <c r="F53" t="inlineStr">
        <is>
          <t>County lists as 'Existing or Permitted'; year built 2019, building permit 2018-05-07</t>
        </is>
      </c>
      <c r="G53" t="inlineStr">
        <is>
          <t>Existing or Permitted</t>
        </is>
      </c>
      <c r="H53" t="n">
        <v>2019</v>
      </c>
      <c r="I53" t="inlineStr">
        <is>
          <t>2018-05-07</t>
        </is>
      </c>
      <c r="K53" t="n">
        <v>39.014614</v>
      </c>
      <c r="L53" t="n">
        <v>-77.47988599999999</v>
      </c>
      <c r="M53" t="inlineStr">
        <is>
          <t>https://logis.loudoun.gov/gis/rest/services/Projects/BuildOut_LandUse/MapServer/0/105100?f=html</t>
        </is>
      </c>
    </row>
    <row r="54">
      <c r="A54" t="n">
        <v>300</v>
      </c>
      <c r="B54" t="n">
        <v>53</v>
      </c>
      <c r="C54" t="inlineStr">
        <is>
          <t>44874 MORAN RD</t>
        </is>
      </c>
      <c r="D54" t="inlineStr">
        <is>
          <t>045458114000</t>
        </is>
      </c>
      <c r="E54" t="inlineStr">
        <is>
          <t>Existing / operating (inferred)</t>
        </is>
      </c>
      <c r="F54" t="inlineStr">
        <is>
          <t>County lists as 'Existing or Permitted'; year built 2013, building permit 2012-03-26</t>
        </is>
      </c>
      <c r="G54" t="inlineStr">
        <is>
          <t>Existing or Permitted</t>
        </is>
      </c>
      <c r="H54" t="n">
        <v>2013</v>
      </c>
      <c r="I54" t="inlineStr">
        <is>
          <t>2012-03-26</t>
        </is>
      </c>
      <c r="K54" t="n">
        <v>38.994212</v>
      </c>
      <c r="L54" t="n">
        <v>-77.448283</v>
      </c>
      <c r="M54" t="inlineStr">
        <is>
          <t>https://logis.loudoun.gov/gis/rest/services/Projects/BuildOut_LandUse/MapServer/0/105934?f=html</t>
        </is>
      </c>
    </row>
    <row r="55">
      <c r="A55" t="n">
        <v>301</v>
      </c>
      <c r="B55" t="n">
        <v>54</v>
      </c>
      <c r="C55" t="inlineStr">
        <is>
          <t>43780 DIGITAL LOUDOUN PLZ</t>
        </is>
      </c>
      <c r="D55" t="inlineStr">
        <is>
          <t>089291706000</t>
        </is>
      </c>
      <c r="E55" t="inlineStr">
        <is>
          <t>Existing / operating (inferred)</t>
        </is>
      </c>
      <c r="F55" t="inlineStr">
        <is>
          <t>County lists as 'Existing or Permitted'; year built 2016, building permit 2016-03-16</t>
        </is>
      </c>
      <c r="G55" t="inlineStr">
        <is>
          <t>Existing or Permitted</t>
        </is>
      </c>
      <c r="H55" t="n">
        <v>2016</v>
      </c>
      <c r="I55" t="inlineStr">
        <is>
          <t>2016-03-16</t>
        </is>
      </c>
      <c r="K55" t="n">
        <v>39.001503</v>
      </c>
      <c r="L55" t="n">
        <v>-77.479308</v>
      </c>
      <c r="M55" t="inlineStr">
        <is>
          <t>https://logis.loudoun.gov/gis/rest/services/Projects/BuildOut_LandUse/MapServer/0/106867?f=html</t>
        </is>
      </c>
    </row>
    <row r="56">
      <c r="A56" t="n">
        <v>302</v>
      </c>
      <c r="B56" t="n">
        <v>55</v>
      </c>
      <c r="C56" t="inlineStr">
        <is>
          <t>43940 DIGITAL LOUDOUN PLZ</t>
        </is>
      </c>
      <c r="D56" t="inlineStr">
        <is>
          <t>089291706000</t>
        </is>
      </c>
      <c r="E56" t="inlineStr">
        <is>
          <t>Existing / operating (inferred)</t>
        </is>
      </c>
      <c r="F56" t="inlineStr">
        <is>
          <t>County lists as 'Existing or Permitted'; year built 2014, building permit 2013-03-21</t>
        </is>
      </c>
      <c r="G56" t="inlineStr">
        <is>
          <t>Existing or Permitted</t>
        </is>
      </c>
      <c r="H56" t="n">
        <v>2014</v>
      </c>
      <c r="I56" t="inlineStr">
        <is>
          <t>2013-03-21</t>
        </is>
      </c>
      <c r="K56" t="n">
        <v>39.000484</v>
      </c>
      <c r="L56" t="n">
        <v>-77.48052</v>
      </c>
      <c r="M56" t="inlineStr">
        <is>
          <t>https://logis.loudoun.gov/gis/rest/services/Projects/BuildOut_LandUse/MapServer/0/106868?f=html</t>
        </is>
      </c>
    </row>
    <row r="57">
      <c r="A57" t="n">
        <v>303</v>
      </c>
      <c r="B57" t="n">
        <v>56</v>
      </c>
      <c r="C57" t="inlineStr">
        <is>
          <t>44060 DIGITAL LOUDOUN PLZ</t>
        </is>
      </c>
      <c r="D57" t="inlineStr">
        <is>
          <t>089291706000</t>
        </is>
      </c>
      <c r="E57" t="inlineStr">
        <is>
          <t>Existing / operating (inferred)</t>
        </is>
      </c>
      <c r="F57" t="inlineStr">
        <is>
          <t>County lists as 'Existing or Permitted'; year built 2014, building permit 2013-10-22</t>
        </is>
      </c>
      <c r="G57" t="inlineStr">
        <is>
          <t>Existing or Permitted</t>
        </is>
      </c>
      <c r="H57" t="n">
        <v>2014</v>
      </c>
      <c r="I57" t="inlineStr">
        <is>
          <t>2013-10-22</t>
        </is>
      </c>
      <c r="K57" t="n">
        <v>39.00011</v>
      </c>
      <c r="L57" t="n">
        <v>-77.47807</v>
      </c>
      <c r="M57" t="inlineStr">
        <is>
          <t>https://logis.loudoun.gov/gis/rest/services/Projects/BuildOut_LandUse/MapServer/0/106869?f=html</t>
        </is>
      </c>
    </row>
    <row r="58">
      <c r="A58" t="n">
        <v>304</v>
      </c>
      <c r="B58" t="n">
        <v>57</v>
      </c>
      <c r="C58" t="inlineStr">
        <is>
          <t>44100 DIGITAL LOUDOUN PLZ</t>
        </is>
      </c>
      <c r="D58" t="inlineStr">
        <is>
          <t>089291706000</t>
        </is>
      </c>
      <c r="E58" t="inlineStr">
        <is>
          <t>Existing / operating (inferred)</t>
        </is>
      </c>
      <c r="F58" t="inlineStr">
        <is>
          <t>County lists as 'Existing or Permitted'; year built 2015, building permit 2015-04-15</t>
        </is>
      </c>
      <c r="G58" t="inlineStr">
        <is>
          <t>Existing or Permitted</t>
        </is>
      </c>
      <c r="H58" t="n">
        <v>2015</v>
      </c>
      <c r="I58" t="inlineStr">
        <is>
          <t>2015-04-15</t>
        </is>
      </c>
      <c r="K58" t="n">
        <v>39.001133</v>
      </c>
      <c r="L58" t="n">
        <v>-77.477407</v>
      </c>
      <c r="M58" t="inlineStr">
        <is>
          <t>https://logis.loudoun.gov/gis/rest/services/Projects/BuildOut_LandUse/MapServer/0/106870?f=html</t>
        </is>
      </c>
    </row>
    <row r="59">
      <c r="A59" t="n">
        <v>305</v>
      </c>
      <c r="B59" t="n">
        <v>58</v>
      </c>
      <c r="C59" t="inlineStr">
        <is>
          <t>21263 SMITH SWITCH RD</t>
        </is>
      </c>
      <c r="D59" t="inlineStr">
        <is>
          <t>060485060000</t>
        </is>
      </c>
      <c r="E59" t="inlineStr">
        <is>
          <t>Existing / operating (inferred)</t>
        </is>
      </c>
      <c r="F59" t="inlineStr">
        <is>
          <t>County lists as 'Existing or Permitted'; year built 2015, building permit 2014-10-17</t>
        </is>
      </c>
      <c r="G59" t="inlineStr">
        <is>
          <t>Existing or Permitted</t>
        </is>
      </c>
      <c r="H59" t="n">
        <v>2015</v>
      </c>
      <c r="I59" t="inlineStr">
        <is>
          <t>2014-10-17</t>
        </is>
      </c>
      <c r="K59" t="n">
        <v>39.027913</v>
      </c>
      <c r="L59" t="n">
        <v>-77.457504</v>
      </c>
      <c r="M59" t="inlineStr">
        <is>
          <t>https://logis.loudoun.gov/gis/rest/services/Projects/BuildOut_LandUse/MapServer/0/110759?f=html</t>
        </is>
      </c>
    </row>
    <row r="60">
      <c r="A60" t="n">
        <v>306</v>
      </c>
      <c r="B60" t="n">
        <v>59</v>
      </c>
      <c r="C60" t="inlineStr">
        <is>
          <t>21267 SMITH SWITCH RD</t>
        </is>
      </c>
      <c r="D60" t="inlineStr">
        <is>
          <t>060485060000</t>
        </is>
      </c>
      <c r="E60" t="inlineStr">
        <is>
          <t>Existing / operating (inferred)</t>
        </is>
      </c>
      <c r="F60" t="inlineStr">
        <is>
          <t>County lists as 'Existing or Permitted'; year built 2014, building permit 2014-01-08</t>
        </is>
      </c>
      <c r="G60" t="inlineStr">
        <is>
          <t>Existing or Permitted</t>
        </is>
      </c>
      <c r="H60" t="n">
        <v>2014</v>
      </c>
      <c r="I60" t="inlineStr">
        <is>
          <t>2014-01-08</t>
        </is>
      </c>
      <c r="K60" t="n">
        <v>39.028705</v>
      </c>
      <c r="L60" t="n">
        <v>-77.458322</v>
      </c>
      <c r="M60" t="inlineStr">
        <is>
          <t>https://logis.loudoun.gov/gis/rest/services/Projects/BuildOut_LandUse/MapServer/0/110760?f=html</t>
        </is>
      </c>
    </row>
    <row r="61">
      <c r="A61" t="n">
        <v>307</v>
      </c>
      <c r="B61" t="n">
        <v>60</v>
      </c>
      <c r="C61" t="inlineStr">
        <is>
          <t>21271 SMITH SWITCH RD</t>
        </is>
      </c>
      <c r="D61" t="inlineStr">
        <is>
          <t>060485060000</t>
        </is>
      </c>
      <c r="E61" t="inlineStr">
        <is>
          <t>Existing / operating (inferred)</t>
        </is>
      </c>
      <c r="F61" t="inlineStr">
        <is>
          <t>County lists as 'Existing or Permitted'; year built 2014, building permit 2013-05-16</t>
        </is>
      </c>
      <c r="G61" t="inlineStr">
        <is>
          <t>Existing or Permitted</t>
        </is>
      </c>
      <c r="H61" t="n">
        <v>2014</v>
      </c>
      <c r="I61" t="inlineStr">
        <is>
          <t>2013-05-16</t>
        </is>
      </c>
      <c r="K61" t="n">
        <v>39.029551</v>
      </c>
      <c r="L61" t="n">
        <v>-77.459523</v>
      </c>
      <c r="M61" t="inlineStr">
        <is>
          <t>https://logis.loudoun.gov/gis/rest/services/Projects/BuildOut_LandUse/MapServer/0/110761?f=html</t>
        </is>
      </c>
    </row>
    <row r="62">
      <c r="A62" t="n">
        <v>308</v>
      </c>
      <c r="B62" t="n">
        <v>61</v>
      </c>
      <c r="C62" t="inlineStr">
        <is>
          <t>22745 RELOCATION DR</t>
        </is>
      </c>
      <c r="D62" t="inlineStr">
        <is>
          <t>045175529000</t>
        </is>
      </c>
      <c r="E62" t="inlineStr">
        <is>
          <t>Existing / operating (inferred)</t>
        </is>
      </c>
      <c r="F62" t="inlineStr">
        <is>
          <t>County lists as 'Existing or Permitted'; year built 2015, building permit 2014-02-06</t>
        </is>
      </c>
      <c r="G62" t="inlineStr">
        <is>
          <t>Existing or Permitted</t>
        </is>
      </c>
      <c r="H62" t="n">
        <v>2015</v>
      </c>
      <c r="I62" t="inlineStr">
        <is>
          <t>2014-02-06</t>
        </is>
      </c>
      <c r="K62" t="n">
        <v>38.986235</v>
      </c>
      <c r="L62" t="n">
        <v>-77.44187599999999</v>
      </c>
      <c r="M62" t="inlineStr">
        <is>
          <t>https://logis.loudoun.gov/gis/rest/services/Projects/BuildOut_LandUse/MapServer/0/111603?f=html</t>
        </is>
      </c>
    </row>
    <row r="63">
      <c r="A63" t="n">
        <v>309</v>
      </c>
      <c r="B63" t="n">
        <v>62</v>
      </c>
      <c r="C63" t="inlineStr">
        <is>
          <t>22755 RELOCATION DR</t>
        </is>
      </c>
      <c r="D63" t="inlineStr">
        <is>
          <t>045175529000</t>
        </is>
      </c>
      <c r="E63" t="inlineStr">
        <is>
          <t>Existing / operating (inferred)</t>
        </is>
      </c>
      <c r="F63" t="inlineStr">
        <is>
          <t>County lists as 'Existing or Permitted'; year built 2016, building permit 2014-02-06</t>
        </is>
      </c>
      <c r="G63" t="inlineStr">
        <is>
          <t>Existing or Permitted</t>
        </is>
      </c>
      <c r="H63" t="n">
        <v>2016</v>
      </c>
      <c r="I63" t="inlineStr">
        <is>
          <t>2014-02-06</t>
        </is>
      </c>
      <c r="K63" t="n">
        <v>38.98698</v>
      </c>
      <c r="L63" t="n">
        <v>-77.442691</v>
      </c>
      <c r="M63" t="inlineStr">
        <is>
          <t>https://logis.loudoun.gov/gis/rest/services/Projects/BuildOut_LandUse/MapServer/0/111604?f=html</t>
        </is>
      </c>
    </row>
    <row r="64">
      <c r="A64" t="n">
        <v>310</v>
      </c>
      <c r="B64" t="n">
        <v>63</v>
      </c>
      <c r="C64" t="inlineStr">
        <is>
          <t>21111 RIDGETOP CIR</t>
        </is>
      </c>
      <c r="D64" t="inlineStr">
        <is>
          <t>030393965000</t>
        </is>
      </c>
      <c r="E64" t="inlineStr">
        <is>
          <t>Existing / operating (inferred)</t>
        </is>
      </c>
      <c r="F64" t="inlineStr">
        <is>
          <t>County lists as 'Existing or Permitted'; year built 2015, building permit 2014-05-15</t>
        </is>
      </c>
      <c r="G64" t="inlineStr">
        <is>
          <t>Existing or Permitted</t>
        </is>
      </c>
      <c r="H64" t="n">
        <v>2015</v>
      </c>
      <c r="I64" t="inlineStr">
        <is>
          <t>2014-05-15</t>
        </is>
      </c>
      <c r="K64" t="n">
        <v>39.026219</v>
      </c>
      <c r="L64" t="n">
        <v>-77.414466</v>
      </c>
      <c r="M64" t="inlineStr">
        <is>
          <t>https://logis.loudoun.gov/gis/rest/services/Projects/BuildOut_LandUse/MapServer/0/114545?f=html</t>
        </is>
      </c>
    </row>
    <row r="65">
      <c r="A65" t="n">
        <v>311</v>
      </c>
      <c r="B65" t="n">
        <v>64</v>
      </c>
      <c r="C65" t="inlineStr">
        <is>
          <t>25316 PREDICTION LN</t>
        </is>
      </c>
      <c r="D65" t="inlineStr">
        <is>
          <t>097354183000</t>
        </is>
      </c>
      <c r="E65" t="inlineStr">
        <is>
          <t>Existing / operating (inferred)</t>
        </is>
      </c>
      <c r="F65" t="inlineStr">
        <is>
          <t>County lists as 'Existing or Permitted'; year built 2019, building permit 2017-12-08</t>
        </is>
      </c>
      <c r="G65" t="inlineStr">
        <is>
          <t>Existing or Permitted</t>
        </is>
      </c>
      <c r="H65" t="n">
        <v>2019</v>
      </c>
      <c r="I65" t="inlineStr">
        <is>
          <t>2017-12-08</t>
        </is>
      </c>
      <c r="K65" t="n">
        <v>38.916921</v>
      </c>
      <c r="L65" t="n">
        <v>-77.494381</v>
      </c>
      <c r="M65" t="inlineStr">
        <is>
          <t>https://logis.loudoun.gov/gis/rest/services/Projects/BuildOut_LandUse/MapServer/0/117534?f=html</t>
        </is>
      </c>
    </row>
    <row r="66">
      <c r="A66" t="n">
        <v>312</v>
      </c>
      <c r="B66" t="n">
        <v>65</v>
      </c>
      <c r="C66" t="inlineStr">
        <is>
          <t>25311 PREDICTION LN</t>
        </is>
      </c>
      <c r="D66" t="inlineStr">
        <is>
          <t>097354183000</t>
        </is>
      </c>
      <c r="E66" t="inlineStr">
        <is>
          <t>Existing / operating (inferred)</t>
        </is>
      </c>
      <c r="F66" t="inlineStr">
        <is>
          <t>County lists as 'Existing or Permitted'; year built 2021, building permit 2020-09-08</t>
        </is>
      </c>
      <c r="G66" t="inlineStr">
        <is>
          <t>Existing or Permitted</t>
        </is>
      </c>
      <c r="H66" t="n">
        <v>2021</v>
      </c>
      <c r="I66" t="inlineStr">
        <is>
          <t>2020-09-08</t>
        </is>
      </c>
      <c r="K66" t="n">
        <v>38.917115</v>
      </c>
      <c r="L66" t="n">
        <v>-77.49567</v>
      </c>
      <c r="M66" t="inlineStr">
        <is>
          <t>https://logis.loudoun.gov/gis/rest/services/Projects/BuildOut_LandUse/MapServer/0/117535?f=html</t>
        </is>
      </c>
    </row>
    <row r="67">
      <c r="A67" t="n">
        <v>313</v>
      </c>
      <c r="B67" t="n">
        <v>66</v>
      </c>
      <c r="C67" t="inlineStr">
        <is>
          <t>43736 CLUBBER LN</t>
        </is>
      </c>
      <c r="D67" t="inlineStr">
        <is>
          <t>097354183000</t>
        </is>
      </c>
      <c r="E67" t="inlineStr">
        <is>
          <t>Existing / operating (inferred)</t>
        </is>
      </c>
      <c r="F67" t="inlineStr">
        <is>
          <t>County lists as 'Existing or Permitted'; year built 2016, building permit 2015-06-05</t>
        </is>
      </c>
      <c r="G67" t="inlineStr">
        <is>
          <t>Existing or Permitted</t>
        </is>
      </c>
      <c r="H67" t="n">
        <v>2016</v>
      </c>
      <c r="I67" t="inlineStr">
        <is>
          <t>2015-06-05</t>
        </is>
      </c>
      <c r="K67" t="n">
        <v>38.915778</v>
      </c>
      <c r="L67" t="n">
        <v>-77.492028</v>
      </c>
      <c r="M67" t="inlineStr">
        <is>
          <t>https://logis.loudoun.gov/gis/rest/services/Projects/BuildOut_LandUse/MapServer/0/117538?f=html</t>
        </is>
      </c>
    </row>
    <row r="68">
      <c r="A68" t="n">
        <v>314</v>
      </c>
      <c r="B68" t="n">
        <v>67</v>
      </c>
      <c r="C68" t="inlineStr">
        <is>
          <t>43701 CLUBBER LN</t>
        </is>
      </c>
      <c r="D68" t="inlineStr">
        <is>
          <t>097354183000</t>
        </is>
      </c>
      <c r="E68" t="inlineStr">
        <is>
          <t>Existing / operating (inferred)</t>
        </is>
      </c>
      <c r="F68" t="inlineStr">
        <is>
          <t>County lists as 'Existing or Permitted'; year built 2017, building permit 2016-04-05</t>
        </is>
      </c>
      <c r="G68" t="inlineStr">
        <is>
          <t>Existing or Permitted</t>
        </is>
      </c>
      <c r="H68" t="n">
        <v>2017</v>
      </c>
      <c r="I68" t="inlineStr">
        <is>
          <t>2016-04-05</t>
        </is>
      </c>
      <c r="K68" t="n">
        <v>38.916819</v>
      </c>
      <c r="L68" t="n">
        <v>-77.493274</v>
      </c>
      <c r="M68" t="inlineStr">
        <is>
          <t>https://logis.loudoun.gov/gis/rest/services/Projects/BuildOut_LandUse/MapServer/0/117539?f=html</t>
        </is>
      </c>
    </row>
    <row r="69">
      <c r="A69" t="n">
        <v>315</v>
      </c>
      <c r="B69" t="n">
        <v>68</v>
      </c>
      <c r="C69" t="inlineStr">
        <is>
          <t>102 BLUE SEAL DR SE</t>
        </is>
      </c>
      <c r="D69" t="inlineStr">
        <is>
          <t>233108602000</t>
        </is>
      </c>
      <c r="E69" t="inlineStr">
        <is>
          <t>Under construction / permitted, not complete (inferred)</t>
        </is>
      </c>
      <c r="F69" t="inlineStr">
        <is>
          <t>County lists as 'Existing or Permitted'; year built is placeholder 1000 and building permit issued 2023-05-22 (no completion recorded as of 2025-07-01)</t>
        </is>
      </c>
      <c r="G69" t="inlineStr">
        <is>
          <t>Existing or Permitted</t>
        </is>
      </c>
      <c r="I69" t="inlineStr">
        <is>
          <t>2023-05-22</t>
        </is>
      </c>
      <c r="K69" t="n">
        <v>39.085534</v>
      </c>
      <c r="L69" t="n">
        <v>-77.55640699999999</v>
      </c>
      <c r="M69" t="inlineStr">
        <is>
          <t>https://logis.loudoun.gov/gis/rest/services/Projects/BuildOut_LandUse/MapServer/0/117695?f=html</t>
        </is>
      </c>
    </row>
    <row r="70">
      <c r="A70" t="n">
        <v>316</v>
      </c>
      <c r="B70" t="n">
        <v>69</v>
      </c>
      <c r="C70" t="inlineStr">
        <is>
          <t>45111 LOUDOUN DOWNS LN</t>
        </is>
      </c>
      <c r="D70" t="inlineStr">
        <is>
          <t>045282657000</t>
        </is>
      </c>
      <c r="E70" t="inlineStr">
        <is>
          <t>Existing / operating (inferred)</t>
        </is>
      </c>
      <c r="F70" t="inlineStr">
        <is>
          <t>County lists as 'Existing or Permitted'; year built 2020, building permit 2015-11-02</t>
        </is>
      </c>
      <c r="G70" t="inlineStr">
        <is>
          <t>Existing or Permitted</t>
        </is>
      </c>
      <c r="H70" t="n">
        <v>2020</v>
      </c>
      <c r="I70" t="inlineStr">
        <is>
          <t>2015-11-02</t>
        </is>
      </c>
      <c r="K70" t="n">
        <v>38.99089</v>
      </c>
      <c r="L70" t="n">
        <v>-77.44172399999999</v>
      </c>
      <c r="M70" t="inlineStr">
        <is>
          <t>https://logis.loudoun.gov/gis/rest/services/Projects/BuildOut_LandUse/MapServer/0/118621?f=html</t>
        </is>
      </c>
    </row>
    <row r="71">
      <c r="A71" t="n">
        <v>317</v>
      </c>
      <c r="B71" t="n">
        <v>70</v>
      </c>
      <c r="C71" t="inlineStr">
        <is>
          <t>45110 LOUDOUN DOWNS LN</t>
        </is>
      </c>
      <c r="D71" t="inlineStr">
        <is>
          <t>045282657000</t>
        </is>
      </c>
      <c r="E71" t="inlineStr">
        <is>
          <t>Existing / operating (inferred)</t>
        </is>
      </c>
      <c r="F71" t="inlineStr">
        <is>
          <t>County lists as 'Existing or Permitted'; year built 2016, building permit 2015-10-08</t>
        </is>
      </c>
      <c r="G71" t="inlineStr">
        <is>
          <t>Existing or Permitted</t>
        </is>
      </c>
      <c r="H71" t="n">
        <v>2016</v>
      </c>
      <c r="I71" t="inlineStr">
        <is>
          <t>2015-10-08</t>
        </is>
      </c>
      <c r="K71" t="n">
        <v>38.99175</v>
      </c>
      <c r="L71" t="n">
        <v>-77.44101000000001</v>
      </c>
      <c r="M71" t="inlineStr">
        <is>
          <t>https://logis.loudoun.gov/gis/rest/services/Projects/BuildOut_LandUse/MapServer/0/118622?f=html</t>
        </is>
      </c>
    </row>
    <row r="72">
      <c r="A72" t="n">
        <v>318</v>
      </c>
      <c r="B72" t="n">
        <v>71</v>
      </c>
      <c r="C72" t="inlineStr">
        <is>
          <t>42770 MAIN MARCONI LN</t>
        </is>
      </c>
      <c r="D72" t="inlineStr">
        <is>
          <t>162392026000</t>
        </is>
      </c>
      <c r="E72" t="inlineStr">
        <is>
          <t>Existing / operating (inferred)</t>
        </is>
      </c>
      <c r="F72" t="inlineStr">
        <is>
          <t>County lists as 'Existing or Permitted'; year built 2019, building permit 2019-07-29</t>
        </is>
      </c>
      <c r="G72" t="inlineStr">
        <is>
          <t>Existing or Permitted</t>
        </is>
      </c>
      <c r="H72" t="n">
        <v>2019</v>
      </c>
      <c r="I72" t="inlineStr">
        <is>
          <t>2019-07-29</t>
        </is>
      </c>
      <c r="K72" t="n">
        <v>38.946549</v>
      </c>
      <c r="L72" t="n">
        <v>-77.522178</v>
      </c>
      <c r="M72" t="inlineStr">
        <is>
          <t>https://logis.loudoun.gov/gis/rest/services/Projects/BuildOut_LandUse/MapServer/0/118629?f=html</t>
        </is>
      </c>
    </row>
    <row r="73">
      <c r="A73" t="n">
        <v>319</v>
      </c>
      <c r="B73" t="n">
        <v>72</v>
      </c>
      <c r="C73" t="inlineStr">
        <is>
          <t>42949 FADELEY LN</t>
        </is>
      </c>
      <c r="D73" t="inlineStr">
        <is>
          <t>162392026000</t>
        </is>
      </c>
      <c r="E73" t="inlineStr">
        <is>
          <t>Existing / operating (inferred)</t>
        </is>
      </c>
      <c r="F73" t="inlineStr">
        <is>
          <t>County lists as 'Existing or Permitted'; year built 2017, building permit 2015-12-08</t>
        </is>
      </c>
      <c r="G73" t="inlineStr">
        <is>
          <t>Existing or Permitted</t>
        </is>
      </c>
      <c r="H73" t="n">
        <v>2017</v>
      </c>
      <c r="I73" t="inlineStr">
        <is>
          <t>2015-12-08</t>
        </is>
      </c>
      <c r="K73" t="n">
        <v>38.949257</v>
      </c>
      <c r="L73" t="n">
        <v>-77.519807</v>
      </c>
      <c r="M73" t="inlineStr">
        <is>
          <t>https://logis.loudoun.gov/gis/rest/services/Projects/BuildOut_LandUse/MapServer/0/118630?f=html</t>
        </is>
      </c>
    </row>
    <row r="74">
      <c r="A74" t="n">
        <v>320</v>
      </c>
      <c r="B74" t="n">
        <v>73</v>
      </c>
      <c r="C74" t="inlineStr">
        <is>
          <t>42948 FADELEY LN</t>
        </is>
      </c>
      <c r="D74" t="inlineStr">
        <is>
          <t>162392026000</t>
        </is>
      </c>
      <c r="E74" t="inlineStr">
        <is>
          <t>Existing / operating (inferred)</t>
        </is>
      </c>
      <c r="F74" t="inlineStr">
        <is>
          <t>County lists as 'Existing or Permitted'; year built 2018, building permit 2017-06-28</t>
        </is>
      </c>
      <c r="G74" t="inlineStr">
        <is>
          <t>Existing or Permitted</t>
        </is>
      </c>
      <c r="H74" t="n">
        <v>2018</v>
      </c>
      <c r="I74" t="inlineStr">
        <is>
          <t>2017-06-28</t>
        </is>
      </c>
      <c r="K74" t="n">
        <v>38.948857</v>
      </c>
      <c r="L74" t="n">
        <v>-77.52100799999999</v>
      </c>
      <c r="M74" t="inlineStr">
        <is>
          <t>https://logis.loudoun.gov/gis/rest/services/Projects/BuildOut_LandUse/MapServer/0/118631?f=html</t>
        </is>
      </c>
    </row>
    <row r="75">
      <c r="A75" t="n">
        <v>321</v>
      </c>
      <c r="B75" t="n">
        <v>74</v>
      </c>
      <c r="C75" t="inlineStr">
        <is>
          <t>24185 UPPER WOODSIDE LN</t>
        </is>
      </c>
      <c r="D75" t="inlineStr">
        <is>
          <t>162392026000</t>
        </is>
      </c>
      <c r="E75" t="inlineStr">
        <is>
          <t>Existing / operating (inferred)</t>
        </is>
      </c>
      <c r="F75" t="inlineStr">
        <is>
          <t>County lists as 'Existing or Permitted'; year built 2021, building permit 2020-09-28</t>
        </is>
      </c>
      <c r="G75" t="inlineStr">
        <is>
          <t>Existing or Permitted</t>
        </is>
      </c>
      <c r="H75" t="n">
        <v>2021</v>
      </c>
      <c r="I75" t="inlineStr">
        <is>
          <t>2020-09-28</t>
        </is>
      </c>
      <c r="K75" t="n">
        <v>38.947908</v>
      </c>
      <c r="L75" t="n">
        <v>-77.52295700000001</v>
      </c>
      <c r="M75" t="inlineStr">
        <is>
          <t>https://logis.loudoun.gov/gis/rest/services/Projects/BuildOut_LandUse/MapServer/0/118632?f=html</t>
        </is>
      </c>
    </row>
    <row r="76">
      <c r="A76" t="n">
        <v>322</v>
      </c>
      <c r="B76" t="n">
        <v>75</v>
      </c>
      <c r="C76" t="inlineStr">
        <is>
          <t>24178 UPPER WOODSIDE LN</t>
        </is>
      </c>
      <c r="D76" t="inlineStr">
        <is>
          <t>162392026000</t>
        </is>
      </c>
      <c r="E76" t="inlineStr">
        <is>
          <t>Existing / operating (inferred)</t>
        </is>
      </c>
      <c r="F76" t="inlineStr">
        <is>
          <t>County lists as 'Existing or Permitted'; year built 2019, building permit 2018-03-29</t>
        </is>
      </c>
      <c r="G76" t="inlineStr">
        <is>
          <t>Existing or Permitted</t>
        </is>
      </c>
      <c r="H76" t="n">
        <v>2019</v>
      </c>
      <c r="I76" t="inlineStr">
        <is>
          <t>2018-03-29</t>
        </is>
      </c>
      <c r="K76" t="n">
        <v>38.948573</v>
      </c>
      <c r="L76" t="n">
        <v>-77.52185900000001</v>
      </c>
      <c r="M76" t="inlineStr">
        <is>
          <t>https://logis.loudoun.gov/gis/rest/services/Projects/BuildOut_LandUse/MapServer/0/118633?f=html</t>
        </is>
      </c>
    </row>
    <row r="77">
      <c r="A77" t="n">
        <v>323</v>
      </c>
      <c r="B77" t="n">
        <v>76</v>
      </c>
      <c r="C77" t="inlineStr">
        <is>
          <t>44862 INTERCONNECTION PL</t>
        </is>
      </c>
      <c r="D77" t="inlineStr">
        <is>
          <t>060307119000</t>
        </is>
      </c>
      <c r="E77" t="inlineStr">
        <is>
          <t>Existing / operating (inferred)</t>
        </is>
      </c>
      <c r="F77" t="inlineStr">
        <is>
          <t>County lists as 'Existing or Permitted'; year built 2016, building permit 2015-10-15</t>
        </is>
      </c>
      <c r="G77" t="inlineStr">
        <is>
          <t>Existing or Permitted</t>
        </is>
      </c>
      <c r="H77" t="n">
        <v>2016</v>
      </c>
      <c r="I77" t="inlineStr">
        <is>
          <t>2015-10-15</t>
        </is>
      </c>
      <c r="K77" t="n">
        <v>39.026363</v>
      </c>
      <c r="L77" t="n">
        <v>-77.44953</v>
      </c>
      <c r="M77" t="inlineStr">
        <is>
          <t>https://logis.loudoun.gov/gis/rest/services/Projects/BuildOut_LandUse/MapServer/0/118717?f=html</t>
        </is>
      </c>
    </row>
    <row r="78">
      <c r="A78" t="n">
        <v>324</v>
      </c>
      <c r="B78" t="n">
        <v>77</v>
      </c>
      <c r="C78" t="inlineStr">
        <is>
          <t>44858 INTERCONNECTION PL</t>
        </is>
      </c>
      <c r="D78" t="inlineStr">
        <is>
          <t>060307119000</t>
        </is>
      </c>
      <c r="E78" t="inlineStr">
        <is>
          <t>Existing / operating (inferred)</t>
        </is>
      </c>
      <c r="F78" t="inlineStr">
        <is>
          <t>County lists as 'Existing or Permitted'; year built 2016, building permit 2015-12-04</t>
        </is>
      </c>
      <c r="G78" t="inlineStr">
        <is>
          <t>Existing or Permitted</t>
        </is>
      </c>
      <c r="H78" t="n">
        <v>2016</v>
      </c>
      <c r="I78" t="inlineStr">
        <is>
          <t>2015-12-04</t>
        </is>
      </c>
      <c r="K78" t="n">
        <v>39.026356</v>
      </c>
      <c r="L78" t="n">
        <v>-77.450864</v>
      </c>
      <c r="M78" t="inlineStr">
        <is>
          <t>https://logis.loudoun.gov/gis/rest/services/Projects/BuildOut_LandUse/MapServer/0/118718?f=html</t>
        </is>
      </c>
    </row>
    <row r="79">
      <c r="A79" t="n">
        <v>325</v>
      </c>
      <c r="B79" t="n">
        <v>78</v>
      </c>
      <c r="C79" t="inlineStr">
        <is>
          <t>21745 SIR TIMOTHY DR</t>
        </is>
      </c>
      <c r="D79" t="inlineStr">
        <is>
          <t>061361948000</t>
        </is>
      </c>
      <c r="E79" t="inlineStr">
        <is>
          <t>Existing / operating (inferred)</t>
        </is>
      </c>
      <c r="F79" t="inlineStr">
        <is>
          <t>County lists as 'Existing or Permitted'; year built 2017, building permit 2016-06-21</t>
        </is>
      </c>
      <c r="G79" t="inlineStr">
        <is>
          <t>Existing or Permitted</t>
        </is>
      </c>
      <c r="H79" t="n">
        <v>2017</v>
      </c>
      <c r="I79" t="inlineStr">
        <is>
          <t>2016-06-21</t>
        </is>
      </c>
      <c r="K79" t="n">
        <v>39.015356</v>
      </c>
      <c r="L79" t="n">
        <v>-77.46712100000001</v>
      </c>
      <c r="M79" t="inlineStr">
        <is>
          <t>https://logis.loudoun.gov/gis/rest/services/Projects/BuildOut_LandUse/MapServer/0/119506?f=html</t>
        </is>
      </c>
    </row>
    <row r="80">
      <c r="A80" t="n">
        <v>326</v>
      </c>
      <c r="B80" t="n">
        <v>79</v>
      </c>
      <c r="C80" t="inlineStr">
        <is>
          <t>44790 PERFORMANCE CIR</t>
        </is>
      </c>
      <c r="D80" t="inlineStr">
        <is>
          <t>060209652000</t>
        </is>
      </c>
      <c r="E80" t="inlineStr">
        <is>
          <t>Existing / operating (inferred)</t>
        </is>
      </c>
      <c r="F80" t="inlineStr">
        <is>
          <t>County lists as 'Existing or Permitted'; year built 2017, building permit 2017-08-25</t>
        </is>
      </c>
      <c r="G80" t="inlineStr">
        <is>
          <t>Existing or Permitted</t>
        </is>
      </c>
      <c r="H80" t="n">
        <v>2017</v>
      </c>
      <c r="I80" t="inlineStr">
        <is>
          <t>2017-08-25</t>
        </is>
      </c>
      <c r="K80" t="n">
        <v>39.02301</v>
      </c>
      <c r="L80" t="n">
        <v>-77.44977799999999</v>
      </c>
      <c r="M80" t="inlineStr">
        <is>
          <t>https://logis.loudoun.gov/gis/rest/services/Projects/BuildOut_LandUse/MapServer/0/119740?f=html</t>
        </is>
      </c>
    </row>
    <row r="81">
      <c r="A81" t="n">
        <v>327</v>
      </c>
      <c r="B81" t="n">
        <v>80</v>
      </c>
      <c r="C81" t="inlineStr">
        <is>
          <t>44780 PERFORMANCE CIR</t>
        </is>
      </c>
      <c r="D81" t="inlineStr">
        <is>
          <t>060209652000</t>
        </is>
      </c>
      <c r="E81" t="inlineStr">
        <is>
          <t>Existing / operating (inferred)</t>
        </is>
      </c>
      <c r="F81" t="inlineStr">
        <is>
          <t>County lists as 'Existing or Permitted'; year built 2020, building permit 2018-11-05</t>
        </is>
      </c>
      <c r="G81" t="inlineStr">
        <is>
          <t>Existing or Permitted</t>
        </is>
      </c>
      <c r="H81" t="n">
        <v>2020</v>
      </c>
      <c r="I81" t="inlineStr">
        <is>
          <t>2018-11-05</t>
        </is>
      </c>
      <c r="K81" t="n">
        <v>39.022504</v>
      </c>
      <c r="L81" t="n">
        <v>-77.450226</v>
      </c>
      <c r="M81" t="inlineStr">
        <is>
          <t>https://logis.loudoun.gov/gis/rest/services/Projects/BuildOut_LandUse/MapServer/0/119741?f=html</t>
        </is>
      </c>
    </row>
    <row r="82">
      <c r="A82" t="n">
        <v>328</v>
      </c>
      <c r="B82" t="n">
        <v>81</v>
      </c>
      <c r="C82" t="inlineStr">
        <is>
          <t>44854 INTERCONNECTION PL</t>
        </is>
      </c>
      <c r="D82" t="inlineStr">
        <is>
          <t>060307119000</t>
        </is>
      </c>
      <c r="E82" t="inlineStr">
        <is>
          <t>Existing / operating (inferred)</t>
        </is>
      </c>
      <c r="F82" t="inlineStr">
        <is>
          <t>County lists as 'Existing or Permitted'; year built 2016, building permit 2016-04-08</t>
        </is>
      </c>
      <c r="G82" t="inlineStr">
        <is>
          <t>Existing or Permitted</t>
        </is>
      </c>
      <c r="H82" t="n">
        <v>2016</v>
      </c>
      <c r="I82" t="inlineStr">
        <is>
          <t>2016-04-08</t>
        </is>
      </c>
      <c r="K82" t="n">
        <v>39.027107</v>
      </c>
      <c r="L82" t="n">
        <v>-77.452861</v>
      </c>
      <c r="M82" t="inlineStr">
        <is>
          <t>https://logis.loudoun.gov/gis/rest/services/Projects/BuildOut_LandUse/MapServer/0/119839?f=html</t>
        </is>
      </c>
    </row>
    <row r="83">
      <c r="A83" t="n">
        <v>329</v>
      </c>
      <c r="B83" t="n">
        <v>82</v>
      </c>
      <c r="C83" t="inlineStr">
        <is>
          <t>44372 ROUND TABLE PLZ</t>
        </is>
      </c>
      <c r="D83" t="inlineStr">
        <is>
          <t>062462761000</t>
        </is>
      </c>
      <c r="E83" t="inlineStr">
        <is>
          <t>Existing / operating (inferred)</t>
        </is>
      </c>
      <c r="F83" t="inlineStr">
        <is>
          <t>County lists as 'Existing or Permitted'; year built 2018, building permit 2018-03-29</t>
        </is>
      </c>
      <c r="G83" t="inlineStr">
        <is>
          <t>Existing or Permitted</t>
        </is>
      </c>
      <c r="H83" t="n">
        <v>2018</v>
      </c>
      <c r="I83" t="inlineStr">
        <is>
          <t>2018-03-29</t>
        </is>
      </c>
      <c r="K83" t="n">
        <v>39.006249</v>
      </c>
      <c r="L83" t="n">
        <v>-77.468109</v>
      </c>
      <c r="M83" t="inlineStr">
        <is>
          <t>https://logis.loudoun.gov/gis/rest/services/Projects/BuildOut_LandUse/MapServer/0/120044?f=html</t>
        </is>
      </c>
    </row>
    <row r="84">
      <c r="A84" t="n">
        <v>330</v>
      </c>
      <c r="B84" t="n">
        <v>83</v>
      </c>
      <c r="C84" t="inlineStr">
        <is>
          <t>44274 ROUND TABLE PLZ</t>
        </is>
      </c>
      <c r="D84" t="inlineStr">
        <is>
          <t>062462761000</t>
        </is>
      </c>
      <c r="E84" t="inlineStr">
        <is>
          <t>Existing / operating (inferred)</t>
        </is>
      </c>
      <c r="F84" t="inlineStr">
        <is>
          <t>County lists as 'Existing or Permitted'; year built 2017, building permit 2016-11-17</t>
        </is>
      </c>
      <c r="G84" t="inlineStr">
        <is>
          <t>Existing or Permitted</t>
        </is>
      </c>
      <c r="H84" t="n">
        <v>2017</v>
      </c>
      <c r="I84" t="inlineStr">
        <is>
          <t>2016-11-17</t>
        </is>
      </c>
      <c r="K84" t="n">
        <v>39.007812</v>
      </c>
      <c r="L84" t="n">
        <v>-77.467646</v>
      </c>
      <c r="M84" t="inlineStr">
        <is>
          <t>https://logis.loudoun.gov/gis/rest/services/Projects/BuildOut_LandUse/MapServer/0/120045?f=html</t>
        </is>
      </c>
    </row>
    <row r="85">
      <c r="A85" t="n">
        <v>331</v>
      </c>
      <c r="B85" t="n">
        <v>84</v>
      </c>
      <c r="C85" t="inlineStr">
        <is>
          <t>44751 ROUND TABLE PLZ</t>
        </is>
      </c>
      <c r="D85" t="inlineStr">
        <is>
          <t>062493798000</t>
        </is>
      </c>
      <c r="E85" t="inlineStr">
        <is>
          <t>Existing / operating (inferred)</t>
        </is>
      </c>
      <c r="F85" t="inlineStr">
        <is>
          <t>County lists as 'Existing or Permitted'; year built 2019, building permit 2018-12-28</t>
        </is>
      </c>
      <c r="G85" t="inlineStr">
        <is>
          <t>Existing or Permitted</t>
        </is>
      </c>
      <c r="H85" t="n">
        <v>2019</v>
      </c>
      <c r="I85" t="inlineStr">
        <is>
          <t>2018-12-28</t>
        </is>
      </c>
      <c r="K85" t="n">
        <v>39.009265</v>
      </c>
      <c r="L85" t="n">
        <v>-77.45722000000001</v>
      </c>
      <c r="M85" t="inlineStr">
        <is>
          <t>https://logis.loudoun.gov/gis/rest/services/Projects/BuildOut_LandUse/MapServer/0/120048?f=html</t>
        </is>
      </c>
    </row>
    <row r="86">
      <c r="A86" t="n">
        <v>332</v>
      </c>
      <c r="B86" t="n">
        <v>85</v>
      </c>
      <c r="C86" t="inlineStr">
        <is>
          <t>21350 PACIFIC BLVD</t>
        </is>
      </c>
      <c r="D86" t="inlineStr">
        <is>
          <t>042394385000</t>
        </is>
      </c>
      <c r="E86" t="inlineStr">
        <is>
          <t>Existing / operating (inferred)</t>
        </is>
      </c>
      <c r="F86" t="inlineStr">
        <is>
          <t>County lists as 'Existing or Permitted'; year built 2019, building permit 2018-04-27</t>
        </is>
      </c>
      <c r="G86" t="inlineStr">
        <is>
          <t>Existing or Permitted</t>
        </is>
      </c>
      <c r="H86" t="n">
        <v>2019</v>
      </c>
      <c r="I86" t="inlineStr">
        <is>
          <t>2018-04-27</t>
        </is>
      </c>
      <c r="K86" t="n">
        <v>39.024375</v>
      </c>
      <c r="L86" t="n">
        <v>-77.43346699999999</v>
      </c>
      <c r="M86" t="inlineStr">
        <is>
          <t>https://logis.loudoun.gov/gis/rest/services/Projects/BuildOut_LandUse/MapServer/0/121734?f=html</t>
        </is>
      </c>
    </row>
    <row r="87">
      <c r="A87" t="n">
        <v>333</v>
      </c>
      <c r="B87" t="n">
        <v>86</v>
      </c>
      <c r="C87" t="inlineStr">
        <is>
          <t>45950 PATHFINDER PLZ</t>
        </is>
      </c>
      <c r="D87" t="inlineStr">
        <is>
          <t>033201325000</t>
        </is>
      </c>
      <c r="E87" t="inlineStr">
        <is>
          <t>Existing / operating (inferred)</t>
        </is>
      </c>
      <c r="F87" t="inlineStr">
        <is>
          <t>County lists as 'Existing or Permitted'; year built 2017, building permit 2017-03-10</t>
        </is>
      </c>
      <c r="G87" t="inlineStr">
        <is>
          <t>Existing or Permitted</t>
        </is>
      </c>
      <c r="H87" t="n">
        <v>2017</v>
      </c>
      <c r="I87" t="inlineStr">
        <is>
          <t>2017-03-10</t>
        </is>
      </c>
      <c r="K87" t="n">
        <v>38.986904</v>
      </c>
      <c r="L87" t="n">
        <v>-77.410473</v>
      </c>
      <c r="M87" t="inlineStr">
        <is>
          <t>https://logis.loudoun.gov/gis/rest/services/Projects/BuildOut_LandUse/MapServer/0/122211?f=html</t>
        </is>
      </c>
    </row>
    <row r="88">
      <c r="A88" t="n">
        <v>334</v>
      </c>
      <c r="B88" t="n">
        <v>87</v>
      </c>
      <c r="C88" t="inlineStr">
        <is>
          <t>45930 PATHFINDER PLZ</t>
        </is>
      </c>
      <c r="D88" t="inlineStr">
        <is>
          <t>033201325000</t>
        </is>
      </c>
      <c r="E88" t="inlineStr">
        <is>
          <t>Existing / operating (inferred)</t>
        </is>
      </c>
      <c r="F88" t="inlineStr">
        <is>
          <t>County lists as 'Existing or Permitted'; year built 2017, building permit 2017-03-10</t>
        </is>
      </c>
      <c r="G88" t="inlineStr">
        <is>
          <t>Existing or Permitted</t>
        </is>
      </c>
      <c r="H88" t="n">
        <v>2017</v>
      </c>
      <c r="I88" t="inlineStr">
        <is>
          <t>2017-03-10</t>
        </is>
      </c>
      <c r="K88" t="n">
        <v>38.987874</v>
      </c>
      <c r="L88" t="n">
        <v>-77.411069</v>
      </c>
      <c r="M88" t="inlineStr">
        <is>
          <t>https://logis.loudoun.gov/gis/rest/services/Projects/BuildOut_LandUse/MapServer/0/122212?f=html</t>
        </is>
      </c>
    </row>
    <row r="89">
      <c r="A89" t="n">
        <v>335</v>
      </c>
      <c r="B89" t="n">
        <v>88</v>
      </c>
      <c r="C89" t="inlineStr">
        <is>
          <t>44710 GIGABIT PLZ</t>
        </is>
      </c>
      <c r="D89" t="inlineStr">
        <is>
          <t>087100681000</t>
        </is>
      </c>
      <c r="E89" t="inlineStr">
        <is>
          <t>Existing / operating (inferred)</t>
        </is>
      </c>
      <c r="F89" t="inlineStr">
        <is>
          <t>County lists as 'Existing or Permitted'; year built 2023, building permit 2022-08-09</t>
        </is>
      </c>
      <c r="G89" t="inlineStr">
        <is>
          <t>Existing or Permitted</t>
        </is>
      </c>
      <c r="H89" t="n">
        <v>2023</v>
      </c>
      <c r="I89" t="inlineStr">
        <is>
          <t>2022-08-09</t>
        </is>
      </c>
      <c r="K89" t="n">
        <v>39.02019</v>
      </c>
      <c r="L89" t="n">
        <v>-77.475559</v>
      </c>
      <c r="M89" t="inlineStr">
        <is>
          <t>https://logis.loudoun.gov/gis/rest/services/Projects/BuildOut_LandUse/MapServer/0/122248?f=html</t>
        </is>
      </c>
    </row>
    <row r="90">
      <c r="A90" t="n">
        <v>336</v>
      </c>
      <c r="B90" t="n">
        <v>89</v>
      </c>
      <c r="C90" t="inlineStr">
        <is>
          <t>44495 GIGABIT PLZ</t>
        </is>
      </c>
      <c r="D90" t="inlineStr">
        <is>
          <t>061450432000</t>
        </is>
      </c>
      <c r="E90" t="inlineStr">
        <is>
          <t>Existing / operating (inferred)</t>
        </is>
      </c>
      <c r="F90" t="inlineStr">
        <is>
          <t>County lists as 'Existing or Permitted'; year built 2024, building permit 2022-03-02</t>
        </is>
      </c>
      <c r="G90" t="inlineStr">
        <is>
          <t>Existing or Permitted</t>
        </is>
      </c>
      <c r="H90" t="n">
        <v>2024</v>
      </c>
      <c r="I90" t="inlineStr">
        <is>
          <t>2022-03-02</t>
        </is>
      </c>
      <c r="K90" t="n">
        <v>39.016963</v>
      </c>
      <c r="L90" t="n">
        <v>-77.47346</v>
      </c>
      <c r="M90" t="inlineStr">
        <is>
          <t>https://logis.loudoun.gov/gis/rest/services/Projects/BuildOut_LandUse/MapServer/0/122249?f=html</t>
        </is>
      </c>
    </row>
    <row r="91">
      <c r="A91" t="n">
        <v>337</v>
      </c>
      <c r="B91" t="n">
        <v>90</v>
      </c>
      <c r="C91" t="inlineStr">
        <is>
          <t>44371 GIGABIT PLZ</t>
        </is>
      </c>
      <c r="D91" t="inlineStr">
        <is>
          <t>061450432000</t>
        </is>
      </c>
      <c r="E91" t="inlineStr">
        <is>
          <t>Under construction / permitted, not complete (inferred)</t>
        </is>
      </c>
      <c r="F91" t="inlineStr">
        <is>
          <t>County lists as 'Existing or Permitted'; year built is placeholder 1000 and building permit issued 2025-05-08 (no completion recorded as of 2025-07-01)</t>
        </is>
      </c>
      <c r="G91" t="inlineStr">
        <is>
          <t>Existing or Permitted</t>
        </is>
      </c>
      <c r="I91" t="inlineStr">
        <is>
          <t>2025-05-08</t>
        </is>
      </c>
      <c r="K91" t="n">
        <v>39.015816</v>
      </c>
      <c r="L91" t="n">
        <v>-77.471807</v>
      </c>
      <c r="M91" t="inlineStr">
        <is>
          <t>https://logis.loudoun.gov/gis/rest/services/Projects/BuildOut_LandUse/MapServer/0/122250?f=html</t>
        </is>
      </c>
    </row>
    <row r="92">
      <c r="A92" t="n">
        <v>338</v>
      </c>
      <c r="B92" t="n">
        <v>91</v>
      </c>
      <c r="C92" t="inlineStr">
        <is>
          <t>44761 GIGABIT PLZ</t>
        </is>
      </c>
      <c r="D92" t="inlineStr">
        <is>
          <t>061450432000</t>
        </is>
      </c>
      <c r="E92" t="inlineStr">
        <is>
          <t>Existing / operating (inferred)</t>
        </is>
      </c>
      <c r="F92" t="inlineStr">
        <is>
          <t>County lists as 'Existing or Permitted'; year built 2020, building permit 2019-02-14</t>
        </is>
      </c>
      <c r="G92" t="inlineStr">
        <is>
          <t>Existing or Permitted</t>
        </is>
      </c>
      <c r="H92" t="n">
        <v>2020</v>
      </c>
      <c r="I92" t="inlineStr">
        <is>
          <t>2019-02-14</t>
        </is>
      </c>
      <c r="K92" t="n">
        <v>39.018317</v>
      </c>
      <c r="L92" t="n">
        <v>-77.47267100000001</v>
      </c>
      <c r="M92" t="inlineStr">
        <is>
          <t>https://logis.loudoun.gov/gis/rest/services/Projects/BuildOut_LandUse/MapServer/0/122251?f=html</t>
        </is>
      </c>
    </row>
    <row r="93">
      <c r="A93" t="n">
        <v>339</v>
      </c>
      <c r="B93" t="n">
        <v>92</v>
      </c>
      <c r="C93" t="inlineStr">
        <is>
          <t>44760 GIGABIT PLZ</t>
        </is>
      </c>
      <c r="D93" t="inlineStr">
        <is>
          <t>061450432000</t>
        </is>
      </c>
      <c r="E93" t="inlineStr">
        <is>
          <t>Existing / operating (inferred)</t>
        </is>
      </c>
      <c r="F93" t="inlineStr">
        <is>
          <t>County lists as 'Existing or Permitted'; year built 2019, building permit 2018-09-21</t>
        </is>
      </c>
      <c r="G93" t="inlineStr">
        <is>
          <t>Existing or Permitted</t>
        </is>
      </c>
      <c r="H93" t="n">
        <v>2019</v>
      </c>
      <c r="I93" t="inlineStr">
        <is>
          <t>2018-09-21</t>
        </is>
      </c>
      <c r="K93" t="n">
        <v>39.019928</v>
      </c>
      <c r="L93" t="n">
        <v>-77.472566</v>
      </c>
      <c r="M93" t="inlineStr">
        <is>
          <t>https://logis.loudoun.gov/gis/rest/services/Projects/BuildOut_LandUse/MapServer/0/122252?f=html</t>
        </is>
      </c>
    </row>
    <row r="94">
      <c r="A94" t="n">
        <v>340</v>
      </c>
      <c r="B94" t="n">
        <v>93</v>
      </c>
      <c r="C94" t="inlineStr">
        <is>
          <t>44245 GIGABIT PLZ</t>
        </is>
      </c>
      <c r="D94" t="inlineStr">
        <is>
          <t>061450432000</t>
        </is>
      </c>
      <c r="E94" t="inlineStr">
        <is>
          <t>Existing / operating (inferred)</t>
        </is>
      </c>
      <c r="F94" t="inlineStr">
        <is>
          <t>County lists as 'Existing or Permitted'; year built 2018, building permit 2017-01-27</t>
        </is>
      </c>
      <c r="G94" t="inlineStr">
        <is>
          <t>Existing or Permitted</t>
        </is>
      </c>
      <c r="H94" t="n">
        <v>2018</v>
      </c>
      <c r="I94" t="inlineStr">
        <is>
          <t>2017-01-27</t>
        </is>
      </c>
      <c r="K94" t="n">
        <v>39.017142</v>
      </c>
      <c r="L94" t="n">
        <v>-77.470299</v>
      </c>
      <c r="M94" t="inlineStr">
        <is>
          <t>https://logis.loudoun.gov/gis/rest/services/Projects/BuildOut_LandUse/MapServer/0/122253?f=html</t>
        </is>
      </c>
    </row>
    <row r="95">
      <c r="A95" t="n">
        <v>341</v>
      </c>
      <c r="B95" t="n">
        <v>94</v>
      </c>
      <c r="C95" t="inlineStr">
        <is>
          <t>21744 SIR TIMOTHY DR</t>
        </is>
      </c>
      <c r="D95" t="inlineStr">
        <is>
          <t>061268762000</t>
        </is>
      </c>
      <c r="E95" t="inlineStr">
        <is>
          <t>Existing / operating (inferred)</t>
        </is>
      </c>
      <c r="F95" t="inlineStr">
        <is>
          <t>County lists as 'Existing or Permitted'; year built 2018, building permit 2017-06-21</t>
        </is>
      </c>
      <c r="G95" t="inlineStr">
        <is>
          <t>Existing or Permitted</t>
        </is>
      </c>
      <c r="H95" t="n">
        <v>2018</v>
      </c>
      <c r="I95" t="inlineStr">
        <is>
          <t>2017-06-21</t>
        </is>
      </c>
      <c r="K95" t="n">
        <v>39.012825</v>
      </c>
      <c r="L95" t="n">
        <v>-77.465406</v>
      </c>
      <c r="M95" t="inlineStr">
        <is>
          <t>https://logis.loudoun.gov/gis/rest/services/Projects/BuildOut_LandUse/MapServer/0/122691?f=html</t>
        </is>
      </c>
    </row>
    <row r="96">
      <c r="A96" t="n">
        <v>342</v>
      </c>
      <c r="B96" t="n">
        <v>95</v>
      </c>
      <c r="C96" t="inlineStr">
        <is>
          <t>45305 SEVERN WAY W</t>
        </is>
      </c>
      <c r="D96" t="inlineStr">
        <is>
          <t>042197707000</t>
        </is>
      </c>
      <c r="E96" t="inlineStr">
        <is>
          <t>Existing / operating (inferred)</t>
        </is>
      </c>
      <c r="F96" t="inlineStr">
        <is>
          <t>County lists as 'Existing or Permitted'; year built 2017, building permit 2017-06-02</t>
        </is>
      </c>
      <c r="G96" t="inlineStr">
        <is>
          <t>Existing or Permitted</t>
        </is>
      </c>
      <c r="H96" t="n">
        <v>2017</v>
      </c>
      <c r="I96" t="inlineStr">
        <is>
          <t>2017-06-02</t>
        </is>
      </c>
      <c r="K96" t="n">
        <v>39.019209</v>
      </c>
      <c r="L96" t="n">
        <v>-77.434011</v>
      </c>
      <c r="M96" t="inlineStr">
        <is>
          <t>https://logis.loudoun.gov/gis/rest/services/Projects/BuildOut_LandUse/MapServer/0/123268?f=html</t>
        </is>
      </c>
    </row>
    <row r="97">
      <c r="A97" t="n">
        <v>343</v>
      </c>
      <c r="B97" t="n">
        <v>96</v>
      </c>
      <c r="C97" t="inlineStr">
        <is>
          <t>45295 SEVERN WAY W</t>
        </is>
      </c>
      <c r="D97" t="inlineStr">
        <is>
          <t>042197707000</t>
        </is>
      </c>
      <c r="E97" t="inlineStr">
        <is>
          <t>Existing / operating (inferred)</t>
        </is>
      </c>
      <c r="F97" t="inlineStr">
        <is>
          <t>County lists as 'Existing or Permitted'; year built 2017, building permit 2017-06-02</t>
        </is>
      </c>
      <c r="G97" t="inlineStr">
        <is>
          <t>Existing or Permitted</t>
        </is>
      </c>
      <c r="H97" t="n">
        <v>2017</v>
      </c>
      <c r="I97" t="inlineStr">
        <is>
          <t>2017-06-02</t>
        </is>
      </c>
      <c r="K97" t="n">
        <v>39.020261</v>
      </c>
      <c r="L97" t="n">
        <v>-77.433949</v>
      </c>
      <c r="M97" t="inlineStr">
        <is>
          <t>https://logis.loudoun.gov/gis/rest/services/Projects/BuildOut_LandUse/MapServer/0/123269?f=html</t>
        </is>
      </c>
    </row>
    <row r="98">
      <c r="A98" t="n">
        <v>344</v>
      </c>
      <c r="B98" t="n">
        <v>97</v>
      </c>
      <c r="C98" t="inlineStr">
        <is>
          <t>22271 BRODERICK DR</t>
        </is>
      </c>
      <c r="D98" t="inlineStr">
        <is>
          <t>044152877000</t>
        </is>
      </c>
      <c r="E98" t="inlineStr">
        <is>
          <t>Existing / operating (inferred)</t>
        </is>
      </c>
      <c r="F98" t="inlineStr">
        <is>
          <t>County lists as 'Existing or Permitted'; year built 2019, building permit 2017-08-29</t>
        </is>
      </c>
      <c r="G98" t="inlineStr">
        <is>
          <t>Existing or Permitted</t>
        </is>
      </c>
      <c r="H98" t="n">
        <v>2019</v>
      </c>
      <c r="I98" t="inlineStr">
        <is>
          <t>2017-08-29</t>
        </is>
      </c>
      <c r="K98" t="n">
        <v>38.999497</v>
      </c>
      <c r="L98" t="n">
        <v>-77.450148</v>
      </c>
      <c r="M98" t="inlineStr">
        <is>
          <t>https://logis.loudoun.gov/gis/rest/services/Projects/BuildOut_LandUse/MapServer/0/123904?f=html</t>
        </is>
      </c>
    </row>
    <row r="99">
      <c r="A99" t="n">
        <v>345</v>
      </c>
      <c r="B99" t="n">
        <v>98</v>
      </c>
      <c r="C99" t="inlineStr">
        <is>
          <t>19540 COMPASS CREEK PKWY</t>
        </is>
      </c>
      <c r="D99" t="inlineStr">
        <is>
          <t>235297431000</t>
        </is>
      </c>
      <c r="E99" t="inlineStr">
        <is>
          <t>Under construction / permitted, not complete (inferred)</t>
        </is>
      </c>
      <c r="F99" t="inlineStr">
        <is>
          <t>County lists as 'Existing or Permitted'; year built is placeholder 1000 and building permit issued 2023-09-14 (no completion recorded as of 2025-07-01)</t>
        </is>
      </c>
      <c r="G99" t="inlineStr">
        <is>
          <t>Existing or Permitted</t>
        </is>
      </c>
      <c r="I99" t="inlineStr">
        <is>
          <t>2023-09-14</t>
        </is>
      </c>
      <c r="K99" t="n">
        <v>39.07639</v>
      </c>
      <c r="L99" t="n">
        <v>-77.561131</v>
      </c>
      <c r="M99" t="inlineStr">
        <is>
          <t>https://logis.loudoun.gov/gis/rest/services/Projects/BuildOut_LandUse/MapServer/0/123937?f=html</t>
        </is>
      </c>
    </row>
    <row r="100">
      <c r="A100" t="n">
        <v>346</v>
      </c>
      <c r="B100" t="n">
        <v>99</v>
      </c>
      <c r="C100" t="inlineStr">
        <is>
          <t>45905 MARIES RD</t>
        </is>
      </c>
      <c r="D100" t="inlineStr">
        <is>
          <t>030296913000</t>
        </is>
      </c>
      <c r="E100" t="inlineStr">
        <is>
          <t>Existing / operating (inferred)</t>
        </is>
      </c>
      <c r="F100" t="inlineStr">
        <is>
          <t>County lists as 'Existing or Permitted'; year built 2018, building permit 2017-08-25</t>
        </is>
      </c>
      <c r="G100" t="inlineStr">
        <is>
          <t>Existing or Permitted</t>
        </is>
      </c>
      <c r="H100" t="n">
        <v>2018</v>
      </c>
      <c r="I100" t="inlineStr">
        <is>
          <t>2017-08-25</t>
        </is>
      </c>
      <c r="K100" t="n">
        <v>39.021097</v>
      </c>
      <c r="L100" t="n">
        <v>-77.41324</v>
      </c>
      <c r="M100" t="inlineStr">
        <is>
          <t>https://logis.loudoun.gov/gis/rest/services/Projects/BuildOut_LandUse/MapServer/0/124137?f=html</t>
        </is>
      </c>
    </row>
    <row r="101">
      <c r="A101" t="n">
        <v>347</v>
      </c>
      <c r="B101" t="n">
        <v>100</v>
      </c>
      <c r="C101" t="inlineStr">
        <is>
          <t>22945 INTERNATIONAL DR</t>
        </is>
      </c>
      <c r="D101" t="inlineStr">
        <is>
          <t>034357851000</t>
        </is>
      </c>
      <c r="E101" t="inlineStr">
        <is>
          <t>Existing / operating (inferred)</t>
        </is>
      </c>
      <c r="F101" t="inlineStr">
        <is>
          <t>County lists as 'Existing or Permitted'; year built 2018, building permit 2018-06-22</t>
        </is>
      </c>
      <c r="G101" t="inlineStr">
        <is>
          <t>Existing or Permitted</t>
        </is>
      </c>
      <c r="H101" t="n">
        <v>2018</v>
      </c>
      <c r="I101" t="inlineStr">
        <is>
          <t>2018-06-22</t>
        </is>
      </c>
      <c r="K101" t="n">
        <v>38.981629</v>
      </c>
      <c r="L101" t="n">
        <v>-77.42737700000001</v>
      </c>
      <c r="M101" t="inlineStr">
        <is>
          <t>https://logis.loudoun.gov/gis/rest/services/Projects/BuildOut_LandUse/MapServer/0/124956?f=html</t>
        </is>
      </c>
    </row>
    <row r="102">
      <c r="A102" t="n">
        <v>348</v>
      </c>
      <c r="B102" t="n">
        <v>101</v>
      </c>
      <c r="C102" t="inlineStr">
        <is>
          <t>23005 INTERNATIONAL DR</t>
        </is>
      </c>
      <c r="D102" t="inlineStr">
        <is>
          <t>034263373000</t>
        </is>
      </c>
      <c r="E102" t="inlineStr">
        <is>
          <t>Existing / operating (inferred)</t>
        </is>
      </c>
      <c r="F102" t="inlineStr">
        <is>
          <t>County lists as 'Existing or Permitted'; year built 2020, building permit 2019-12-16</t>
        </is>
      </c>
      <c r="G102" t="inlineStr">
        <is>
          <t>Existing or Permitted</t>
        </is>
      </c>
      <c r="H102" t="n">
        <v>2020</v>
      </c>
      <c r="I102" t="inlineStr">
        <is>
          <t>2019-12-16</t>
        </is>
      </c>
      <c r="K102" t="n">
        <v>38.979902</v>
      </c>
      <c r="L102" t="n">
        <v>-77.42549200000001</v>
      </c>
      <c r="M102" t="inlineStr">
        <is>
          <t>https://logis.loudoun.gov/gis/rest/services/Projects/BuildOut_LandUse/MapServer/0/124957?f=html</t>
        </is>
      </c>
    </row>
    <row r="103">
      <c r="A103" t="n">
        <v>349</v>
      </c>
      <c r="B103" t="n">
        <v>102</v>
      </c>
      <c r="C103" t="inlineStr">
        <is>
          <t>20935 LOUDOUN COUNTY PKWY</t>
        </is>
      </c>
      <c r="D103" t="inlineStr">
        <is>
          <t>041352218000</t>
        </is>
      </c>
      <c r="E103" t="inlineStr">
        <is>
          <t>Existing / operating (inferred)</t>
        </is>
      </c>
      <c r="F103" t="inlineStr">
        <is>
          <t>County lists as 'Existing or Permitted'; year built 2019, building permit 2019-03-27</t>
        </is>
      </c>
      <c r="G103" t="inlineStr">
        <is>
          <t>Existing or Permitted</t>
        </is>
      </c>
      <c r="H103" t="n">
        <v>2019</v>
      </c>
      <c r="I103" t="inlineStr">
        <is>
          <t>2019-03-27</t>
        </is>
      </c>
      <c r="K103" t="n">
        <v>39.036237</v>
      </c>
      <c r="L103" t="n">
        <v>-77.449744</v>
      </c>
      <c r="M103" t="inlineStr">
        <is>
          <t>https://logis.loudoun.gov/gis/rest/services/Projects/BuildOut_LandUse/MapServer/0/125232?f=html</t>
        </is>
      </c>
    </row>
    <row r="104">
      <c r="A104" t="n">
        <v>350</v>
      </c>
      <c r="B104" t="n">
        <v>103</v>
      </c>
      <c r="C104" t="inlineStr">
        <is>
          <t>20945 LOUDOUN COUNTY PKWY</t>
        </is>
      </c>
      <c r="D104" t="inlineStr">
        <is>
          <t>059309091000</t>
        </is>
      </c>
      <c r="E104" t="inlineStr">
        <is>
          <t>Existing / operating (inferred)</t>
        </is>
      </c>
      <c r="F104" t="inlineStr">
        <is>
          <t>County lists as 'Existing or Permitted'; year built 2018, building permit 2018-01-11</t>
        </is>
      </c>
      <c r="G104" t="inlineStr">
        <is>
          <t>Existing or Permitted</t>
        </is>
      </c>
      <c r="H104" t="n">
        <v>2018</v>
      </c>
      <c r="I104" t="inlineStr">
        <is>
          <t>2018-01-11</t>
        </is>
      </c>
      <c r="K104" t="n">
        <v>39.035529</v>
      </c>
      <c r="L104" t="n">
        <v>-77.45071</v>
      </c>
      <c r="M104" t="inlineStr">
        <is>
          <t>https://logis.loudoun.gov/gis/rest/services/Projects/BuildOut_LandUse/MapServer/0/125234?f=html</t>
        </is>
      </c>
    </row>
    <row r="105">
      <c r="A105" t="n">
        <v>351</v>
      </c>
      <c r="B105" t="n">
        <v>104</v>
      </c>
      <c r="C105" t="inlineStr">
        <is>
          <t>42311 THUNDERBALL DR</t>
        </is>
      </c>
      <c r="D105" t="inlineStr">
        <is>
          <t>194103673000</t>
        </is>
      </c>
      <c r="E105" t="inlineStr">
        <is>
          <t>Existing / operating (inferred)</t>
        </is>
      </c>
      <c r="F105" t="inlineStr">
        <is>
          <t>County lists as 'Existing or Permitted'; year built 2023, building permit 2022-05-13</t>
        </is>
      </c>
      <c r="G105" t="inlineStr">
        <is>
          <t>Existing or Permitted</t>
        </is>
      </c>
      <c r="H105" t="n">
        <v>2023</v>
      </c>
      <c r="I105" t="inlineStr">
        <is>
          <t>2022-05-13</t>
        </is>
      </c>
      <c r="K105" t="n">
        <v>39.042349</v>
      </c>
      <c r="L105" t="n">
        <v>-77.538105</v>
      </c>
      <c r="M105" t="inlineStr">
        <is>
          <t>https://logis.loudoun.gov/gis/rest/services/Projects/BuildOut_LandUse/MapServer/0/125475?f=html</t>
        </is>
      </c>
    </row>
    <row r="106">
      <c r="A106" t="n">
        <v>352</v>
      </c>
      <c r="B106" t="n">
        <v>105</v>
      </c>
      <c r="C106" t="inlineStr">
        <is>
          <t>42310 THUNDERBALL DR</t>
        </is>
      </c>
      <c r="D106" t="inlineStr">
        <is>
          <t>194103673000</t>
        </is>
      </c>
      <c r="E106" t="inlineStr">
        <is>
          <t>Existing / operating (inferred)</t>
        </is>
      </c>
      <c r="F106" t="inlineStr">
        <is>
          <t>County lists as 'Existing or Permitted'; year built 2022, building permit 2018-11-05</t>
        </is>
      </c>
      <c r="G106" t="inlineStr">
        <is>
          <t>Existing or Permitted</t>
        </is>
      </c>
      <c r="H106" t="n">
        <v>2022</v>
      </c>
      <c r="I106" t="inlineStr">
        <is>
          <t>2018-11-05</t>
        </is>
      </c>
      <c r="K106" t="n">
        <v>39.044091</v>
      </c>
      <c r="L106" t="n">
        <v>-77.539714</v>
      </c>
      <c r="M106" t="inlineStr">
        <is>
          <t>https://logis.loudoun.gov/gis/rest/services/Projects/BuildOut_LandUse/MapServer/0/125476?f=html</t>
        </is>
      </c>
    </row>
    <row r="107">
      <c r="A107" t="n">
        <v>353</v>
      </c>
      <c r="B107" t="n">
        <v>106</v>
      </c>
      <c r="C107" t="inlineStr">
        <is>
          <t>42255 THUNDERBALL DR</t>
        </is>
      </c>
      <c r="D107" t="inlineStr">
        <is>
          <t>194103673000</t>
        </is>
      </c>
      <c r="E107" t="inlineStr">
        <is>
          <t>Existing / operating (inferred)</t>
        </is>
      </c>
      <c r="F107" t="inlineStr">
        <is>
          <t>County lists as 'Existing or Permitted'; year built 2023, building permit 2022-03-28</t>
        </is>
      </c>
      <c r="G107" t="inlineStr">
        <is>
          <t>Existing or Permitted</t>
        </is>
      </c>
      <c r="H107" t="n">
        <v>2023</v>
      </c>
      <c r="I107" t="inlineStr">
        <is>
          <t>2022-03-28</t>
        </is>
      </c>
      <c r="K107" t="n">
        <v>39.041598</v>
      </c>
      <c r="L107" t="n">
        <v>-77.539185</v>
      </c>
      <c r="M107" t="inlineStr">
        <is>
          <t>https://logis.loudoun.gov/gis/rest/services/Projects/BuildOut_LandUse/MapServer/0/125477?f=html</t>
        </is>
      </c>
    </row>
    <row r="108">
      <c r="A108" t="n">
        <v>354</v>
      </c>
      <c r="B108" t="n">
        <v>107</v>
      </c>
      <c r="C108" t="inlineStr">
        <is>
          <t>42254 THUNDERBALL DR</t>
        </is>
      </c>
      <c r="D108" t="inlineStr">
        <is>
          <t>194103673000</t>
        </is>
      </c>
      <c r="E108" t="inlineStr">
        <is>
          <t>Existing / operating (inferred)</t>
        </is>
      </c>
      <c r="F108" t="inlineStr">
        <is>
          <t>County lists as 'Existing or Permitted'; year built 2022, building permit 2021-05-19</t>
        </is>
      </c>
      <c r="G108" t="inlineStr">
        <is>
          <t>Existing or Permitted</t>
        </is>
      </c>
      <c r="H108" t="n">
        <v>2022</v>
      </c>
      <c r="I108" t="inlineStr">
        <is>
          <t>2021-05-19</t>
        </is>
      </c>
      <c r="K108" t="n">
        <v>39.043456</v>
      </c>
      <c r="L108" t="n">
        <v>-77.540893</v>
      </c>
      <c r="M108" t="inlineStr">
        <is>
          <t>https://logis.loudoun.gov/gis/rest/services/Projects/BuildOut_LandUse/MapServer/0/125478?f=html</t>
        </is>
      </c>
    </row>
    <row r="109">
      <c r="A109" t="n">
        <v>355</v>
      </c>
      <c r="B109" t="n">
        <v>108</v>
      </c>
      <c r="C109" t="inlineStr">
        <is>
          <t>21955 LOUDOUN COUNTY PKWY</t>
        </is>
      </c>
      <c r="D109" t="inlineStr">
        <is>
          <t>061177666000</t>
        </is>
      </c>
      <c r="E109" t="inlineStr">
        <is>
          <t>Existing / operating (inferred)</t>
        </is>
      </c>
      <c r="F109" t="inlineStr">
        <is>
          <t>County lists as 'Existing or Permitted'; year built 2019</t>
        </is>
      </c>
      <c r="G109" t="inlineStr">
        <is>
          <t>Existing or Permitted</t>
        </is>
      </c>
      <c r="H109" t="n">
        <v>2019</v>
      </c>
      <c r="K109" t="n">
        <v>39.010429</v>
      </c>
      <c r="L109" t="n">
        <v>-77.463691</v>
      </c>
      <c r="M109" t="inlineStr">
        <is>
          <t>https://logis.loudoun.gov/gis/rest/services/Projects/BuildOut_LandUse/MapServer/0/125479?f=html</t>
        </is>
      </c>
    </row>
    <row r="110">
      <c r="A110" t="n">
        <v>356</v>
      </c>
      <c r="B110" t="n">
        <v>109</v>
      </c>
      <c r="C110" t="inlineStr">
        <is>
          <t>24400 HOWLING ROOSTER LN</t>
        </is>
      </c>
      <c r="D110" t="inlineStr">
        <is>
          <t>162176713000</t>
        </is>
      </c>
      <c r="E110" t="inlineStr">
        <is>
          <t>Existing / operating (inferred)</t>
        </is>
      </c>
      <c r="F110" t="inlineStr">
        <is>
          <t>County lists as 'Existing or Permitted'; year built 2019, building permit 2019-05-21</t>
        </is>
      </c>
      <c r="G110" t="inlineStr">
        <is>
          <t>Existing or Permitted</t>
        </is>
      </c>
      <c r="H110" t="n">
        <v>2019</v>
      </c>
      <c r="I110" t="inlineStr">
        <is>
          <t>2019-05-21</t>
        </is>
      </c>
      <c r="K110" t="n">
        <v>38.943016</v>
      </c>
      <c r="L110" t="n">
        <v>-77.524242</v>
      </c>
      <c r="M110" t="inlineStr">
        <is>
          <t>https://logis.loudoun.gov/gis/rest/services/Projects/BuildOut_LandUse/MapServer/0/125520?f=html</t>
        </is>
      </c>
    </row>
    <row r="111">
      <c r="A111" t="n">
        <v>357</v>
      </c>
      <c r="B111" t="n">
        <v>110</v>
      </c>
      <c r="C111" t="inlineStr">
        <is>
          <t>45200 VANTAGE DATA PLZ</t>
        </is>
      </c>
      <c r="D111" t="inlineStr">
        <is>
          <t>044288975000</t>
        </is>
      </c>
      <c r="E111" t="inlineStr">
        <is>
          <t>Existing / operating (inferred)</t>
        </is>
      </c>
      <c r="F111" t="inlineStr">
        <is>
          <t>County lists as 'Existing or Permitted'; year built 2019, building permit 2018-05-23</t>
        </is>
      </c>
      <c r="G111" t="inlineStr">
        <is>
          <t>Existing or Permitted</t>
        </is>
      </c>
      <c r="H111" t="n">
        <v>2019</v>
      </c>
      <c r="I111" t="inlineStr">
        <is>
          <t>2018-05-23</t>
        </is>
      </c>
      <c r="K111" t="n">
        <v>39.002398</v>
      </c>
      <c r="L111" t="n">
        <v>-77.43769500000001</v>
      </c>
      <c r="M111" t="inlineStr">
        <is>
          <t>https://logis.loudoun.gov/gis/rest/services/Projects/BuildOut_LandUse/MapServer/0/125540?f=html</t>
        </is>
      </c>
    </row>
    <row r="112">
      <c r="A112" t="n">
        <v>358</v>
      </c>
      <c r="B112" t="n">
        <v>111</v>
      </c>
      <c r="C112" t="inlineStr">
        <is>
          <t>25430 SUTTON BAY PLZ</t>
        </is>
      </c>
      <c r="D112" t="inlineStr">
        <is>
          <t>097398776000</t>
        </is>
      </c>
      <c r="E112" t="inlineStr">
        <is>
          <t>Existing / operating (inferred)</t>
        </is>
      </c>
      <c r="F112" t="inlineStr">
        <is>
          <t>County lists as 'Existing or Permitted'; year built 2019, building permit 2018-05-17</t>
        </is>
      </c>
      <c r="G112" t="inlineStr">
        <is>
          <t>Existing or Permitted</t>
        </is>
      </c>
      <c r="H112" t="n">
        <v>2019</v>
      </c>
      <c r="I112" t="inlineStr">
        <is>
          <t>2018-05-17</t>
        </is>
      </c>
      <c r="K112" t="n">
        <v>38.916111</v>
      </c>
      <c r="L112" t="n">
        <v>-77.477244</v>
      </c>
      <c r="M112" t="inlineStr">
        <is>
          <t>https://logis.loudoun.gov/gis/rest/services/Projects/BuildOut_LandUse/MapServer/0/125597?f=html</t>
        </is>
      </c>
    </row>
    <row r="113">
      <c r="A113" t="n">
        <v>359</v>
      </c>
      <c r="B113" t="n">
        <v>112</v>
      </c>
      <c r="C113" t="inlineStr">
        <is>
          <t>25420 SUTTON BAY PLZ</t>
        </is>
      </c>
      <c r="D113" t="inlineStr">
        <is>
          <t>097398776000</t>
        </is>
      </c>
      <c r="E113" t="inlineStr">
        <is>
          <t>Existing / operating (inferred)</t>
        </is>
      </c>
      <c r="F113" t="inlineStr">
        <is>
          <t>County lists as 'Existing or Permitted'; year built 2019, building permit 2018-07-11</t>
        </is>
      </c>
      <c r="G113" t="inlineStr">
        <is>
          <t>Existing or Permitted</t>
        </is>
      </c>
      <c r="H113" t="n">
        <v>2019</v>
      </c>
      <c r="I113" t="inlineStr">
        <is>
          <t>2018-07-11</t>
        </is>
      </c>
      <c r="K113" t="n">
        <v>38.916215</v>
      </c>
      <c r="L113" t="n">
        <v>-77.478616</v>
      </c>
      <c r="M113" t="inlineStr">
        <is>
          <t>https://logis.loudoun.gov/gis/rest/services/Projects/BuildOut_LandUse/MapServer/0/125598?f=html</t>
        </is>
      </c>
    </row>
    <row r="114">
      <c r="A114" t="n">
        <v>360</v>
      </c>
      <c r="B114" t="n">
        <v>113</v>
      </c>
      <c r="C114" t="inlineStr">
        <is>
          <t>25390 SUTTON BAY PLZ</t>
        </is>
      </c>
      <c r="D114" t="inlineStr">
        <is>
          <t>097398776000</t>
        </is>
      </c>
      <c r="E114" t="inlineStr">
        <is>
          <t>Existing / operating (inferred)</t>
        </is>
      </c>
      <c r="F114" t="inlineStr">
        <is>
          <t>County lists as 'Existing or Permitted'; year built 2019, building permit 2018-08-24</t>
        </is>
      </c>
      <c r="G114" t="inlineStr">
        <is>
          <t>Existing or Permitted</t>
        </is>
      </c>
      <c r="H114" t="n">
        <v>2019</v>
      </c>
      <c r="I114" t="inlineStr">
        <is>
          <t>2018-08-24</t>
        </is>
      </c>
      <c r="K114" t="n">
        <v>38.916629</v>
      </c>
      <c r="L114" t="n">
        <v>-77.479659</v>
      </c>
      <c r="M114" t="inlineStr">
        <is>
          <t>https://logis.loudoun.gov/gis/rest/services/Projects/BuildOut_LandUse/MapServer/0/125599?f=html</t>
        </is>
      </c>
    </row>
    <row r="115">
      <c r="A115" t="n">
        <v>361</v>
      </c>
      <c r="B115" t="n">
        <v>114</v>
      </c>
      <c r="C115" t="inlineStr">
        <is>
          <t>23845 ERINS RUN DR</t>
        </is>
      </c>
      <c r="D115" t="inlineStr">
        <is>
          <t>124299328000</t>
        </is>
      </c>
      <c r="E115" t="inlineStr">
        <is>
          <t>Existing / operating (inferred)</t>
        </is>
      </c>
      <c r="F115" t="inlineStr">
        <is>
          <t>County lists as 'Existing or Permitted'; year built 2020, building permit 2018-08-03</t>
        </is>
      </c>
      <c r="G115" t="inlineStr">
        <is>
          <t>Existing or Permitted</t>
        </is>
      </c>
      <c r="H115" t="n">
        <v>2020</v>
      </c>
      <c r="I115" t="inlineStr">
        <is>
          <t>2018-08-03</t>
        </is>
      </c>
      <c r="K115" t="n">
        <v>38.955829</v>
      </c>
      <c r="L115" t="n">
        <v>-77.49717200000001</v>
      </c>
      <c r="M115" t="inlineStr">
        <is>
          <t>https://logis.loudoun.gov/gis/rest/services/Projects/BuildOut_LandUse/MapServer/0/125603?f=html</t>
        </is>
      </c>
    </row>
    <row r="116">
      <c r="A116" t="n">
        <v>362</v>
      </c>
      <c r="B116" t="n">
        <v>115</v>
      </c>
      <c r="C116" t="inlineStr">
        <is>
          <t>23835 ERINS RUN DR</t>
        </is>
      </c>
      <c r="D116" t="inlineStr">
        <is>
          <t>124299328000</t>
        </is>
      </c>
      <c r="E116" t="inlineStr">
        <is>
          <t>Existing / operating (inferred)</t>
        </is>
      </c>
      <c r="F116" t="inlineStr">
        <is>
          <t>County lists as 'Existing or Permitted'; year built 2019, building permit 2018-07-13</t>
        </is>
      </c>
      <c r="G116" t="inlineStr">
        <is>
          <t>Existing or Permitted</t>
        </is>
      </c>
      <c r="H116" t="n">
        <v>2019</v>
      </c>
      <c r="I116" t="inlineStr">
        <is>
          <t>2018-07-13</t>
        </is>
      </c>
      <c r="K116" t="n">
        <v>38.95677</v>
      </c>
      <c r="L116" t="n">
        <v>-77.49778000000001</v>
      </c>
      <c r="M116" t="inlineStr">
        <is>
          <t>https://logis.loudoun.gov/gis/rest/services/Projects/BuildOut_LandUse/MapServer/0/125604?f=html</t>
        </is>
      </c>
    </row>
    <row r="117">
      <c r="A117" t="n">
        <v>363</v>
      </c>
      <c r="B117" t="n">
        <v>116</v>
      </c>
      <c r="C117" t="inlineStr">
        <is>
          <t>23825 ERINS RUN DR</t>
        </is>
      </c>
      <c r="D117" t="inlineStr">
        <is>
          <t>124299328000</t>
        </is>
      </c>
      <c r="E117" t="inlineStr">
        <is>
          <t>Existing / operating (inferred)</t>
        </is>
      </c>
      <c r="F117" t="inlineStr">
        <is>
          <t>County lists as 'Existing or Permitted'; year built 2018, building permit 2018-05-02</t>
        </is>
      </c>
      <c r="G117" t="inlineStr">
        <is>
          <t>Existing or Permitted</t>
        </is>
      </c>
      <c r="H117" t="n">
        <v>2018</v>
      </c>
      <c r="I117" t="inlineStr">
        <is>
          <t>2018-05-02</t>
        </is>
      </c>
      <c r="K117" t="n">
        <v>38.957888</v>
      </c>
      <c r="L117" t="n">
        <v>-77.498023</v>
      </c>
      <c r="M117" t="inlineStr">
        <is>
          <t>https://logis.loudoun.gov/gis/rest/services/Projects/BuildOut_LandUse/MapServer/0/125605?f=html</t>
        </is>
      </c>
    </row>
    <row r="118">
      <c r="A118" t="n">
        <v>364</v>
      </c>
      <c r="B118" t="n">
        <v>117</v>
      </c>
      <c r="C118" t="inlineStr">
        <is>
          <t>22262 CLOUD PLZ</t>
        </is>
      </c>
      <c r="D118" t="inlineStr">
        <is>
          <t>044282013000</t>
        </is>
      </c>
      <c r="E118" t="inlineStr">
        <is>
          <t>Existing / operating (inferred)</t>
        </is>
      </c>
      <c r="F118" t="inlineStr">
        <is>
          <t>County lists as 'Existing or Permitted'; year built 2019, building permit 2019-05-13</t>
        </is>
      </c>
      <c r="G118" t="inlineStr">
        <is>
          <t>Existing or Permitted</t>
        </is>
      </c>
      <c r="H118" t="n">
        <v>2019</v>
      </c>
      <c r="I118" t="inlineStr">
        <is>
          <t>2019-05-13</t>
        </is>
      </c>
      <c r="K118" t="n">
        <v>39.000575</v>
      </c>
      <c r="L118" t="n">
        <v>-77.439764</v>
      </c>
      <c r="M118" t="inlineStr">
        <is>
          <t>https://logis.loudoun.gov/gis/rest/services/Projects/BuildOut_LandUse/MapServer/0/125612?f=html</t>
        </is>
      </c>
    </row>
    <row r="119">
      <c r="A119" t="n">
        <v>365</v>
      </c>
      <c r="B119" t="n">
        <v>118</v>
      </c>
      <c r="C119" t="inlineStr">
        <is>
          <t>20491 GOOSE LANDING LN</t>
        </is>
      </c>
      <c r="D119" t="inlineStr">
        <is>
          <t>194498227000</t>
        </is>
      </c>
      <c r="E119" t="inlineStr">
        <is>
          <t>Existing / operating (inferred)</t>
        </is>
      </c>
      <c r="F119" t="inlineStr">
        <is>
          <t>County lists as 'Existing or Permitted'; year built 2021, building permit 2020-02-11</t>
        </is>
      </c>
      <c r="G119" t="inlineStr">
        <is>
          <t>Existing or Permitted</t>
        </is>
      </c>
      <c r="H119" t="n">
        <v>2021</v>
      </c>
      <c r="I119" t="inlineStr">
        <is>
          <t>2020-02-11</t>
        </is>
      </c>
      <c r="K119" t="n">
        <v>39.052612</v>
      </c>
      <c r="L119" t="n">
        <v>-77.539576</v>
      </c>
      <c r="M119" t="inlineStr">
        <is>
          <t>https://logis.loudoun.gov/gis/rest/services/Projects/BuildOut_LandUse/MapServer/0/126080?f=html</t>
        </is>
      </c>
    </row>
    <row r="120">
      <c r="A120" t="n">
        <v>366</v>
      </c>
      <c r="B120" t="n">
        <v>119</v>
      </c>
      <c r="C120" t="inlineStr">
        <is>
          <t>44621 WAXPOOL RD</t>
        </is>
      </c>
      <c r="D120" t="inlineStr">
        <is>
          <t>061275931000</t>
        </is>
      </c>
      <c r="E120" t="inlineStr">
        <is>
          <t>Existing / operating (inferred)</t>
        </is>
      </c>
      <c r="F120" t="inlineStr">
        <is>
          <t>County lists as 'Existing or Permitted'; year built 2020, building permit 2019-01-09</t>
        </is>
      </c>
      <c r="G120" t="inlineStr">
        <is>
          <t>Existing or Permitted</t>
        </is>
      </c>
      <c r="H120" t="n">
        <v>2020</v>
      </c>
      <c r="I120" t="inlineStr">
        <is>
          <t>2019-01-09</t>
        </is>
      </c>
      <c r="K120" t="n">
        <v>39.011875</v>
      </c>
      <c r="L120" t="n">
        <v>-77.462653</v>
      </c>
      <c r="M120" t="inlineStr">
        <is>
          <t>https://logis.loudoun.gov/gis/rest/services/Projects/BuildOut_LandUse/MapServer/0/126082?f=html</t>
        </is>
      </c>
    </row>
    <row r="121">
      <c r="A121" t="n">
        <v>367</v>
      </c>
      <c r="B121" t="n">
        <v>120</v>
      </c>
      <c r="C121" t="inlineStr">
        <is>
          <t>45761 MARIES RD</t>
        </is>
      </c>
      <c r="D121" t="inlineStr">
        <is>
          <t>030382006000</t>
        </is>
      </c>
      <c r="E121" t="inlineStr">
        <is>
          <t>Existing / operating (inferred)</t>
        </is>
      </c>
      <c r="F121" t="inlineStr">
        <is>
          <t>County lists as 'Existing or Permitted'; year built 2019, building permit 2018-10-10</t>
        </is>
      </c>
      <c r="G121" t="inlineStr">
        <is>
          <t>Existing or Permitted</t>
        </is>
      </c>
      <c r="H121" t="n">
        <v>2019</v>
      </c>
      <c r="I121" t="inlineStr">
        <is>
          <t>2018-10-10</t>
        </is>
      </c>
      <c r="K121" t="n">
        <v>39.02364</v>
      </c>
      <c r="L121" t="n">
        <v>-77.419083</v>
      </c>
      <c r="M121" t="inlineStr">
        <is>
          <t>https://logis.loudoun.gov/gis/rest/services/Projects/BuildOut_LandUse/MapServer/0/126134?f=html</t>
        </is>
      </c>
    </row>
    <row r="122">
      <c r="A122" t="n">
        <v>368</v>
      </c>
      <c r="B122" t="n">
        <v>121</v>
      </c>
      <c r="C122" t="inlineStr">
        <is>
          <t>45771 MARIES RD</t>
        </is>
      </c>
      <c r="D122" t="inlineStr">
        <is>
          <t>030382006000</t>
        </is>
      </c>
      <c r="E122" t="inlineStr">
        <is>
          <t>Existing / operating (inferred)</t>
        </is>
      </c>
      <c r="F122" t="inlineStr">
        <is>
          <t>County lists as 'Existing or Permitted'; year built 2019, building permit 2018-06-15</t>
        </is>
      </c>
      <c r="G122" t="inlineStr">
        <is>
          <t>Existing or Permitted</t>
        </is>
      </c>
      <c r="H122" t="n">
        <v>2019</v>
      </c>
      <c r="I122" t="inlineStr">
        <is>
          <t>2018-06-15</t>
        </is>
      </c>
      <c r="K122" t="n">
        <v>39.024325</v>
      </c>
      <c r="L122" t="n">
        <v>-77.420435</v>
      </c>
      <c r="M122" t="inlineStr">
        <is>
          <t>https://logis.loudoun.gov/gis/rest/services/Projects/BuildOut_LandUse/MapServer/0/126136?f=html</t>
        </is>
      </c>
    </row>
    <row r="123">
      <c r="A123" t="n">
        <v>369</v>
      </c>
      <c r="B123" t="n">
        <v>122</v>
      </c>
      <c r="C123" t="inlineStr">
        <is>
          <t>22165 BEAUMEADE CIR</t>
        </is>
      </c>
      <c r="D123" t="inlineStr">
        <is>
          <t>061200160000</t>
        </is>
      </c>
      <c r="E123" t="inlineStr">
        <is>
          <t>Existing / operating (inferred)</t>
        </is>
      </c>
      <c r="F123" t="inlineStr">
        <is>
          <t>County lists as 'Existing or Permitted'; year built 2024, building permit 2024-05-29</t>
        </is>
      </c>
      <c r="G123" t="inlineStr">
        <is>
          <t>Existing or Permitted</t>
        </is>
      </c>
      <c r="H123" t="n">
        <v>2024</v>
      </c>
      <c r="I123" t="inlineStr">
        <is>
          <t>2024-05-29</t>
        </is>
      </c>
      <c r="K123" t="n">
        <v>39.013837</v>
      </c>
      <c r="L123" t="n">
        <v>-77.453796</v>
      </c>
      <c r="M123" t="inlineStr">
        <is>
          <t>https://logis.loudoun.gov/gis/rest/services/Projects/BuildOut_LandUse/MapServer/0/126272?f=html</t>
        </is>
      </c>
    </row>
    <row r="124">
      <c r="A124" t="n">
        <v>370</v>
      </c>
      <c r="B124" t="n">
        <v>123</v>
      </c>
      <c r="C124" t="inlineStr">
        <is>
          <t>22175 BEAUMEADE CIR</t>
        </is>
      </c>
      <c r="D124" t="inlineStr">
        <is>
          <t>061200160000</t>
        </is>
      </c>
      <c r="E124" t="inlineStr">
        <is>
          <t>Existing / operating (inferred)</t>
        </is>
      </c>
      <c r="F124" t="inlineStr">
        <is>
          <t>County lists as 'Existing or Permitted'; year built 2020, building permit 2020-09-24</t>
        </is>
      </c>
      <c r="G124" t="inlineStr">
        <is>
          <t>Existing or Permitted</t>
        </is>
      </c>
      <c r="H124" t="n">
        <v>2020</v>
      </c>
      <c r="I124" t="inlineStr">
        <is>
          <t>2020-09-24</t>
        </is>
      </c>
      <c r="K124" t="n">
        <v>39.011855</v>
      </c>
      <c r="L124" t="n">
        <v>-77.45447900000001</v>
      </c>
      <c r="M124" t="inlineStr">
        <is>
          <t>https://logis.loudoun.gov/gis/rest/services/Projects/BuildOut_LandUse/MapServer/0/126274?f=html</t>
        </is>
      </c>
    </row>
    <row r="125">
      <c r="A125" t="n">
        <v>371</v>
      </c>
      <c r="B125" t="n">
        <v>124</v>
      </c>
      <c r="C125" t="inlineStr">
        <is>
          <t>21890 UUNET DR</t>
        </is>
      </c>
      <c r="D125" t="inlineStr">
        <is>
          <t>061355894000</t>
        </is>
      </c>
      <c r="E125" t="inlineStr">
        <is>
          <t>Existing / operating (inferred)</t>
        </is>
      </c>
      <c r="F125" t="inlineStr">
        <is>
          <t>County lists as 'Existing or Permitted'; year built 2019, building permit 2018-11-30</t>
        </is>
      </c>
      <c r="G125" t="inlineStr">
        <is>
          <t>Existing or Permitted</t>
        </is>
      </c>
      <c r="H125" t="n">
        <v>2019</v>
      </c>
      <c r="I125" t="inlineStr">
        <is>
          <t>2018-11-30</t>
        </is>
      </c>
      <c r="K125" t="n">
        <v>39.013597</v>
      </c>
      <c r="L125" t="n">
        <v>-77.470748</v>
      </c>
      <c r="M125" t="inlineStr">
        <is>
          <t>https://logis.loudoun.gov/gis/rest/services/Projects/BuildOut_LandUse/MapServer/0/127360?f=html</t>
        </is>
      </c>
    </row>
    <row r="126">
      <c r="A126" t="n">
        <v>372</v>
      </c>
      <c r="B126" t="n">
        <v>125</v>
      </c>
      <c r="C126" t="inlineStr">
        <is>
          <t>21821 UUNET DR</t>
        </is>
      </c>
      <c r="D126" t="inlineStr">
        <is>
          <t>088101859000</t>
        </is>
      </c>
      <c r="E126" t="inlineStr">
        <is>
          <t>Existing / operating (inferred)</t>
        </is>
      </c>
      <c r="F126" t="inlineStr">
        <is>
          <t>County lists as 'Existing or Permitted'; year built 2021, building permit 2020-07-27</t>
        </is>
      </c>
      <c r="G126" t="inlineStr">
        <is>
          <t>Existing or Permitted</t>
        </is>
      </c>
      <c r="H126" t="n">
        <v>2021</v>
      </c>
      <c r="I126" t="inlineStr">
        <is>
          <t>2020-07-27</t>
        </is>
      </c>
      <c r="K126" t="n">
        <v>39.010562</v>
      </c>
      <c r="L126" t="n">
        <v>-77.475183</v>
      </c>
      <c r="M126" t="inlineStr">
        <is>
          <t>https://logis.loudoun.gov/gis/rest/services/Projects/BuildOut_LandUse/MapServer/0/127361?f=html</t>
        </is>
      </c>
    </row>
    <row r="127">
      <c r="A127" t="n">
        <v>373</v>
      </c>
      <c r="B127" t="n">
        <v>126</v>
      </c>
      <c r="C127" t="inlineStr">
        <is>
          <t>20481 GOOSE LANDING LN</t>
        </is>
      </c>
      <c r="D127" t="inlineStr">
        <is>
          <t>194498227000</t>
        </is>
      </c>
      <c r="E127" t="inlineStr">
        <is>
          <t>Existing / operating (inferred)</t>
        </is>
      </c>
      <c r="F127" t="inlineStr">
        <is>
          <t>County lists as 'Existing or Permitted'; year built 2021, building permit 2019-06-12</t>
        </is>
      </c>
      <c r="G127" t="inlineStr">
        <is>
          <t>Existing or Permitted</t>
        </is>
      </c>
      <c r="H127" t="n">
        <v>2021</v>
      </c>
      <c r="I127" t="inlineStr">
        <is>
          <t>2019-06-12</t>
        </is>
      </c>
      <c r="K127" t="n">
        <v>39.05059</v>
      </c>
      <c r="L127" t="n">
        <v>-77.540029</v>
      </c>
      <c r="M127" t="inlineStr">
        <is>
          <t>https://logis.loudoun.gov/gis/rest/services/Projects/BuildOut_LandUse/MapServer/0/127810?f=html</t>
        </is>
      </c>
    </row>
    <row r="128">
      <c r="A128" t="n">
        <v>374</v>
      </c>
      <c r="B128" t="n">
        <v>127</v>
      </c>
      <c r="C128" t="inlineStr">
        <is>
          <t>20471 GOOSE LANDING LN</t>
        </is>
      </c>
      <c r="D128" t="inlineStr">
        <is>
          <t>194498227000</t>
        </is>
      </c>
      <c r="E128" t="inlineStr">
        <is>
          <t>Existing / operating (inferred)</t>
        </is>
      </c>
      <c r="F128" t="inlineStr">
        <is>
          <t>County lists as 'Existing or Permitted'; year built 2022, building permit 2020-12-29</t>
        </is>
      </c>
      <c r="G128" t="inlineStr">
        <is>
          <t>Existing or Permitted</t>
        </is>
      </c>
      <c r="H128" t="n">
        <v>2022</v>
      </c>
      <c r="I128" t="inlineStr">
        <is>
          <t>2020-12-29</t>
        </is>
      </c>
      <c r="K128" t="n">
        <v>39.049294</v>
      </c>
      <c r="L128" t="n">
        <v>-77.539579</v>
      </c>
      <c r="M128" t="inlineStr">
        <is>
          <t>https://logis.loudoun.gov/gis/rest/services/Projects/BuildOut_LandUse/MapServer/0/127811?f=html</t>
        </is>
      </c>
    </row>
    <row r="129">
      <c r="A129" t="n">
        <v>375</v>
      </c>
      <c r="B129" t="n">
        <v>128</v>
      </c>
      <c r="C129" t="inlineStr">
        <is>
          <t>45194 VANTAGE DATA PLZ</t>
        </is>
      </c>
      <c r="D129" t="inlineStr">
        <is>
          <t>044288975000</t>
        </is>
      </c>
      <c r="E129" t="inlineStr">
        <is>
          <t>Existing / operating (inferred)</t>
        </is>
      </c>
      <c r="F129" t="inlineStr">
        <is>
          <t>County lists as 'Existing or Permitted'; year built 2021, building permit 2020-06-30</t>
        </is>
      </c>
      <c r="G129" t="inlineStr">
        <is>
          <t>Existing or Permitted</t>
        </is>
      </c>
      <c r="H129" t="n">
        <v>2021</v>
      </c>
      <c r="I129" t="inlineStr">
        <is>
          <t>2020-06-30</t>
        </is>
      </c>
      <c r="K129" t="n">
        <v>39.001774</v>
      </c>
      <c r="L129" t="n">
        <v>-77.438067</v>
      </c>
      <c r="M129" t="inlineStr">
        <is>
          <t>https://logis.loudoun.gov/gis/rest/services/Projects/BuildOut_LandUse/MapServer/0/127820?f=html</t>
        </is>
      </c>
    </row>
    <row r="130">
      <c r="A130" t="n">
        <v>376</v>
      </c>
      <c r="B130" t="n">
        <v>129</v>
      </c>
      <c r="C130" t="inlineStr">
        <is>
          <t>24214 QUAIL RIDGE LN</t>
        </is>
      </c>
      <c r="D130" t="inlineStr">
        <is>
          <t>246203645000</t>
        </is>
      </c>
      <c r="E130" t="inlineStr">
        <is>
          <t>Under construction / permitted, not complete (inferred)</t>
        </is>
      </c>
      <c r="F130" t="inlineStr">
        <is>
          <t>County lists as 'Existing or Permitted'; year built is placeholder 1000 and building permit issued 2023-05-25 (no completion recorded as of 2025-07-01)</t>
        </is>
      </c>
      <c r="G130" t="inlineStr">
        <is>
          <t>Existing or Permitted</t>
        </is>
      </c>
      <c r="I130" t="inlineStr">
        <is>
          <t>2023-05-25</t>
        </is>
      </c>
      <c r="K130" t="n">
        <v>38.948026</v>
      </c>
      <c r="L130" t="n">
        <v>-77.559152</v>
      </c>
      <c r="M130" t="inlineStr">
        <is>
          <t>https://logis.loudoun.gov/gis/rest/services/Projects/BuildOut_LandUse/MapServer/0/127833?f=html</t>
        </is>
      </c>
    </row>
    <row r="131">
      <c r="A131" t="n">
        <v>377</v>
      </c>
      <c r="B131" t="n">
        <v>130</v>
      </c>
      <c r="C131" t="inlineStr">
        <is>
          <t>24234 QUAIL RIDGE LN</t>
        </is>
      </c>
      <c r="D131" t="inlineStr">
        <is>
          <t>246203645000</t>
        </is>
      </c>
      <c r="E131" t="inlineStr">
        <is>
          <t>Under construction / permitted, not complete (inferred)</t>
        </is>
      </c>
      <c r="F131" t="inlineStr">
        <is>
          <t>County lists as 'Existing or Permitted'; year built is placeholder 1000 and building permit issued 2023-05-25 (no completion recorded as of 2025-07-01)</t>
        </is>
      </c>
      <c r="G131" t="inlineStr">
        <is>
          <t>Existing or Permitted</t>
        </is>
      </c>
      <c r="I131" t="inlineStr">
        <is>
          <t>2023-05-25</t>
        </is>
      </c>
      <c r="K131" t="n">
        <v>38.949951</v>
      </c>
      <c r="L131" t="n">
        <v>-77.559029</v>
      </c>
      <c r="M131" t="inlineStr">
        <is>
          <t>https://logis.loudoun.gov/gis/rest/services/Projects/BuildOut_LandUse/MapServer/0/127834?f=html</t>
        </is>
      </c>
    </row>
    <row r="132">
      <c r="A132" t="n">
        <v>378</v>
      </c>
      <c r="B132" t="n">
        <v>131</v>
      </c>
      <c r="C132" t="inlineStr">
        <is>
          <t>24244 QUAIL RIDGE LN</t>
        </is>
      </c>
      <c r="D132" t="inlineStr">
        <is>
          <t>246200886000</t>
        </is>
      </c>
      <c r="E132" t="inlineStr">
        <is>
          <t>Existing / operating (inferred)</t>
        </is>
      </c>
      <c r="F132" t="inlineStr">
        <is>
          <t>County lists as 'Existing or Permitted'; year built 2020, building permit 2019-09-26</t>
        </is>
      </c>
      <c r="G132" t="inlineStr">
        <is>
          <t>Existing or Permitted</t>
        </is>
      </c>
      <c r="H132" t="n">
        <v>2020</v>
      </c>
      <c r="I132" t="inlineStr">
        <is>
          <t>2019-09-26</t>
        </is>
      </c>
      <c r="K132" t="n">
        <v>38.949851</v>
      </c>
      <c r="L132" t="n">
        <v>-77.56032</v>
      </c>
      <c r="M132" t="inlineStr">
        <is>
          <t>https://logis.loudoun.gov/gis/rest/services/Projects/BuildOut_LandUse/MapServer/0/127836?f=html</t>
        </is>
      </c>
    </row>
    <row r="133">
      <c r="A133" t="n">
        <v>379</v>
      </c>
      <c r="B133" t="n">
        <v>132</v>
      </c>
      <c r="C133" t="inlineStr">
        <is>
          <t>24224 QUAIL RIDGE LN</t>
        </is>
      </c>
      <c r="D133" t="inlineStr">
        <is>
          <t>246200886000</t>
        </is>
      </c>
      <c r="E133" t="inlineStr">
        <is>
          <t>Existing / operating (inferred)</t>
        </is>
      </c>
      <c r="F133" t="inlineStr">
        <is>
          <t>County lists as 'Existing or Permitted'; year built 2020, building permit 2019-12-02</t>
        </is>
      </c>
      <c r="G133" t="inlineStr">
        <is>
          <t>Existing or Permitted</t>
        </is>
      </c>
      <c r="H133" t="n">
        <v>2020</v>
      </c>
      <c r="I133" t="inlineStr">
        <is>
          <t>2019-12-02</t>
        </is>
      </c>
      <c r="K133" t="n">
        <v>38.948043</v>
      </c>
      <c r="L133" t="n">
        <v>-77.56041500000001</v>
      </c>
      <c r="M133" t="inlineStr">
        <is>
          <t>https://logis.loudoun.gov/gis/rest/services/Projects/BuildOut_LandUse/MapServer/0/127837?f=html</t>
        </is>
      </c>
    </row>
    <row r="134">
      <c r="A134" t="n">
        <v>380</v>
      </c>
      <c r="B134" t="n">
        <v>133</v>
      </c>
      <c r="C134" t="inlineStr">
        <is>
          <t>22125 BRODERICK DR</t>
        </is>
      </c>
      <c r="D134" t="inlineStr">
        <is>
          <t>044370416000</t>
        </is>
      </c>
      <c r="E134" t="inlineStr">
        <is>
          <t>Existing / operating (inferred)</t>
        </is>
      </c>
      <c r="F134" t="inlineStr">
        <is>
          <t>County lists as 'Existing or Permitted'; year built 2021, building permit 2020-03-25</t>
        </is>
      </c>
      <c r="G134" t="inlineStr">
        <is>
          <t>Existing or Permitted</t>
        </is>
      </c>
      <c r="H134" t="n">
        <v>2021</v>
      </c>
      <c r="I134" t="inlineStr">
        <is>
          <t>2020-03-25</t>
        </is>
      </c>
      <c r="K134" t="n">
        <v>39.005776</v>
      </c>
      <c r="L134" t="n">
        <v>-77.449335</v>
      </c>
      <c r="M134" t="inlineStr">
        <is>
          <t>https://logis.loudoun.gov/gis/rest/services/Projects/BuildOut_LandUse/MapServer/0/127850?f=html</t>
        </is>
      </c>
    </row>
    <row r="135">
      <c r="A135" t="n">
        <v>381</v>
      </c>
      <c r="B135" t="n">
        <v>134</v>
      </c>
      <c r="C135" t="inlineStr">
        <is>
          <t>43290 OLD OX RD</t>
        </is>
      </c>
      <c r="D135" t="inlineStr">
        <is>
          <t>124369522000</t>
        </is>
      </c>
      <c r="E135" t="inlineStr">
        <is>
          <t>Existing / operating (inferred)</t>
        </is>
      </c>
      <c r="F135" t="inlineStr">
        <is>
          <t>County lists as 'Existing or Permitted'; year built 2021, building permit 2020-11-19</t>
        </is>
      </c>
      <c r="G135" t="inlineStr">
        <is>
          <t>Existing or Permitted</t>
        </is>
      </c>
      <c r="H135" t="n">
        <v>2021</v>
      </c>
      <c r="I135" t="inlineStr">
        <is>
          <t>2020-11-19</t>
        </is>
      </c>
      <c r="K135" t="n">
        <v>38.957906</v>
      </c>
      <c r="L135" t="n">
        <v>-77.505498</v>
      </c>
      <c r="M135" t="inlineStr">
        <is>
          <t>https://logis.loudoun.gov/gis/rest/services/Projects/BuildOut_LandUse/MapServer/0/127856?f=html</t>
        </is>
      </c>
    </row>
    <row r="136">
      <c r="A136" t="n">
        <v>382</v>
      </c>
      <c r="B136" t="n">
        <v>135</v>
      </c>
      <c r="C136" t="inlineStr">
        <is>
          <t>44820 PRENTICE DR</t>
        </is>
      </c>
      <c r="D136" t="inlineStr">
        <is>
          <t>044370416000</t>
        </is>
      </c>
      <c r="E136" t="inlineStr">
        <is>
          <t>Existing / operating (inferred)</t>
        </is>
      </c>
      <c r="F136" t="inlineStr">
        <is>
          <t>County lists as 'Existing or Permitted'; year built 2024, building permit 2023-08-28</t>
        </is>
      </c>
      <c r="G136" t="inlineStr">
        <is>
          <t>Existing or Permitted</t>
        </is>
      </c>
      <c r="H136" t="n">
        <v>2024</v>
      </c>
      <c r="I136" t="inlineStr">
        <is>
          <t>2023-08-28</t>
        </is>
      </c>
      <c r="K136" t="n">
        <v>39.001764</v>
      </c>
      <c r="L136" t="n">
        <v>-77.45269999999999</v>
      </c>
      <c r="M136" t="inlineStr">
        <is>
          <t>https://logis.loudoun.gov/gis/rest/services/Projects/BuildOut_LandUse/MapServer/0/127864?f=html</t>
        </is>
      </c>
    </row>
    <row r="137">
      <c r="A137" t="n">
        <v>383</v>
      </c>
      <c r="B137" t="n">
        <v>136</v>
      </c>
      <c r="C137" t="inlineStr">
        <is>
          <t>22370 KIPPER DR</t>
        </is>
      </c>
      <c r="D137" t="inlineStr">
        <is>
          <t>044193385000</t>
        </is>
      </c>
      <c r="E137" t="inlineStr">
        <is>
          <t>Existing / operating (inferred)</t>
        </is>
      </c>
      <c r="F137" t="inlineStr">
        <is>
          <t>County lists as 'Existing or Permitted'; year built 2020, building permit 2019-08-02</t>
        </is>
      </c>
      <c r="G137" t="inlineStr">
        <is>
          <t>Existing or Permitted</t>
        </is>
      </c>
      <c r="H137" t="n">
        <v>2020</v>
      </c>
      <c r="I137" t="inlineStr">
        <is>
          <t>2019-08-02</t>
        </is>
      </c>
      <c r="K137" t="n">
        <v>38.996703</v>
      </c>
      <c r="L137" t="n">
        <v>-77.435596</v>
      </c>
      <c r="M137" t="inlineStr">
        <is>
          <t>https://logis.loudoun.gov/gis/rest/services/Projects/BuildOut_LandUse/MapServer/0/127912?f=html</t>
        </is>
      </c>
    </row>
    <row r="138">
      <c r="A138" t="n">
        <v>384</v>
      </c>
      <c r="B138" t="n">
        <v>137</v>
      </c>
      <c r="C138" t="inlineStr">
        <is>
          <t>21641 CHARLES VIEW DR</t>
        </is>
      </c>
      <c r="D138" t="inlineStr">
        <is>
          <t>043482656000</t>
        </is>
      </c>
      <c r="E138" t="inlineStr">
        <is>
          <t>Existing / operating (inferred)</t>
        </is>
      </c>
      <c r="F138" t="inlineStr">
        <is>
          <t>County lists as 'Existing or Permitted'; year built 2020, building permit 2019-08-01</t>
        </is>
      </c>
      <c r="G138" t="inlineStr">
        <is>
          <t>Existing or Permitted</t>
        </is>
      </c>
      <c r="H138" t="n">
        <v>2020</v>
      </c>
      <c r="I138" t="inlineStr">
        <is>
          <t>2019-08-01</t>
        </is>
      </c>
      <c r="K138" t="n">
        <v>39.018496</v>
      </c>
      <c r="L138" t="n">
        <v>-77.43888099999999</v>
      </c>
      <c r="M138" t="inlineStr">
        <is>
          <t>https://logis.loudoun.gov/gis/rest/services/Projects/BuildOut_LandUse/MapServer/0/127914?f=html</t>
        </is>
      </c>
    </row>
    <row r="139">
      <c r="A139" t="n">
        <v>385</v>
      </c>
      <c r="B139" t="n">
        <v>138</v>
      </c>
      <c r="C139" t="inlineStr">
        <is>
          <t>22900 PLATFORM PLZ</t>
        </is>
      </c>
      <c r="D139" t="inlineStr">
        <is>
          <t>034385918000</t>
        </is>
      </c>
      <c r="E139" t="inlineStr">
        <is>
          <t>Existing / operating (inferred)</t>
        </is>
      </c>
      <c r="F139" t="inlineStr">
        <is>
          <t>County lists as 'Existing or Permitted'; year built 2020, building permit 2019-07-17</t>
        </is>
      </c>
      <c r="G139" t="inlineStr">
        <is>
          <t>Existing or Permitted</t>
        </is>
      </c>
      <c r="H139" t="n">
        <v>2020</v>
      </c>
      <c r="I139" t="inlineStr">
        <is>
          <t>2019-07-17</t>
        </is>
      </c>
      <c r="K139" t="n">
        <v>38.981421</v>
      </c>
      <c r="L139" t="n">
        <v>-77.41740900000001</v>
      </c>
      <c r="M139" t="inlineStr">
        <is>
          <t>https://logis.loudoun.gov/gis/rest/services/Projects/BuildOut_LandUse/MapServer/0/127919?f=html</t>
        </is>
      </c>
    </row>
    <row r="140">
      <c r="A140" t="n">
        <v>386</v>
      </c>
      <c r="B140" t="n">
        <v>139</v>
      </c>
      <c r="C140" t="inlineStr">
        <is>
          <t>22890 PLATFORM PLZ</t>
        </is>
      </c>
      <c r="D140" t="inlineStr">
        <is>
          <t>034385918000</t>
        </is>
      </c>
      <c r="E140" t="inlineStr">
        <is>
          <t>Existing / operating (inferred)</t>
        </is>
      </c>
      <c r="F140" t="inlineStr">
        <is>
          <t>County lists as 'Existing or Permitted'; year built 2020, building permit 2019-08-23</t>
        </is>
      </c>
      <c r="G140" t="inlineStr">
        <is>
          <t>Existing or Permitted</t>
        </is>
      </c>
      <c r="H140" t="n">
        <v>2020</v>
      </c>
      <c r="I140" t="inlineStr">
        <is>
          <t>2019-08-23</t>
        </is>
      </c>
      <c r="K140" t="n">
        <v>38.982388</v>
      </c>
      <c r="L140" t="n">
        <v>-77.416792</v>
      </c>
      <c r="M140" t="inlineStr">
        <is>
          <t>https://logis.loudoun.gov/gis/rest/services/Projects/BuildOut_LandUse/MapServer/0/127920?f=html</t>
        </is>
      </c>
    </row>
    <row r="141">
      <c r="A141" t="n">
        <v>387</v>
      </c>
      <c r="B141" t="n">
        <v>140</v>
      </c>
      <c r="C141" t="inlineStr">
        <is>
          <t>21710 CHARLES VIEW DR</t>
        </is>
      </c>
      <c r="D141" t="inlineStr">
        <is>
          <t>043482656000</t>
        </is>
      </c>
      <c r="E141" t="inlineStr">
        <is>
          <t>Existing / operating (inferred)</t>
        </is>
      </c>
      <c r="F141" t="inlineStr">
        <is>
          <t>County lists as 'Existing or Permitted'; year built 2020, building permit 2020-01-24</t>
        </is>
      </c>
      <c r="G141" t="inlineStr">
        <is>
          <t>Existing or Permitted</t>
        </is>
      </c>
      <c r="H141" t="n">
        <v>2020</v>
      </c>
      <c r="I141" t="inlineStr">
        <is>
          <t>2020-01-24</t>
        </is>
      </c>
      <c r="K141" t="n">
        <v>39.016043</v>
      </c>
      <c r="L141" t="n">
        <v>-77.438412</v>
      </c>
      <c r="M141" t="inlineStr">
        <is>
          <t>https://logis.loudoun.gov/gis/rest/services/Projects/BuildOut_LandUse/MapServer/0/128429?f=html</t>
        </is>
      </c>
    </row>
    <row r="142">
      <c r="A142" t="n">
        <v>388</v>
      </c>
      <c r="B142" t="n">
        <v>141</v>
      </c>
      <c r="C142" t="inlineStr">
        <is>
          <t>21645 CHARLES VIEW DR</t>
        </is>
      </c>
      <c r="D142" t="inlineStr">
        <is>
          <t>043482656000</t>
        </is>
      </c>
      <c r="E142" t="inlineStr">
        <is>
          <t>Existing / operating (inferred)</t>
        </is>
      </c>
      <c r="F142" t="inlineStr">
        <is>
          <t>County lists as 'Existing or Permitted'; year built 2020, building permit 2019-11-12</t>
        </is>
      </c>
      <c r="G142" t="inlineStr">
        <is>
          <t>Existing or Permitted</t>
        </is>
      </c>
      <c r="H142" t="n">
        <v>2020</v>
      </c>
      <c r="I142" t="inlineStr">
        <is>
          <t>2019-11-12</t>
        </is>
      </c>
      <c r="K142" t="n">
        <v>39.016965</v>
      </c>
      <c r="L142" t="n">
        <v>-77.43932100000001</v>
      </c>
      <c r="M142" t="inlineStr">
        <is>
          <t>https://logis.loudoun.gov/gis/rest/services/Projects/BuildOut_LandUse/MapServer/0/128430?f=html</t>
        </is>
      </c>
    </row>
    <row r="143">
      <c r="A143" t="n">
        <v>389</v>
      </c>
      <c r="B143" t="n">
        <v>142</v>
      </c>
      <c r="C143" t="inlineStr">
        <is>
          <t>22420 KIPPER DR</t>
        </is>
      </c>
      <c r="D143" t="inlineStr">
        <is>
          <t>045494813000</t>
        </is>
      </c>
      <c r="E143" t="inlineStr">
        <is>
          <t>Existing / operating (inferred)</t>
        </is>
      </c>
      <c r="F143" t="inlineStr">
        <is>
          <t>County lists as 'Existing or Permitted'; year built 2020, building permit 2020-01-28</t>
        </is>
      </c>
      <c r="G143" t="inlineStr">
        <is>
          <t>Existing or Permitted</t>
        </is>
      </c>
      <c r="H143" t="n">
        <v>2020</v>
      </c>
      <c r="I143" t="inlineStr">
        <is>
          <t>2020-01-28</t>
        </is>
      </c>
      <c r="K143" t="n">
        <v>38.995006</v>
      </c>
      <c r="L143" t="n">
        <v>-77.435345</v>
      </c>
      <c r="M143" t="inlineStr">
        <is>
          <t>https://logis.loudoun.gov/gis/rest/services/Projects/BuildOut_LandUse/MapServer/0/128446?f=html</t>
        </is>
      </c>
    </row>
    <row r="144">
      <c r="A144" t="n">
        <v>390</v>
      </c>
      <c r="B144" t="n">
        <v>143</v>
      </c>
      <c r="C144" t="inlineStr">
        <is>
          <t>21340 PACIFIC BLVD</t>
        </is>
      </c>
      <c r="D144" t="inlineStr">
        <is>
          <t>042394385000</t>
        </is>
      </c>
      <c r="E144" t="inlineStr">
        <is>
          <t>Existing / operating (inferred)</t>
        </is>
      </c>
      <c r="F144" t="inlineStr">
        <is>
          <t>County lists as 'Existing or Permitted'; year built 2020, building permit 2019-11-18</t>
        </is>
      </c>
      <c r="G144" t="inlineStr">
        <is>
          <t>Existing or Permitted</t>
        </is>
      </c>
      <c r="H144" t="n">
        <v>2020</v>
      </c>
      <c r="I144" t="inlineStr">
        <is>
          <t>2019-11-18</t>
        </is>
      </c>
      <c r="K144" t="n">
        <v>39.02634</v>
      </c>
      <c r="L144" t="n">
        <v>-77.434031</v>
      </c>
      <c r="M144" t="inlineStr">
        <is>
          <t>https://logis.loudoun.gov/gis/rest/services/Projects/BuildOut_LandUse/MapServer/0/128468?f=html</t>
        </is>
      </c>
    </row>
    <row r="145">
      <c r="A145" t="n">
        <v>391</v>
      </c>
      <c r="B145" t="n">
        <v>144</v>
      </c>
      <c r="C145" t="inlineStr">
        <is>
          <t>19525 COMPASS CREEK PKWY</t>
        </is>
      </c>
      <c r="D145" t="inlineStr">
        <is>
          <t>235297431000</t>
        </is>
      </c>
      <c r="E145" t="inlineStr">
        <is>
          <t>Existing / operating (inferred)</t>
        </is>
      </c>
      <c r="F145" t="inlineStr">
        <is>
          <t>County lists as 'Existing or Permitted'; year built 2022, building permit 2020-08-24</t>
        </is>
      </c>
      <c r="G145" t="inlineStr">
        <is>
          <t>Existing or Permitted</t>
        </is>
      </c>
      <c r="H145" t="n">
        <v>2022</v>
      </c>
      <c r="I145" t="inlineStr">
        <is>
          <t>2020-08-24</t>
        </is>
      </c>
      <c r="K145" t="n">
        <v>39.075502</v>
      </c>
      <c r="L145" t="n">
        <v>-77.563014</v>
      </c>
      <c r="M145" t="inlineStr">
        <is>
          <t>https://logis.loudoun.gov/gis/rest/services/Projects/BuildOut_LandUse/MapServer/0/128773?f=html</t>
        </is>
      </c>
    </row>
    <row r="146">
      <c r="A146" t="n">
        <v>392</v>
      </c>
      <c r="B146" t="n">
        <v>145</v>
      </c>
      <c r="C146" t="inlineStr">
        <is>
          <t>19515 COMPASS CREEK PKWY</t>
        </is>
      </c>
      <c r="D146" t="inlineStr">
        <is>
          <t>235297431000</t>
        </is>
      </c>
      <c r="E146" t="inlineStr">
        <is>
          <t>Existing / operating (inferred)</t>
        </is>
      </c>
      <c r="F146" t="inlineStr">
        <is>
          <t>County lists as 'Existing or Permitted'; year built 2021, building permit 2020-08-24</t>
        </is>
      </c>
      <c r="G146" t="inlineStr">
        <is>
          <t>Existing or Permitted</t>
        </is>
      </c>
      <c r="H146" t="n">
        <v>2021</v>
      </c>
      <c r="I146" t="inlineStr">
        <is>
          <t>2020-08-24</t>
        </is>
      </c>
      <c r="K146" t="n">
        <v>39.074775</v>
      </c>
      <c r="L146" t="n">
        <v>-77.564115</v>
      </c>
      <c r="M146" t="inlineStr">
        <is>
          <t>https://logis.loudoun.gov/gis/rest/services/Projects/BuildOut_LandUse/MapServer/0/128774?f=html</t>
        </is>
      </c>
    </row>
    <row r="147">
      <c r="A147" t="n">
        <v>393</v>
      </c>
      <c r="B147" t="n">
        <v>146</v>
      </c>
      <c r="C147" t="inlineStr">
        <is>
          <t>21660 CHARLES VIEW DR</t>
        </is>
      </c>
      <c r="D147" t="inlineStr">
        <is>
          <t>043482656000</t>
        </is>
      </c>
      <c r="E147" t="inlineStr">
        <is>
          <t>Existing / operating (inferred)</t>
        </is>
      </c>
      <c r="F147" t="inlineStr">
        <is>
          <t>County lists as 'Existing or Permitted'; year built 2020, building permit 2020-04-27</t>
        </is>
      </c>
      <c r="G147" t="inlineStr">
        <is>
          <t>Existing or Permitted</t>
        </is>
      </c>
      <c r="H147" t="n">
        <v>2020</v>
      </c>
      <c r="I147" t="inlineStr">
        <is>
          <t>2020-04-27</t>
        </is>
      </c>
      <c r="K147" t="n">
        <v>39.015273</v>
      </c>
      <c r="L147" t="n">
        <v>-77.437787</v>
      </c>
      <c r="M147" t="inlineStr">
        <is>
          <t>https://logis.loudoun.gov/gis/rest/services/Projects/BuildOut_LandUse/MapServer/0/129156?f=html</t>
        </is>
      </c>
    </row>
    <row r="148">
      <c r="A148" t="n">
        <v>394</v>
      </c>
      <c r="B148" t="n">
        <v>147</v>
      </c>
      <c r="C148" t="inlineStr">
        <is>
          <t>44351 IMPORT PLZ</t>
        </is>
      </c>
      <c r="D148" t="inlineStr">
        <is>
          <t>062159785000</t>
        </is>
      </c>
      <c r="E148" t="inlineStr">
        <is>
          <t>Existing / operating (inferred)</t>
        </is>
      </c>
      <c r="F148" t="inlineStr">
        <is>
          <t>County lists as 'Existing or Permitted'; year built 2022, building permit 2022-04-14</t>
        </is>
      </c>
      <c r="G148" t="inlineStr">
        <is>
          <t>Existing or Permitted</t>
        </is>
      </c>
      <c r="H148" t="n">
        <v>2022</v>
      </c>
      <c r="I148" t="inlineStr">
        <is>
          <t>2022-04-14</t>
        </is>
      </c>
      <c r="K148" t="n">
        <v>38.99513</v>
      </c>
      <c r="L148" t="n">
        <v>-77.47091899999999</v>
      </c>
      <c r="M148" t="inlineStr">
        <is>
          <t>https://logis.loudoun.gov/gis/rest/services/Projects/BuildOut_LandUse/MapServer/0/129158?f=html</t>
        </is>
      </c>
    </row>
    <row r="149">
      <c r="A149" t="n">
        <v>395</v>
      </c>
      <c r="B149" t="n">
        <v>148</v>
      </c>
      <c r="C149" t="inlineStr">
        <is>
          <t>44305 IMPORT PLZ</t>
        </is>
      </c>
      <c r="D149" t="inlineStr">
        <is>
          <t>062159785000</t>
        </is>
      </c>
      <c r="E149" t="inlineStr">
        <is>
          <t>Existing / operating (inferred)</t>
        </is>
      </c>
      <c r="F149" t="inlineStr">
        <is>
          <t>County lists as 'Existing or Permitted'; year built 2021, building permit 2020-08-10</t>
        </is>
      </c>
      <c r="G149" t="inlineStr">
        <is>
          <t>Existing or Permitted</t>
        </is>
      </c>
      <c r="H149" t="n">
        <v>2021</v>
      </c>
      <c r="I149" t="inlineStr">
        <is>
          <t>2020-08-10</t>
        </is>
      </c>
      <c r="K149" t="n">
        <v>38.995853</v>
      </c>
      <c r="L149" t="n">
        <v>-77.47127399999999</v>
      </c>
      <c r="M149" t="inlineStr">
        <is>
          <t>https://logis.loudoun.gov/gis/rest/services/Projects/BuildOut_LandUse/MapServer/0/129159?f=html</t>
        </is>
      </c>
    </row>
    <row r="150">
      <c r="A150" t="n">
        <v>396</v>
      </c>
      <c r="B150" t="n">
        <v>149</v>
      </c>
      <c r="C150" t="inlineStr">
        <is>
          <t>44254 IMPORT PLZ</t>
        </is>
      </c>
      <c r="D150" t="inlineStr">
        <is>
          <t>062159785000</t>
        </is>
      </c>
      <c r="E150" t="inlineStr">
        <is>
          <t>Existing / operating (inferred)</t>
        </is>
      </c>
      <c r="F150" t="inlineStr">
        <is>
          <t>County lists as 'Existing or Permitted'; year built 2021, building permit 2020-06-16</t>
        </is>
      </c>
      <c r="G150" t="inlineStr">
        <is>
          <t>Existing or Permitted</t>
        </is>
      </c>
      <c r="H150" t="n">
        <v>2021</v>
      </c>
      <c r="I150" t="inlineStr">
        <is>
          <t>2020-06-16</t>
        </is>
      </c>
      <c r="K150" t="n">
        <v>38.99664</v>
      </c>
      <c r="L150" t="n">
        <v>-77.473232</v>
      </c>
      <c r="M150" t="inlineStr">
        <is>
          <t>https://logis.loudoun.gov/gis/rest/services/Projects/BuildOut_LandUse/MapServer/0/129160?f=html</t>
        </is>
      </c>
    </row>
    <row r="151">
      <c r="A151" t="n">
        <v>397</v>
      </c>
      <c r="B151" t="n">
        <v>150</v>
      </c>
      <c r="C151" t="inlineStr">
        <is>
          <t>22940 PLATFORM PLZ</t>
        </is>
      </c>
      <c r="D151" t="inlineStr">
        <is>
          <t>034385918000</t>
        </is>
      </c>
      <c r="E151" t="inlineStr">
        <is>
          <t>Existing / operating (inferred)</t>
        </is>
      </c>
      <c r="F151" t="inlineStr">
        <is>
          <t>County lists as 'Existing or Permitted'; year built 2020, building permit 2020-07-08</t>
        </is>
      </c>
      <c r="G151" t="inlineStr">
        <is>
          <t>Existing or Permitted</t>
        </is>
      </c>
      <c r="H151" t="n">
        <v>2020</v>
      </c>
      <c r="I151" t="inlineStr">
        <is>
          <t>2020-07-08</t>
        </is>
      </c>
      <c r="K151" t="n">
        <v>38.981559</v>
      </c>
      <c r="L151" t="n">
        <v>-77.419383</v>
      </c>
      <c r="M151" t="inlineStr">
        <is>
          <t>https://logis.loudoun.gov/gis/rest/services/Projects/BuildOut_LandUse/MapServer/0/129303?f=html</t>
        </is>
      </c>
    </row>
    <row r="152">
      <c r="A152" t="n">
        <v>398</v>
      </c>
      <c r="B152" t="n">
        <v>151</v>
      </c>
      <c r="C152" t="inlineStr">
        <is>
          <t>22291 SHELLHORN RD</t>
        </is>
      </c>
      <c r="D152" t="inlineStr">
        <is>
          <t>089100937000</t>
        </is>
      </c>
      <c r="E152" t="inlineStr">
        <is>
          <t>Existing / operating (inferred)</t>
        </is>
      </c>
      <c r="F152" t="inlineStr">
        <is>
          <t>County lists as 'Existing or Permitted'; year built 2021, building permit 2020-07-22</t>
        </is>
      </c>
      <c r="G152" t="inlineStr">
        <is>
          <t>Existing or Permitted</t>
        </is>
      </c>
      <c r="H152" t="n">
        <v>2021</v>
      </c>
      <c r="I152" t="inlineStr">
        <is>
          <t>2020-07-22</t>
        </is>
      </c>
      <c r="K152" t="n">
        <v>38.998021</v>
      </c>
      <c r="L152" t="n">
        <v>-77.475549</v>
      </c>
      <c r="M152" t="inlineStr">
        <is>
          <t>https://logis.loudoun.gov/gis/rest/services/Projects/BuildOut_LandUse/MapServer/0/129639?f=html</t>
        </is>
      </c>
    </row>
    <row r="153">
      <c r="A153" t="n">
        <v>399</v>
      </c>
      <c r="B153" t="n">
        <v>152</v>
      </c>
      <c r="C153" t="inlineStr">
        <is>
          <t>22271 SHELLHORN RD</t>
        </is>
      </c>
      <c r="D153" t="inlineStr">
        <is>
          <t>089104437000</t>
        </is>
      </c>
      <c r="E153" t="inlineStr">
        <is>
          <t>Existing / operating (inferred)</t>
        </is>
      </c>
      <c r="F153" t="inlineStr">
        <is>
          <t>County lists as 'Existing or Permitted'; year built 2022, building permit 2021-08-27</t>
        </is>
      </c>
      <c r="G153" t="inlineStr">
        <is>
          <t>Existing or Permitted</t>
        </is>
      </c>
      <c r="H153" t="n">
        <v>2022</v>
      </c>
      <c r="I153" t="inlineStr">
        <is>
          <t>2021-08-27</t>
        </is>
      </c>
      <c r="K153" t="n">
        <v>38.998839</v>
      </c>
      <c r="L153" t="n">
        <v>-77.47419499999999</v>
      </c>
      <c r="M153" t="inlineStr">
        <is>
          <t>https://logis.loudoun.gov/gis/rest/services/Projects/BuildOut_LandUse/MapServer/0/129640?f=html</t>
        </is>
      </c>
    </row>
    <row r="154">
      <c r="A154" t="n">
        <v>400</v>
      </c>
      <c r="B154" t="n">
        <v>153</v>
      </c>
      <c r="C154" t="inlineStr">
        <is>
          <t>24141 UPPER WOODSIDE LN</t>
        </is>
      </c>
      <c r="D154" t="inlineStr">
        <is>
          <t>162392026000</t>
        </is>
      </c>
      <c r="E154" t="inlineStr">
        <is>
          <t>Existing / operating (inferred)</t>
        </is>
      </c>
      <c r="F154" t="inlineStr">
        <is>
          <t>County lists as 'Existing or Permitted'; year built 2021, building permit 2020-12-11</t>
        </is>
      </c>
      <c r="G154" t="inlineStr">
        <is>
          <t>Existing or Permitted</t>
        </is>
      </c>
      <c r="H154" t="n">
        <v>2021</v>
      </c>
      <c r="I154" t="inlineStr">
        <is>
          <t>2020-12-11</t>
        </is>
      </c>
      <c r="K154" t="n">
        <v>38.949126</v>
      </c>
      <c r="L154" t="n">
        <v>-77.52354200000001</v>
      </c>
      <c r="M154" t="inlineStr">
        <is>
          <t>https://logis.loudoun.gov/gis/rest/services/Projects/BuildOut_LandUse/MapServer/0/129651?f=html</t>
        </is>
      </c>
    </row>
    <row r="155">
      <c r="A155" t="n">
        <v>401</v>
      </c>
      <c r="B155" t="n">
        <v>154</v>
      </c>
      <c r="C155" t="inlineStr">
        <is>
          <t>44540 ROUND TABLE PLZ</t>
        </is>
      </c>
      <c r="D155" t="inlineStr">
        <is>
          <t>062462761000</t>
        </is>
      </c>
      <c r="E155" t="inlineStr">
        <is>
          <t>Existing / operating (inferred)</t>
        </is>
      </c>
      <c r="F155" t="inlineStr">
        <is>
          <t>County lists as 'Existing or Permitted'; year built 2023, building permit 2022-01-19</t>
        </is>
      </c>
      <c r="G155" t="inlineStr">
        <is>
          <t>Existing or Permitted</t>
        </is>
      </c>
      <c r="H155" t="n">
        <v>2023</v>
      </c>
      <c r="I155" t="inlineStr">
        <is>
          <t>2022-01-19</t>
        </is>
      </c>
      <c r="K155" t="n">
        <v>39.006621</v>
      </c>
      <c r="L155" t="n">
        <v>-77.466193</v>
      </c>
      <c r="M155" t="inlineStr">
        <is>
          <t>https://logis.loudoun.gov/gis/rest/services/Projects/BuildOut_LandUse/MapServer/0/129664?f=html</t>
        </is>
      </c>
    </row>
    <row r="156">
      <c r="A156" t="n">
        <v>402</v>
      </c>
      <c r="B156" t="n">
        <v>155</v>
      </c>
      <c r="C156" t="inlineStr">
        <is>
          <t>21215 ATLANTIC BLVD</t>
        </is>
      </c>
      <c r="D156" t="inlineStr">
        <is>
          <t>030455548000</t>
        </is>
      </c>
      <c r="E156" t="inlineStr">
        <is>
          <t>Existing / operating (inferred)</t>
        </is>
      </c>
      <c r="F156" t="inlineStr">
        <is>
          <t>County lists as 'Existing or Permitted'; year built 2022, building permit 2021-02-23</t>
        </is>
      </c>
      <c r="G156" t="inlineStr">
        <is>
          <t>Existing or Permitted</t>
        </is>
      </c>
      <c r="H156" t="n">
        <v>2022</v>
      </c>
      <c r="I156" t="inlineStr">
        <is>
          <t>2021-02-23</t>
        </is>
      </c>
      <c r="K156" t="n">
        <v>39.028918</v>
      </c>
      <c r="L156" t="n">
        <v>-77.427526</v>
      </c>
      <c r="M156" t="inlineStr">
        <is>
          <t>https://logis.loudoun.gov/gis/rest/services/Projects/BuildOut_LandUse/MapServer/0/130026?f=html</t>
        </is>
      </c>
    </row>
    <row r="157">
      <c r="A157" t="n">
        <v>403</v>
      </c>
      <c r="B157" t="n">
        <v>156</v>
      </c>
      <c r="C157" t="inlineStr">
        <is>
          <t>21205 ATLANTIC BLVD</t>
        </is>
      </c>
      <c r="D157" t="inlineStr">
        <is>
          <t>029151508000</t>
        </is>
      </c>
      <c r="E157" t="inlineStr">
        <is>
          <t>Existing / operating (inferred)</t>
        </is>
      </c>
      <c r="F157" t="inlineStr">
        <is>
          <t>County lists as 'Existing or Permitted'; year built 2022, building permit 2020-12-11</t>
        </is>
      </c>
      <c r="G157" t="inlineStr">
        <is>
          <t>Existing or Permitted</t>
        </is>
      </c>
      <c r="H157" t="n">
        <v>2022</v>
      </c>
      <c r="I157" t="inlineStr">
        <is>
          <t>2020-12-11</t>
        </is>
      </c>
      <c r="K157" t="n">
        <v>39.030449</v>
      </c>
      <c r="L157" t="n">
        <v>-77.428905</v>
      </c>
      <c r="M157" t="inlineStr">
        <is>
          <t>https://logis.loudoun.gov/gis/rest/services/Projects/BuildOut_LandUse/MapServer/0/130027?f=html</t>
        </is>
      </c>
    </row>
    <row r="158">
      <c r="A158" t="n">
        <v>404</v>
      </c>
      <c r="B158" t="n">
        <v>157</v>
      </c>
      <c r="C158" t="inlineStr">
        <is>
          <t>21195 ATLANTIC BLVD</t>
        </is>
      </c>
      <c r="D158" t="inlineStr">
        <is>
          <t>041108666000</t>
        </is>
      </c>
      <c r="E158" t="inlineStr">
        <is>
          <t>Existing / operating (inferred)</t>
        </is>
      </c>
      <c r="F158" t="inlineStr">
        <is>
          <t>County lists as 'Existing or Permitted'; year built 2021, building permit 2020-11-12</t>
        </is>
      </c>
      <c r="G158" t="inlineStr">
        <is>
          <t>Existing or Permitted</t>
        </is>
      </c>
      <c r="H158" t="n">
        <v>2021</v>
      </c>
      <c r="I158" t="inlineStr">
        <is>
          <t>2020-11-12</t>
        </is>
      </c>
      <c r="K158" t="n">
        <v>39.032285</v>
      </c>
      <c r="L158" t="n">
        <v>-77.42971</v>
      </c>
      <c r="M158" t="inlineStr">
        <is>
          <t>https://logis.loudoun.gov/gis/rest/services/Projects/BuildOut_LandUse/MapServer/0/130028?f=html</t>
        </is>
      </c>
    </row>
    <row r="159">
      <c r="A159" t="n">
        <v>405</v>
      </c>
      <c r="B159" t="n">
        <v>158</v>
      </c>
      <c r="C159" t="inlineStr">
        <is>
          <t>21745 BEAUMEADE CIR</t>
        </is>
      </c>
      <c r="D159" t="inlineStr">
        <is>
          <t>060189720000</t>
        </is>
      </c>
      <c r="E159" t="inlineStr">
        <is>
          <t>Existing / operating (inferred)</t>
        </is>
      </c>
      <c r="F159" t="inlineStr">
        <is>
          <t>County lists as 'Existing or Permitted'; year built 2023, building permit 2022-09-13</t>
        </is>
      </c>
      <c r="G159" t="inlineStr">
        <is>
          <t>Existing or Permitted</t>
        </is>
      </c>
      <c r="H159" t="n">
        <v>2023</v>
      </c>
      <c r="I159" t="inlineStr">
        <is>
          <t>2022-09-13</t>
        </is>
      </c>
      <c r="K159" t="n">
        <v>39.018005</v>
      </c>
      <c r="L159" t="n">
        <v>-77.459315</v>
      </c>
      <c r="M159" t="inlineStr">
        <is>
          <t>https://logis.loudoun.gov/gis/rest/services/Projects/BuildOut_LandUse/MapServer/0/130054?f=html</t>
        </is>
      </c>
    </row>
    <row r="160">
      <c r="A160" t="n">
        <v>406</v>
      </c>
      <c r="B160" t="n">
        <v>159</v>
      </c>
      <c r="C160" t="inlineStr">
        <is>
          <t>44710 PERFORMANCE CIR</t>
        </is>
      </c>
      <c r="D160" t="inlineStr">
        <is>
          <t>060209652000</t>
        </is>
      </c>
      <c r="E160" t="inlineStr">
        <is>
          <t>Under construction / permitted, not complete (inferred)</t>
        </is>
      </c>
      <c r="F160" t="inlineStr">
        <is>
          <t>County lists as 'Existing or Permitted'; year built is placeholder 1000 and building permit issued 2025-05-02 (no completion recorded as of 2025-07-01)</t>
        </is>
      </c>
      <c r="G160" t="inlineStr">
        <is>
          <t>Existing or Permitted</t>
        </is>
      </c>
      <c r="I160" t="inlineStr">
        <is>
          <t>2025-05-02</t>
        </is>
      </c>
      <c r="K160" t="n">
        <v>39.024918</v>
      </c>
      <c r="L160" t="n">
        <v>-77.453407</v>
      </c>
      <c r="M160" t="inlineStr">
        <is>
          <t>https://logis.loudoun.gov/gis/rest/services/Projects/BuildOut_LandUse/MapServer/0/130069?f=html</t>
        </is>
      </c>
    </row>
    <row r="161">
      <c r="A161" t="n">
        <v>407</v>
      </c>
      <c r="B161" t="n">
        <v>160</v>
      </c>
      <c r="C161" t="inlineStr">
        <is>
          <t>44740 PERFORMANCE CIR</t>
        </is>
      </c>
      <c r="D161" t="inlineStr">
        <is>
          <t>060209652000</t>
        </is>
      </c>
      <c r="E161" t="inlineStr">
        <is>
          <t>Existing / operating (inferred)</t>
        </is>
      </c>
      <c r="F161" t="inlineStr">
        <is>
          <t>County lists as 'Existing or Permitted'; year built 2023, building permit 2023-04-05</t>
        </is>
      </c>
      <c r="G161" t="inlineStr">
        <is>
          <t>Existing or Permitted</t>
        </is>
      </c>
      <c r="H161" t="n">
        <v>2023</v>
      </c>
      <c r="I161" t="inlineStr">
        <is>
          <t>2023-04-05</t>
        </is>
      </c>
      <c r="K161" t="n">
        <v>39.024202</v>
      </c>
      <c r="L161" t="n">
        <v>-77.452282</v>
      </c>
      <c r="M161" t="inlineStr">
        <is>
          <t>https://logis.loudoun.gov/gis/rest/services/Projects/BuildOut_LandUse/MapServer/0/130070?f=html</t>
        </is>
      </c>
    </row>
    <row r="162">
      <c r="A162" t="n">
        <v>408</v>
      </c>
      <c r="B162" t="n">
        <v>161</v>
      </c>
      <c r="C162" t="inlineStr">
        <is>
          <t>43764 CLUBBER LN</t>
        </is>
      </c>
      <c r="D162" t="inlineStr">
        <is>
          <t>097354183000</t>
        </is>
      </c>
      <c r="E162" t="inlineStr">
        <is>
          <t>Existing / operating (inferred)</t>
        </is>
      </c>
      <c r="F162" t="inlineStr">
        <is>
          <t>County lists as 'Existing or Permitted'; year built 2023, building permit 2021-06-21</t>
        </is>
      </c>
      <c r="G162" t="inlineStr">
        <is>
          <t>Existing or Permitted</t>
        </is>
      </c>
      <c r="H162" t="n">
        <v>2023</v>
      </c>
      <c r="I162" t="inlineStr">
        <is>
          <t>2021-06-21</t>
        </is>
      </c>
      <c r="K162" t="n">
        <v>38.914982</v>
      </c>
      <c r="L162" t="n">
        <v>-77.49095199999999</v>
      </c>
      <c r="M162" t="inlineStr">
        <is>
          <t>https://logis.loudoun.gov/gis/rest/services/Projects/BuildOut_LandUse/MapServer/0/130355?f=html</t>
        </is>
      </c>
    </row>
    <row r="163">
      <c r="A163" t="n">
        <v>409</v>
      </c>
      <c r="B163" t="n">
        <v>162</v>
      </c>
      <c r="C163" t="inlineStr">
        <is>
          <t>43774 CLUBBER LN</t>
        </is>
      </c>
      <c r="D163" t="inlineStr">
        <is>
          <t>097354183000</t>
        </is>
      </c>
      <c r="E163" t="inlineStr">
        <is>
          <t>Existing / operating (inferred)</t>
        </is>
      </c>
      <c r="F163" t="inlineStr">
        <is>
          <t>County lists as 'Existing or Permitted'; year built 2022, building permit 2021-05-12</t>
        </is>
      </c>
      <c r="G163" t="inlineStr">
        <is>
          <t>Existing or Permitted</t>
        </is>
      </c>
      <c r="H163" t="n">
        <v>2022</v>
      </c>
      <c r="I163" t="inlineStr">
        <is>
          <t>2021-05-12</t>
        </is>
      </c>
      <c r="K163" t="n">
        <v>38.915895</v>
      </c>
      <c r="L163" t="n">
        <v>-77.490542</v>
      </c>
      <c r="M163" t="inlineStr">
        <is>
          <t>https://logis.loudoun.gov/gis/rest/services/Projects/BuildOut_LandUse/MapServer/0/130356?f=html</t>
        </is>
      </c>
    </row>
    <row r="164">
      <c r="A164" t="n">
        <v>410</v>
      </c>
      <c r="B164" t="n">
        <v>163</v>
      </c>
      <c r="C164" t="inlineStr">
        <is>
          <t>21310 BEAUMEADE CIR</t>
        </is>
      </c>
      <c r="D164" t="inlineStr">
        <is>
          <t>061303369000</t>
        </is>
      </c>
      <c r="E164" t="inlineStr">
        <is>
          <t>Existing / operating (inferred)</t>
        </is>
      </c>
      <c r="F164" t="inlineStr">
        <is>
          <t>County lists as 'Existing or Permitted'; year built 2022, building permit 2021-04-19</t>
        </is>
      </c>
      <c r="G164" t="inlineStr">
        <is>
          <t>Existing or Permitted</t>
        </is>
      </c>
      <c r="H164" t="n">
        <v>2022</v>
      </c>
      <c r="I164" t="inlineStr">
        <is>
          <t>2021-04-19</t>
        </is>
      </c>
      <c r="K164" t="n">
        <v>39.015851</v>
      </c>
      <c r="L164" t="n">
        <v>-77.45314500000001</v>
      </c>
      <c r="M164" t="inlineStr">
        <is>
          <t>https://logis.loudoun.gov/gis/rest/services/Projects/BuildOut_LandUse/MapServer/0/130411?f=html</t>
        </is>
      </c>
    </row>
    <row r="165">
      <c r="A165" t="n">
        <v>411</v>
      </c>
      <c r="B165" t="n">
        <v>164</v>
      </c>
      <c r="C165" t="inlineStr">
        <is>
          <t>21320 BEAUMEADE CIR</t>
        </is>
      </c>
      <c r="D165" t="inlineStr">
        <is>
          <t>061407107000</t>
        </is>
      </c>
      <c r="E165" t="inlineStr">
        <is>
          <t>Existing / operating (inferred)</t>
        </is>
      </c>
      <c r="F165" t="inlineStr">
        <is>
          <t>County lists as 'Existing or Permitted'; year built 2022, building permit 2021-04-19</t>
        </is>
      </c>
      <c r="G165" t="inlineStr">
        <is>
          <t>Existing or Permitted</t>
        </is>
      </c>
      <c r="H165" t="n">
        <v>2022</v>
      </c>
      <c r="I165" t="inlineStr">
        <is>
          <t>2021-04-19</t>
        </is>
      </c>
      <c r="K165" t="n">
        <v>39.016767</v>
      </c>
      <c r="L165" t="n">
        <v>-77.452061</v>
      </c>
      <c r="M165" t="inlineStr">
        <is>
          <t>https://logis.loudoun.gov/gis/rest/services/Projects/BuildOut_LandUse/MapServer/0/130413?f=html</t>
        </is>
      </c>
    </row>
    <row r="166">
      <c r="A166" t="n">
        <v>412</v>
      </c>
      <c r="B166" t="n">
        <v>165</v>
      </c>
      <c r="C166" t="inlineStr">
        <is>
          <t>24550 HOWLING ROOSTER LN</t>
        </is>
      </c>
      <c r="D166" t="inlineStr">
        <is>
          <t>162176713000</t>
        </is>
      </c>
      <c r="E166" t="inlineStr">
        <is>
          <t>Existing / operating (inferred)</t>
        </is>
      </c>
      <c r="F166" t="inlineStr">
        <is>
          <t>County lists as 'Existing or Permitted'; year built 2022, building permit 2021-03-19</t>
        </is>
      </c>
      <c r="G166" t="inlineStr">
        <is>
          <t>Existing or Permitted</t>
        </is>
      </c>
      <c r="H166" t="n">
        <v>2022</v>
      </c>
      <c r="I166" t="inlineStr">
        <is>
          <t>2021-03-19</t>
        </is>
      </c>
      <c r="K166" t="n">
        <v>38.941767</v>
      </c>
      <c r="L166" t="n">
        <v>-77.527479</v>
      </c>
      <c r="M166" t="inlineStr">
        <is>
          <t>https://logis.loudoun.gov/gis/rest/services/Projects/BuildOut_LandUse/MapServer/0/130450?f=html</t>
        </is>
      </c>
    </row>
    <row r="167">
      <c r="A167" t="n">
        <v>413</v>
      </c>
      <c r="B167" t="n">
        <v>166</v>
      </c>
      <c r="C167" t="inlineStr">
        <is>
          <t>45070 VANTAGE DATA PLZ</t>
        </is>
      </c>
      <c r="D167" t="inlineStr">
        <is>
          <t>044381108000</t>
        </is>
      </c>
      <c r="E167" t="inlineStr">
        <is>
          <t>Existing / operating (inferred)</t>
        </is>
      </c>
      <c r="F167" t="inlineStr">
        <is>
          <t>County lists as 'Existing or Permitted'; year built 2022, building permit 2021-08-05</t>
        </is>
      </c>
      <c r="G167" t="inlineStr">
        <is>
          <t>Existing or Permitted</t>
        </is>
      </c>
      <c r="H167" t="n">
        <v>2022</v>
      </c>
      <c r="I167" t="inlineStr">
        <is>
          <t>2021-08-05</t>
        </is>
      </c>
      <c r="K167" t="n">
        <v>39.003281</v>
      </c>
      <c r="L167" t="n">
        <v>-77.44021100000001</v>
      </c>
      <c r="M167" t="inlineStr">
        <is>
          <t>https://logis.loudoun.gov/gis/rest/services/Projects/BuildOut_LandUse/MapServer/0/131107?f=html</t>
        </is>
      </c>
    </row>
    <row r="168">
      <c r="A168" t="n">
        <v>414</v>
      </c>
      <c r="B168" t="n">
        <v>167</v>
      </c>
      <c r="C168" t="inlineStr">
        <is>
          <t>42090 REEDS FARM LN</t>
        </is>
      </c>
      <c r="D168" t="inlineStr">
        <is>
          <t>203170856000</t>
        </is>
      </c>
      <c r="E168" t="inlineStr">
        <is>
          <t>Under construction / permitted, not complete (inferred)</t>
        </is>
      </c>
      <c r="F168" t="inlineStr">
        <is>
          <t>County lists as 'Existing or Permitted'; year built is placeholder 1000 and building permit issued 2025-05-06 (no completion recorded as of 2025-07-01)</t>
        </is>
      </c>
      <c r="G168" t="inlineStr">
        <is>
          <t>Existing or Permitted</t>
        </is>
      </c>
      <c r="I168" t="inlineStr">
        <is>
          <t>2025-05-06</t>
        </is>
      </c>
      <c r="K168" t="n">
        <v>38.94445</v>
      </c>
      <c r="L168" t="n">
        <v>-77.549358</v>
      </c>
      <c r="M168" t="inlineStr">
        <is>
          <t>https://logis.loudoun.gov/gis/rest/services/Projects/BuildOut_LandUse/MapServer/0/131267?f=html</t>
        </is>
      </c>
    </row>
    <row r="169">
      <c r="A169" t="n">
        <v>415</v>
      </c>
      <c r="B169" t="n">
        <v>168</v>
      </c>
      <c r="C169" t="inlineStr">
        <is>
          <t>45795 OPTICS PLZ</t>
        </is>
      </c>
      <c r="D169" t="inlineStr">
        <is>
          <t>034385918000</t>
        </is>
      </c>
      <c r="E169" t="inlineStr">
        <is>
          <t>Existing / operating (inferred)</t>
        </is>
      </c>
      <c r="F169" t="inlineStr">
        <is>
          <t>County lists as 'Existing or Permitted'; year built 2023, building permit 2022-03-31</t>
        </is>
      </c>
      <c r="G169" t="inlineStr">
        <is>
          <t>Existing or Permitted</t>
        </is>
      </c>
      <c r="H169" t="n">
        <v>2023</v>
      </c>
      <c r="I169" t="inlineStr">
        <is>
          <t>2022-03-31</t>
        </is>
      </c>
      <c r="K169" t="n">
        <v>38.979148</v>
      </c>
      <c r="L169" t="n">
        <v>-77.419935</v>
      </c>
      <c r="M169" t="inlineStr">
        <is>
          <t>https://logis.loudoun.gov/gis/rest/services/Projects/BuildOut_LandUse/MapServer/0/131271?f=html</t>
        </is>
      </c>
    </row>
    <row r="170">
      <c r="A170" t="n">
        <v>416</v>
      </c>
      <c r="B170" t="n">
        <v>169</v>
      </c>
      <c r="C170" t="inlineStr">
        <is>
          <t>45775 OPTICS PLZ</t>
        </is>
      </c>
      <c r="D170" t="inlineStr">
        <is>
          <t>034385918000</t>
        </is>
      </c>
      <c r="E170" t="inlineStr">
        <is>
          <t>Existing / operating (inferred)</t>
        </is>
      </c>
      <c r="F170" t="inlineStr">
        <is>
          <t>County lists as 'Existing or Permitted'; year built 2022, building permit 2021-06-07</t>
        </is>
      </c>
      <c r="G170" t="inlineStr">
        <is>
          <t>Existing or Permitted</t>
        </is>
      </c>
      <c r="H170" t="n">
        <v>2022</v>
      </c>
      <c r="I170" t="inlineStr">
        <is>
          <t>2021-06-07</t>
        </is>
      </c>
      <c r="K170" t="n">
        <v>38.979524</v>
      </c>
      <c r="L170" t="n">
        <v>-77.417491</v>
      </c>
      <c r="M170" t="inlineStr">
        <is>
          <t>https://logis.loudoun.gov/gis/rest/services/Projects/BuildOut_LandUse/MapServer/0/131272?f=html</t>
        </is>
      </c>
    </row>
    <row r="171">
      <c r="A171" t="n">
        <v>417</v>
      </c>
      <c r="B171" t="n">
        <v>170</v>
      </c>
      <c r="C171" t="inlineStr">
        <is>
          <t>22285 LOCKRIDGE RD</t>
        </is>
      </c>
      <c r="D171" t="inlineStr">
        <is>
          <t>062275493000</t>
        </is>
      </c>
      <c r="E171" t="inlineStr">
        <is>
          <t>Under construction / permitted, not complete (inferred)</t>
        </is>
      </c>
      <c r="F171" t="inlineStr">
        <is>
          <t>County lists as 'Existing or Permitted'; year built is placeholder 1000 and building permit issued 2023-07-19 (no completion recorded as of 2025-07-01)</t>
        </is>
      </c>
      <c r="G171" t="inlineStr">
        <is>
          <t>Existing or Permitted</t>
        </is>
      </c>
      <c r="I171" t="inlineStr">
        <is>
          <t>2023-07-19</t>
        </is>
      </c>
      <c r="K171" t="n">
        <v>39.000422</v>
      </c>
      <c r="L171" t="n">
        <v>-77.460733</v>
      </c>
      <c r="M171" t="inlineStr">
        <is>
          <t>https://logis.loudoun.gov/gis/rest/services/Projects/BuildOut_LandUse/MapServer/0/131703?f=html</t>
        </is>
      </c>
    </row>
    <row r="172">
      <c r="A172" t="n">
        <v>418</v>
      </c>
      <c r="B172" t="n">
        <v>171</v>
      </c>
      <c r="C172" t="inlineStr">
        <is>
          <t>22275 LOCKRIDGE RD</t>
        </is>
      </c>
      <c r="D172" t="inlineStr">
        <is>
          <t>062275493000</t>
        </is>
      </c>
      <c r="E172" t="inlineStr">
        <is>
          <t>Under construction / permitted, not complete (inferred)</t>
        </is>
      </c>
      <c r="F172" t="inlineStr">
        <is>
          <t>County lists as 'Existing or Permitted'; year built is placeholder 1000 and building permit issued 2023-07-09 (no completion recorded as of 2025-07-01)</t>
        </is>
      </c>
      <c r="G172" t="inlineStr">
        <is>
          <t>Existing or Permitted</t>
        </is>
      </c>
      <c r="I172" t="inlineStr">
        <is>
          <t>2023-07-09</t>
        </is>
      </c>
      <c r="K172" t="n">
        <v>38.99912</v>
      </c>
      <c r="L172" t="n">
        <v>-77.460796</v>
      </c>
      <c r="M172" t="inlineStr">
        <is>
          <t>https://logis.loudoun.gov/gis/rest/services/Projects/BuildOut_LandUse/MapServer/0/131704?f=html</t>
        </is>
      </c>
    </row>
    <row r="173">
      <c r="A173" t="n">
        <v>419</v>
      </c>
      <c r="B173" t="n">
        <v>172</v>
      </c>
      <c r="C173" t="inlineStr">
        <is>
          <t>43714 EFFICIENCY DR</t>
        </is>
      </c>
      <c r="D173" t="inlineStr">
        <is>
          <t>093365404000</t>
        </is>
      </c>
      <c r="E173" t="inlineStr">
        <is>
          <t>Under construction / permitted, not complete (inferred)</t>
        </is>
      </c>
      <c r="F173" t="inlineStr">
        <is>
          <t>County lists as 'Existing or Permitted'; year built is placeholder 1000 and building permit issued 2024-03-20 (no completion recorded as of 2025-07-01)</t>
        </is>
      </c>
      <c r="G173" t="inlineStr">
        <is>
          <t>Existing or Permitted</t>
        </is>
      </c>
      <c r="I173" t="inlineStr">
        <is>
          <t>2024-03-20</t>
        </is>
      </c>
      <c r="K173" t="n">
        <v>38.962538</v>
      </c>
      <c r="L173" t="n">
        <v>-77.490038</v>
      </c>
      <c r="M173" t="inlineStr">
        <is>
          <t>https://logis.loudoun.gov/gis/rest/services/Projects/BuildOut_LandUse/MapServer/0/131776?f=html</t>
        </is>
      </c>
    </row>
    <row r="174">
      <c r="A174" t="n">
        <v>420</v>
      </c>
      <c r="B174" t="n">
        <v>173</v>
      </c>
      <c r="C174" t="inlineStr">
        <is>
          <t>43704 EFFICIENCY DR</t>
        </is>
      </c>
      <c r="D174" t="inlineStr">
        <is>
          <t>093365404000</t>
        </is>
      </c>
      <c r="E174" t="inlineStr">
        <is>
          <t>Existing / operating (inferred)</t>
        </is>
      </c>
      <c r="F174" t="inlineStr">
        <is>
          <t>County lists as 'Existing or Permitted'; year built 2023, building permit 2022-04-26</t>
        </is>
      </c>
      <c r="G174" t="inlineStr">
        <is>
          <t>Existing or Permitted</t>
        </is>
      </c>
      <c r="H174" t="n">
        <v>2023</v>
      </c>
      <c r="I174" t="inlineStr">
        <is>
          <t>2022-04-26</t>
        </is>
      </c>
      <c r="K174" t="n">
        <v>38.960853</v>
      </c>
      <c r="L174" t="n">
        <v>-77.491484</v>
      </c>
      <c r="M174" t="inlineStr">
        <is>
          <t>https://logis.loudoun.gov/gis/rest/services/Projects/BuildOut_LandUse/MapServer/0/131777?f=html</t>
        </is>
      </c>
    </row>
    <row r="175">
      <c r="A175" t="n">
        <v>421</v>
      </c>
      <c r="B175" t="n">
        <v>174</v>
      </c>
      <c r="C175" t="inlineStr">
        <is>
          <t>41730 INCLUSION LN</t>
        </is>
      </c>
      <c r="D175" t="inlineStr">
        <is>
          <t>235297431000</t>
        </is>
      </c>
      <c r="E175" t="inlineStr">
        <is>
          <t>Existing / operating (inferred)</t>
        </is>
      </c>
      <c r="F175" t="inlineStr">
        <is>
          <t>County lists as 'Existing or Permitted'; year built 2024, building permit 2021-10-13</t>
        </is>
      </c>
      <c r="G175" t="inlineStr">
        <is>
          <t>Existing or Permitted</t>
        </is>
      </c>
      <c r="H175" t="n">
        <v>2024</v>
      </c>
      <c r="I175" t="inlineStr">
        <is>
          <t>2021-10-13</t>
        </is>
      </c>
      <c r="K175" t="n">
        <v>39.069607</v>
      </c>
      <c r="L175" t="n">
        <v>-77.560766</v>
      </c>
      <c r="M175" t="inlineStr">
        <is>
          <t>https://logis.loudoun.gov/gis/rest/services/Projects/BuildOut_LandUse/MapServer/0/131780?f=html</t>
        </is>
      </c>
    </row>
    <row r="176">
      <c r="A176" t="n">
        <v>422</v>
      </c>
      <c r="B176" t="n">
        <v>175</v>
      </c>
      <c r="C176" t="inlineStr">
        <is>
          <t>41720 INCLUSION LN</t>
        </is>
      </c>
      <c r="D176" t="inlineStr">
        <is>
          <t>235297431000</t>
        </is>
      </c>
      <c r="E176" t="inlineStr">
        <is>
          <t>Existing / operating (inferred)</t>
        </is>
      </c>
      <c r="F176" t="inlineStr">
        <is>
          <t>County lists as 'Existing or Permitted'; year built 2023, building permit 2022-03-17</t>
        </is>
      </c>
      <c r="G176" t="inlineStr">
        <is>
          <t>Existing or Permitted</t>
        </is>
      </c>
      <c r="H176" t="n">
        <v>2023</v>
      </c>
      <c r="I176" t="inlineStr">
        <is>
          <t>2022-03-17</t>
        </is>
      </c>
      <c r="K176" t="n">
        <v>39.069618</v>
      </c>
      <c r="L176" t="n">
        <v>-77.55943499999999</v>
      </c>
      <c r="M176" t="inlineStr">
        <is>
          <t>https://logis.loudoun.gov/gis/rest/services/Projects/BuildOut_LandUse/MapServer/0/131781?f=html</t>
        </is>
      </c>
    </row>
    <row r="177">
      <c r="A177" t="n">
        <v>423</v>
      </c>
      <c r="B177" t="n">
        <v>176</v>
      </c>
      <c r="C177" t="inlineStr">
        <is>
          <t>41840 GROWTH MINDSET LN</t>
        </is>
      </c>
      <c r="D177" t="inlineStr">
        <is>
          <t>203354208000</t>
        </is>
      </c>
      <c r="E177" t="inlineStr">
        <is>
          <t>Existing / operating (inferred)</t>
        </is>
      </c>
      <c r="F177" t="inlineStr">
        <is>
          <t>County lists as 'Existing or Permitted'; year built 2024, building permit 2021-10-12</t>
        </is>
      </c>
      <c r="G177" t="inlineStr">
        <is>
          <t>Existing or Permitted</t>
        </is>
      </c>
      <c r="H177" t="n">
        <v>2024</v>
      </c>
      <c r="I177" t="inlineStr">
        <is>
          <t>2021-10-12</t>
        </is>
      </c>
      <c r="K177" t="n">
        <v>38.948365</v>
      </c>
      <c r="L177" t="n">
        <v>-77.555888</v>
      </c>
      <c r="M177" t="inlineStr">
        <is>
          <t>https://logis.loudoun.gov/gis/rest/services/Projects/BuildOut_LandUse/MapServer/0/132053?f=html</t>
        </is>
      </c>
    </row>
    <row r="178">
      <c r="A178" t="n">
        <v>424</v>
      </c>
      <c r="B178" t="n">
        <v>177</v>
      </c>
      <c r="C178" t="inlineStr">
        <is>
          <t>44631 WAXPOOL RD</t>
        </is>
      </c>
      <c r="D178" t="inlineStr">
        <is>
          <t>061285496000</t>
        </is>
      </c>
      <c r="E178" t="inlineStr">
        <is>
          <t>Existing / operating (inferred)</t>
        </is>
      </c>
      <c r="F178" t="inlineStr">
        <is>
          <t>County lists as 'Existing or Permitted'; year built 2025, building permit 2022-06-29</t>
        </is>
      </c>
      <c r="G178" t="inlineStr">
        <is>
          <t>Existing or Permitted</t>
        </is>
      </c>
      <c r="H178" t="n">
        <v>2025</v>
      </c>
      <c r="I178" t="inlineStr">
        <is>
          <t>2022-06-29</t>
        </is>
      </c>
      <c r="K178" t="n">
        <v>39.011217</v>
      </c>
      <c r="L178" t="n">
        <v>-77.46029900000001</v>
      </c>
      <c r="M178" t="inlineStr">
        <is>
          <t>https://logis.loudoun.gov/gis/rest/services/Projects/BuildOut_LandUse/MapServer/0/132068?f=html</t>
        </is>
      </c>
    </row>
    <row r="179">
      <c r="A179" t="n">
        <v>425</v>
      </c>
      <c r="B179" t="n">
        <v>178</v>
      </c>
      <c r="C179" t="inlineStr">
        <is>
          <t>21529 BEAUMEADE CIR</t>
        </is>
      </c>
      <c r="D179" t="inlineStr">
        <is>
          <t>042152579000</t>
        </is>
      </c>
      <c r="E179" t="inlineStr">
        <is>
          <t>Existing / operating (inferred)</t>
        </is>
      </c>
      <c r="F179" t="inlineStr">
        <is>
          <t>County lists as 'Existing or Permitted'; year built 2023, building permit 2022-08-31</t>
        </is>
      </c>
      <c r="G179" t="inlineStr">
        <is>
          <t>Existing or Permitted</t>
        </is>
      </c>
      <c r="H179" t="n">
        <v>2023</v>
      </c>
      <c r="I179" t="inlineStr">
        <is>
          <t>2022-08-31</t>
        </is>
      </c>
      <c r="K179" t="n">
        <v>39.019569</v>
      </c>
      <c r="L179" t="n">
        <v>-77.450451</v>
      </c>
      <c r="M179" t="inlineStr">
        <is>
          <t>https://logis.loudoun.gov/gis/rest/services/Projects/BuildOut_LandUse/MapServer/0/132228?f=html</t>
        </is>
      </c>
    </row>
    <row r="180">
      <c r="A180" t="n">
        <v>426</v>
      </c>
      <c r="B180" t="n">
        <v>179</v>
      </c>
      <c r="C180" t="inlineStr">
        <is>
          <t>43294 OLD OX RD</t>
        </is>
      </c>
      <c r="D180" t="inlineStr">
        <is>
          <t>124369522000</t>
        </is>
      </c>
      <c r="E180" t="inlineStr">
        <is>
          <t>Existing / operating (inferred)</t>
        </is>
      </c>
      <c r="F180" t="inlineStr">
        <is>
          <t>County lists as 'Existing or Permitted'; year built 2022, building permit 2021-12-27</t>
        </is>
      </c>
      <c r="G180" t="inlineStr">
        <is>
          <t>Existing or Permitted</t>
        </is>
      </c>
      <c r="H180" t="n">
        <v>2022</v>
      </c>
      <c r="I180" t="inlineStr">
        <is>
          <t>2021-12-27</t>
        </is>
      </c>
      <c r="K180" t="n">
        <v>38.958857</v>
      </c>
      <c r="L180" t="n">
        <v>-77.50619399999999</v>
      </c>
      <c r="M180" t="inlineStr">
        <is>
          <t>https://logis.loudoun.gov/gis/rest/services/Projects/BuildOut_LandUse/MapServer/0/132230?f=html</t>
        </is>
      </c>
    </row>
    <row r="181">
      <c r="A181" t="n">
        <v>427</v>
      </c>
      <c r="B181" t="n">
        <v>180</v>
      </c>
      <c r="C181" t="inlineStr">
        <is>
          <t>45130 VANTAGE DATA PLZ</t>
        </is>
      </c>
      <c r="D181" t="inlineStr">
        <is>
          <t>044381108000</t>
        </is>
      </c>
      <c r="E181" t="inlineStr">
        <is>
          <t>Existing / operating (inferred)</t>
        </is>
      </c>
      <c r="F181" t="inlineStr">
        <is>
          <t>County lists as 'Existing or Permitted'; year built 2024, building permit 2022-04-11</t>
        </is>
      </c>
      <c r="G181" t="inlineStr">
        <is>
          <t>Existing or Permitted</t>
        </is>
      </c>
      <c r="H181" t="n">
        <v>2024</v>
      </c>
      <c r="I181" t="inlineStr">
        <is>
          <t>2022-04-11</t>
        </is>
      </c>
      <c r="K181" t="n">
        <v>39.002965</v>
      </c>
      <c r="L181" t="n">
        <v>-77.439414</v>
      </c>
      <c r="M181" t="inlineStr">
        <is>
          <t>https://logis.loudoun.gov/gis/rest/services/Projects/BuildOut_LandUse/MapServer/0/132270?f=html</t>
        </is>
      </c>
    </row>
    <row r="182">
      <c r="A182" t="n">
        <v>428</v>
      </c>
      <c r="B182" t="n">
        <v>181</v>
      </c>
      <c r="C182" t="inlineStr">
        <is>
          <t>21630 RED RUM DR</t>
        </is>
      </c>
      <c r="D182" t="inlineStr">
        <is>
          <t>088481748000</t>
        </is>
      </c>
      <c r="E182" t="inlineStr">
        <is>
          <t>Existing / operating (inferred)</t>
        </is>
      </c>
      <c r="F182" t="inlineStr">
        <is>
          <t>County lists as 'Existing or Permitted'; year built 2023, building permit 2022-01-20</t>
        </is>
      </c>
      <c r="G182" t="inlineStr">
        <is>
          <t>Existing or Permitted</t>
        </is>
      </c>
      <c r="H182" t="n">
        <v>2023</v>
      </c>
      <c r="I182" t="inlineStr">
        <is>
          <t>2022-01-20</t>
        </is>
      </c>
      <c r="K182" t="n">
        <v>39.017873</v>
      </c>
      <c r="L182" t="n">
        <v>-77.48182</v>
      </c>
      <c r="M182" t="inlineStr">
        <is>
          <t>https://logis.loudoun.gov/gis/rest/services/Projects/BuildOut_LandUse/MapServer/0/132375?f=html</t>
        </is>
      </c>
    </row>
    <row r="183">
      <c r="A183" t="n">
        <v>429</v>
      </c>
      <c r="B183" t="n">
        <v>182</v>
      </c>
      <c r="C183" t="inlineStr">
        <is>
          <t>44675 QUALITY TECH LN</t>
        </is>
      </c>
      <c r="D183" t="inlineStr">
        <is>
          <t>063498140000</t>
        </is>
      </c>
      <c r="E183" t="inlineStr">
        <is>
          <t>Existing / operating (inferred)</t>
        </is>
      </c>
      <c r="F183" t="inlineStr">
        <is>
          <t>County lists as 'Existing or Permitted'; year built 2023, building permit 2022-03-09</t>
        </is>
      </c>
      <c r="G183" t="inlineStr">
        <is>
          <t>Existing or Permitted</t>
        </is>
      </c>
      <c r="H183" t="n">
        <v>2023</v>
      </c>
      <c r="I183" t="inlineStr">
        <is>
          <t>2022-03-09</t>
        </is>
      </c>
      <c r="K183" t="n">
        <v>38.995362</v>
      </c>
      <c r="L183" t="n">
        <v>-77.455152</v>
      </c>
      <c r="M183" t="inlineStr">
        <is>
          <t>https://logis.loudoun.gov/gis/rest/services/Projects/BuildOut_LandUse/MapServer/0/133021?f=html</t>
        </is>
      </c>
    </row>
    <row r="184">
      <c r="A184" t="n">
        <v>430</v>
      </c>
      <c r="B184" t="n">
        <v>183</v>
      </c>
      <c r="C184" t="inlineStr">
        <is>
          <t>44655 QUALITY TECH LN</t>
        </is>
      </c>
      <c r="D184" t="inlineStr">
        <is>
          <t>063494014000</t>
        </is>
      </c>
      <c r="E184" t="inlineStr">
        <is>
          <t>Existing / operating (inferred)</t>
        </is>
      </c>
      <c r="F184" t="inlineStr">
        <is>
          <t>County lists as 'Existing or Permitted'; year built 2025, building permit 2022-05-19</t>
        </is>
      </c>
      <c r="G184" t="inlineStr">
        <is>
          <t>Existing or Permitted</t>
        </is>
      </c>
      <c r="H184" t="n">
        <v>2025</v>
      </c>
      <c r="I184" t="inlineStr">
        <is>
          <t>2022-05-19</t>
        </is>
      </c>
      <c r="K184" t="n">
        <v>38.995221</v>
      </c>
      <c r="L184" t="n">
        <v>-77.45683</v>
      </c>
      <c r="M184" t="inlineStr">
        <is>
          <t>https://logis.loudoun.gov/gis/rest/services/Projects/BuildOut_LandUse/MapServer/0/133022?f=html</t>
        </is>
      </c>
    </row>
    <row r="185">
      <c r="A185" t="n">
        <v>431</v>
      </c>
      <c r="B185" t="n">
        <v>184</v>
      </c>
      <c r="C185" t="inlineStr">
        <is>
          <t>22280 RANDOLPH DR</t>
        </is>
      </c>
      <c r="D185" t="inlineStr">
        <is>
          <t>044155625000</t>
        </is>
      </c>
      <c r="E185" t="inlineStr">
        <is>
          <t>Under construction / permitted, not complete (inferred)</t>
        </is>
      </c>
      <c r="F185" t="inlineStr">
        <is>
          <t>County lists as 'Existing or Permitted'; year built is placeholder 1000 and building permit issued 2025-01-15 (no completion recorded as of 2025-07-01)</t>
        </is>
      </c>
      <c r="G185" t="inlineStr">
        <is>
          <t>Existing or Permitted</t>
        </is>
      </c>
      <c r="I185" t="inlineStr">
        <is>
          <t>2025-01-15</t>
        </is>
      </c>
      <c r="K185" t="n">
        <v>38.998248</v>
      </c>
      <c r="L185" t="n">
        <v>-77.449128</v>
      </c>
      <c r="M185" t="inlineStr">
        <is>
          <t>https://logis.loudoun.gov/gis/rest/services/Projects/BuildOut_LandUse/MapServer/0/133327?f=html</t>
        </is>
      </c>
    </row>
    <row r="186">
      <c r="A186" t="n">
        <v>432</v>
      </c>
      <c r="B186" t="n">
        <v>185</v>
      </c>
      <c r="C186" t="inlineStr">
        <is>
          <t>22574 PACIFIC BLVD</t>
        </is>
      </c>
      <c r="D186" t="inlineStr">
        <is>
          <t>045299249000</t>
        </is>
      </c>
      <c r="E186" t="inlineStr">
        <is>
          <t>Existing / operating (inferred)</t>
        </is>
      </c>
      <c r="F186" t="inlineStr">
        <is>
          <t>County lists as 'Existing or Permitted'; year built 2023, building permit 2022-06-07</t>
        </is>
      </c>
      <c r="G186" t="inlineStr">
        <is>
          <t>Existing or Permitted</t>
        </is>
      </c>
      <c r="H186" t="n">
        <v>2023</v>
      </c>
      <c r="I186" t="inlineStr">
        <is>
          <t>2022-06-07</t>
        </is>
      </c>
      <c r="K186" t="n">
        <v>38.989561</v>
      </c>
      <c r="L186" t="n">
        <v>-77.43480099999999</v>
      </c>
      <c r="M186" t="inlineStr">
        <is>
          <t>https://logis.loudoun.gov/gis/rest/services/Projects/BuildOut_LandUse/MapServer/0/133498?f=html</t>
        </is>
      </c>
    </row>
    <row r="187">
      <c r="A187" t="n">
        <v>433</v>
      </c>
      <c r="B187" t="n">
        <v>186</v>
      </c>
      <c r="C187" t="inlineStr">
        <is>
          <t>22855 PLATFORM PLZ</t>
        </is>
      </c>
      <c r="D187" t="inlineStr">
        <is>
          <t>034385918000</t>
        </is>
      </c>
      <c r="E187" t="inlineStr">
        <is>
          <t>Existing / operating (inferred)</t>
        </is>
      </c>
      <c r="F187" t="inlineStr">
        <is>
          <t>County lists as 'Existing or Permitted'; year built 2023, building permit 2022-05-09</t>
        </is>
      </c>
      <c r="G187" t="inlineStr">
        <is>
          <t>Existing or Permitted</t>
        </is>
      </c>
      <c r="H187" t="n">
        <v>2023</v>
      </c>
      <c r="I187" t="inlineStr">
        <is>
          <t>2022-05-09</t>
        </is>
      </c>
      <c r="K187" t="n">
        <v>38.983518</v>
      </c>
      <c r="L187" t="n">
        <v>-77.41753300000001</v>
      </c>
      <c r="M187" t="inlineStr">
        <is>
          <t>https://logis.loudoun.gov/gis/rest/services/Projects/BuildOut_LandUse/MapServer/0/133510?f=html</t>
        </is>
      </c>
    </row>
    <row r="188">
      <c r="A188" t="n">
        <v>434</v>
      </c>
      <c r="B188" t="n">
        <v>187</v>
      </c>
      <c r="C188" t="inlineStr">
        <is>
          <t>22210 LOUDOUN COUNTY PKWY</t>
        </is>
      </c>
      <c r="D188" t="inlineStr">
        <is>
          <t>089208954000</t>
        </is>
      </c>
      <c r="E188" t="inlineStr">
        <is>
          <t>Under construction / permitted, not complete (inferred)</t>
        </is>
      </c>
      <c r="F188" t="inlineStr">
        <is>
          <t>County lists as 'Existing or Permitted'; year built is placeholder 1000 and building permit issued 2022-08-25 (no completion recorded as of 2025-07-01)</t>
        </is>
      </c>
      <c r="G188" t="inlineStr">
        <is>
          <t>Existing or Permitted</t>
        </is>
      </c>
      <c r="I188" t="inlineStr">
        <is>
          <t>2022-08-25</t>
        </is>
      </c>
      <c r="K188" t="n">
        <v>39.002288</v>
      </c>
      <c r="L188" t="n">
        <v>-77.472093</v>
      </c>
      <c r="M188" t="inlineStr">
        <is>
          <t>https://logis.loudoun.gov/gis/rest/services/Projects/BuildOut_LandUse/MapServer/0/133523?f=html</t>
        </is>
      </c>
    </row>
    <row r="189">
      <c r="A189" t="n">
        <v>435</v>
      </c>
      <c r="B189" t="n">
        <v>188</v>
      </c>
      <c r="C189" t="inlineStr">
        <is>
          <t>24171 YOUNGWOOD LN</t>
        </is>
      </c>
      <c r="D189" t="inlineStr">
        <is>
          <t>203371445000</t>
        </is>
      </c>
      <c r="E189" t="inlineStr">
        <is>
          <t>Existing / operating (inferred)</t>
        </is>
      </c>
      <c r="F189" t="inlineStr">
        <is>
          <t>County lists as 'Existing or Permitted'; year built 2024, building permit 2023-10-17</t>
        </is>
      </c>
      <c r="G189" t="inlineStr">
        <is>
          <t>Existing or Permitted</t>
        </is>
      </c>
      <c r="H189" t="n">
        <v>2024</v>
      </c>
      <c r="I189" t="inlineStr">
        <is>
          <t>2023-10-17</t>
        </is>
      </c>
      <c r="K189" t="n">
        <v>38.94983</v>
      </c>
      <c r="L189" t="n">
        <v>-77.549532</v>
      </c>
      <c r="M189" t="inlineStr">
        <is>
          <t>https://logis.loudoun.gov/gis/rest/services/Projects/BuildOut_LandUse/MapServer/0/133683?f=html</t>
        </is>
      </c>
    </row>
    <row r="190">
      <c r="A190" t="n">
        <v>436</v>
      </c>
      <c r="B190" t="n">
        <v>189</v>
      </c>
      <c r="C190" t="inlineStr">
        <is>
          <t>43920 LONE CEDAR LN</t>
        </is>
      </c>
      <c r="D190" t="inlineStr">
        <is>
          <t>096183926000</t>
        </is>
      </c>
      <c r="E190" t="inlineStr">
        <is>
          <t>Under construction / permitted, not complete (inferred)</t>
        </is>
      </c>
      <c r="F190" t="inlineStr">
        <is>
          <t>County lists as 'Existing or Permitted'; year built is placeholder 1000 and building permit issued 2022-08-15 (no completion recorded as of 2025-07-01)</t>
        </is>
      </c>
      <c r="G190" t="inlineStr">
        <is>
          <t>Existing or Permitted</t>
        </is>
      </c>
      <c r="I190" t="inlineStr">
        <is>
          <t>2022-08-15</t>
        </is>
      </c>
      <c r="K190" t="n">
        <v>38.921281</v>
      </c>
      <c r="L190" t="n">
        <v>-77.485814</v>
      </c>
      <c r="M190" t="inlineStr">
        <is>
          <t>https://logis.loudoun.gov/gis/rest/services/Projects/BuildOut_LandUse/MapServer/0/134089?f=html</t>
        </is>
      </c>
    </row>
    <row r="191">
      <c r="A191" t="n">
        <v>437</v>
      </c>
      <c r="B191" t="n">
        <v>190</v>
      </c>
      <c r="C191" t="inlineStr">
        <is>
          <t>22760 PACIFIC BLVD</t>
        </is>
      </c>
      <c r="D191" t="inlineStr">
        <is>
          <t>045195615000</t>
        </is>
      </c>
      <c r="E191" t="inlineStr">
        <is>
          <t>Existing / operating (inferred)</t>
        </is>
      </c>
      <c r="F191" t="inlineStr">
        <is>
          <t>County lists as 'Existing or Permitted'; year built 2024, building permit 2023-03-20</t>
        </is>
      </c>
      <c r="G191" t="inlineStr">
        <is>
          <t>Existing or Permitted</t>
        </is>
      </c>
      <c r="H191" t="n">
        <v>2024</v>
      </c>
      <c r="I191" t="inlineStr">
        <is>
          <t>2023-03-20</t>
        </is>
      </c>
      <c r="K191" t="n">
        <v>38.98655</v>
      </c>
      <c r="L191" t="n">
        <v>-77.435192</v>
      </c>
      <c r="M191" t="inlineStr">
        <is>
          <t>https://logis.loudoun.gov/gis/rest/services/Projects/BuildOut_LandUse/MapServer/0/134091?f=html</t>
        </is>
      </c>
    </row>
    <row r="192">
      <c r="A192" t="n">
        <v>438</v>
      </c>
      <c r="B192" t="n">
        <v>191</v>
      </c>
      <c r="C192" t="inlineStr">
        <is>
          <t>22715 RELOCATION DR</t>
        </is>
      </c>
      <c r="D192" t="inlineStr">
        <is>
          <t>045279612000</t>
        </is>
      </c>
      <c r="E192" t="inlineStr">
        <is>
          <t>Existing / operating (inferred)</t>
        </is>
      </c>
      <c r="F192" t="inlineStr">
        <is>
          <t>County lists as 'Existing or Permitted'; year built 2024, building permit 2022-10-13</t>
        </is>
      </c>
      <c r="G192" t="inlineStr">
        <is>
          <t>Existing or Permitted</t>
        </is>
      </c>
      <c r="H192" t="n">
        <v>2024</v>
      </c>
      <c r="I192" t="inlineStr">
        <is>
          <t>2022-10-13</t>
        </is>
      </c>
      <c r="K192" t="n">
        <v>38.98849</v>
      </c>
      <c r="L192" t="n">
        <v>-77.440856</v>
      </c>
      <c r="M192" t="inlineStr">
        <is>
          <t>https://logis.loudoun.gov/gis/rest/services/Projects/BuildOut_LandUse/MapServer/0/134171?f=html</t>
        </is>
      </c>
    </row>
    <row r="193">
      <c r="A193" t="n">
        <v>439</v>
      </c>
      <c r="B193" t="n">
        <v>192</v>
      </c>
      <c r="C193" t="inlineStr">
        <is>
          <t>(no address; PIN only)</t>
        </is>
      </c>
      <c r="D193" t="inlineStr">
        <is>
          <t>193367800000</t>
        </is>
      </c>
      <c r="E193" t="inlineStr">
        <is>
          <t>Existing / operating (inferred)</t>
        </is>
      </c>
      <c r="F193" t="inlineStr">
        <is>
          <t>County lists as 'Existing or Permitted'; year built 2024, building permit 2023-01-31</t>
        </is>
      </c>
      <c r="G193" t="inlineStr">
        <is>
          <t>Existing or Permitted</t>
        </is>
      </c>
      <c r="H193" t="n">
        <v>2024</v>
      </c>
      <c r="I193" t="inlineStr">
        <is>
          <t>2023-01-31</t>
        </is>
      </c>
      <c r="K193" t="n">
        <v>39.058417</v>
      </c>
      <c r="L193" t="n">
        <v>-77.549756</v>
      </c>
      <c r="M193" t="inlineStr">
        <is>
          <t>https://logis.loudoun.gov/gis/rest/services/Projects/BuildOut_LandUse/MapServer/0/134209?f=html</t>
        </is>
      </c>
    </row>
    <row r="194">
      <c r="A194" t="n">
        <v>440</v>
      </c>
      <c r="B194" t="n">
        <v>193</v>
      </c>
      <c r="C194" t="inlineStr">
        <is>
          <t>22588 RELOCATION DR</t>
        </is>
      </c>
      <c r="D194" t="inlineStr">
        <is>
          <t>045399350000</t>
        </is>
      </c>
      <c r="E194" t="inlineStr">
        <is>
          <t>Existing / operating (inferred)</t>
        </is>
      </c>
      <c r="F194" t="inlineStr">
        <is>
          <t>County lists as 'Existing or Permitted'; year built 2024, building permit 2023-03-10</t>
        </is>
      </c>
      <c r="G194" t="inlineStr">
        <is>
          <t>Existing or Permitted</t>
        </is>
      </c>
      <c r="H194" t="n">
        <v>2024</v>
      </c>
      <c r="I194" t="inlineStr">
        <is>
          <t>2023-03-10</t>
        </is>
      </c>
      <c r="K194" t="n">
        <v>38.992341</v>
      </c>
      <c r="L194" t="n">
        <v>-77.433888</v>
      </c>
      <c r="M194" t="inlineStr">
        <is>
          <t>https://logis.loudoun.gov/gis/rest/services/Projects/BuildOut_LandUse/MapServer/0/134470?f=html</t>
        </is>
      </c>
    </row>
    <row r="195">
      <c r="A195" t="n">
        <v>441</v>
      </c>
      <c r="B195" t="n">
        <v>194</v>
      </c>
      <c r="C195" t="inlineStr">
        <is>
          <t>22435 GLENN DR</t>
        </is>
      </c>
      <c r="D195" t="inlineStr">
        <is>
          <t>032155119000</t>
        </is>
      </c>
      <c r="E195" t="inlineStr">
        <is>
          <t>Existing / operating (inferred)</t>
        </is>
      </c>
      <c r="F195" t="inlineStr">
        <is>
          <t>County lists as 'Existing or Permitted'; year built 2024, building permit 2023-04-11</t>
        </is>
      </c>
      <c r="G195" t="inlineStr">
        <is>
          <t>Existing or Permitted</t>
        </is>
      </c>
      <c r="H195" t="n">
        <v>2024</v>
      </c>
      <c r="I195" t="inlineStr">
        <is>
          <t>2023-04-11</t>
        </is>
      </c>
      <c r="K195" t="n">
        <v>38.997535</v>
      </c>
      <c r="L195" t="n">
        <v>-77.430385</v>
      </c>
      <c r="M195" t="inlineStr">
        <is>
          <t>https://logis.loudoun.gov/gis/rest/services/Projects/BuildOut_LandUse/MapServer/0/134542?f=html</t>
        </is>
      </c>
    </row>
    <row r="196">
      <c r="A196" t="n">
        <v>442</v>
      </c>
      <c r="B196" t="n">
        <v>195</v>
      </c>
      <c r="C196" t="inlineStr">
        <is>
          <t>43975 LIGHT SPEED PLZ</t>
        </is>
      </c>
      <c r="D196" t="inlineStr">
        <is>
          <t>122207249000</t>
        </is>
      </c>
      <c r="E196" t="inlineStr">
        <is>
          <t>Existing / operating (inferred)</t>
        </is>
      </c>
      <c r="F196" t="inlineStr">
        <is>
          <t>County lists as 'Existing or Permitted'; year built 2024, building permit 2024-11-15</t>
        </is>
      </c>
      <c r="G196" t="inlineStr">
        <is>
          <t>Existing or Permitted</t>
        </is>
      </c>
      <c r="H196" t="n">
        <v>2024</v>
      </c>
      <c r="I196" t="inlineStr">
        <is>
          <t>2024-11-15</t>
        </is>
      </c>
      <c r="K196" t="n">
        <v>38.981106</v>
      </c>
      <c r="L196" t="n">
        <v>-77.49422199999999</v>
      </c>
      <c r="M196" t="inlineStr">
        <is>
          <t>https://logis.loudoun.gov/gis/rest/services/Projects/BuildOut_LandUse/MapServer/0/134552?f=html</t>
        </is>
      </c>
    </row>
    <row r="197">
      <c r="A197" t="n">
        <v>443</v>
      </c>
      <c r="B197" t="n">
        <v>196</v>
      </c>
      <c r="C197" t="inlineStr">
        <is>
          <t>41679 INCLUSION LN</t>
        </is>
      </c>
      <c r="D197" t="inlineStr">
        <is>
          <t>235297431000</t>
        </is>
      </c>
      <c r="E197" t="inlineStr">
        <is>
          <t>Under construction / permitted, not complete (inferred)</t>
        </is>
      </c>
      <c r="F197" t="inlineStr">
        <is>
          <t>County lists as 'Existing or Permitted'; year built is placeholder 1000 and building permit issued 2023-09-14 (no completion recorded as of 2025-07-01)</t>
        </is>
      </c>
      <c r="G197" t="inlineStr">
        <is>
          <t>Existing or Permitted</t>
        </is>
      </c>
      <c r="I197" t="inlineStr">
        <is>
          <t>2023-09-14</t>
        </is>
      </c>
      <c r="K197" t="n">
        <v>39.066015</v>
      </c>
      <c r="L197" t="n">
        <v>-77.55854600000001</v>
      </c>
      <c r="M197" t="inlineStr">
        <is>
          <t>https://logis.loudoun.gov/gis/rest/services/Projects/BuildOut_LandUse/MapServer/0/135817?f=html</t>
        </is>
      </c>
    </row>
    <row r="198">
      <c r="A198" t="n">
        <v>444</v>
      </c>
      <c r="B198" t="n">
        <v>197</v>
      </c>
      <c r="C198" t="inlineStr">
        <is>
          <t>42370 THUNDERBALL DR</t>
        </is>
      </c>
      <c r="D198" t="inlineStr">
        <is>
          <t>194103673000</t>
        </is>
      </c>
      <c r="E198" t="inlineStr">
        <is>
          <t>Under construction / permitted, not complete (inferred)</t>
        </is>
      </c>
      <c r="F198" t="inlineStr">
        <is>
          <t>County lists as 'Existing or Permitted'; year built is placeholder 1000 and building permit issued 2023-11-15 (no completion recorded as of 2025-07-01)</t>
        </is>
      </c>
      <c r="G198" t="inlineStr">
        <is>
          <t>Existing or Permitted</t>
        </is>
      </c>
      <c r="I198" t="inlineStr">
        <is>
          <t>2023-11-15</t>
        </is>
      </c>
      <c r="K198" t="n">
        <v>39.044268</v>
      </c>
      <c r="L198" t="n">
        <v>-77.53806400000001</v>
      </c>
      <c r="M198" t="inlineStr">
        <is>
          <t>https://logis.loudoun.gov/gis/rest/services/Projects/BuildOut_LandUse/MapServer/0/136098?f=html</t>
        </is>
      </c>
    </row>
    <row r="199">
      <c r="A199" t="n">
        <v>445</v>
      </c>
      <c r="B199" t="n">
        <v>198</v>
      </c>
      <c r="C199" t="inlineStr">
        <is>
          <t>22365 GLENN DR</t>
        </is>
      </c>
      <c r="D199" t="inlineStr">
        <is>
          <t>032155119000</t>
        </is>
      </c>
      <c r="E199" t="inlineStr">
        <is>
          <t>Existing / operating (inferred)</t>
        </is>
      </c>
      <c r="F199" t="inlineStr">
        <is>
          <t>County lists as 'Existing or Permitted'; year built 2025, building permit 2023-07-10</t>
        </is>
      </c>
      <c r="G199" t="inlineStr">
        <is>
          <t>Existing or Permitted</t>
        </is>
      </c>
      <c r="H199" t="n">
        <v>2025</v>
      </c>
      <c r="I199" t="inlineStr">
        <is>
          <t>2023-07-10</t>
        </is>
      </c>
      <c r="K199" t="n">
        <v>38.998093</v>
      </c>
      <c r="L199" t="n">
        <v>-77.430229</v>
      </c>
      <c r="M199" t="inlineStr">
        <is>
          <t>https://logis.loudoun.gov/gis/rest/services/Projects/BuildOut_LandUse/MapServer/0/136115?f=html</t>
        </is>
      </c>
    </row>
    <row r="200">
      <c r="A200" t="n">
        <v>446</v>
      </c>
      <c r="B200" t="n">
        <v>199</v>
      </c>
      <c r="C200" t="inlineStr">
        <is>
          <t>43321 DATA DR</t>
        </is>
      </c>
      <c r="D200" t="inlineStr">
        <is>
          <t>113272390000</t>
        </is>
      </c>
      <c r="E200" t="inlineStr">
        <is>
          <t>Existing / operating (inferred)</t>
        </is>
      </c>
      <c r="F200" t="inlineStr">
        <is>
          <t>County lists as 'Existing or Permitted'; year built 2024, building permit 2023-11-17</t>
        </is>
      </c>
      <c r="G200" t="inlineStr">
        <is>
          <t>Existing or Permitted</t>
        </is>
      </c>
      <c r="H200" t="n">
        <v>2024</v>
      </c>
      <c r="I200" t="inlineStr">
        <is>
          <t>2023-11-17</t>
        </is>
      </c>
      <c r="K200" t="n">
        <v>39.077179</v>
      </c>
      <c r="L200" t="n">
        <v>-77.50549599999999</v>
      </c>
      <c r="M200" t="inlineStr">
        <is>
          <t>https://logis.loudoun.gov/gis/rest/services/Projects/BuildOut_LandUse/MapServer/0/136208?f=html</t>
        </is>
      </c>
    </row>
    <row r="201">
      <c r="A201" t="n">
        <v>447</v>
      </c>
      <c r="B201" t="n">
        <v>200</v>
      </c>
      <c r="C201" t="inlineStr">
        <is>
          <t>45210 VANTAGE DATA PLZ</t>
        </is>
      </c>
      <c r="D201" t="inlineStr">
        <is>
          <t>044292829000</t>
        </is>
      </c>
      <c r="E201" t="inlineStr">
        <is>
          <t>Under construction / permitted, not complete (inferred)</t>
        </is>
      </c>
      <c r="F201" t="inlineStr">
        <is>
          <t>County lists as 'Existing or Permitted'; year built is placeholder 1000 and building permit issued 2024-07-01 (no completion recorded as of 2025-07-01)</t>
        </is>
      </c>
      <c r="G201" t="inlineStr">
        <is>
          <t>Existing or Permitted</t>
        </is>
      </c>
      <c r="I201" t="inlineStr">
        <is>
          <t>2024-07-01</t>
        </is>
      </c>
      <c r="K201" t="n">
        <v>39.000637</v>
      </c>
      <c r="L201" t="n">
        <v>-77.43668</v>
      </c>
      <c r="M201" t="inlineStr">
        <is>
          <t>https://logis.loudoun.gov/gis/rest/services/Projects/BuildOut_LandUse/MapServer/0/136334?f=html</t>
        </is>
      </c>
    </row>
    <row r="202">
      <c r="A202" t="n">
        <v>448</v>
      </c>
      <c r="B202" t="n">
        <v>201</v>
      </c>
      <c r="C202" t="inlineStr">
        <is>
          <t>20575 CELTIC PARK DR</t>
        </is>
      </c>
      <c r="D202" t="inlineStr">
        <is>
          <t>193276668000</t>
        </is>
      </c>
      <c r="E202" t="inlineStr">
        <is>
          <t>Existing / operating (inferred)</t>
        </is>
      </c>
      <c r="F202" t="inlineStr">
        <is>
          <t>County lists as 'Existing or Permitted'; year built 2024, building permit 2024-01-03</t>
        </is>
      </c>
      <c r="G202" t="inlineStr">
        <is>
          <t>Existing or Permitted</t>
        </is>
      </c>
      <c r="H202" t="n">
        <v>2024</v>
      </c>
      <c r="I202" t="inlineStr">
        <is>
          <t>2024-01-03</t>
        </is>
      </c>
      <c r="K202" t="n">
        <v>39.057796</v>
      </c>
      <c r="L202" t="n">
        <v>-77.54674300000001</v>
      </c>
      <c r="M202" t="inlineStr">
        <is>
          <t>https://logis.loudoun.gov/gis/rest/services/Projects/BuildOut_LandUse/MapServer/0/136616?f=html</t>
        </is>
      </c>
    </row>
    <row r="203">
      <c r="A203" t="n">
        <v>449</v>
      </c>
      <c r="B203" t="n">
        <v>202</v>
      </c>
      <c r="C203" t="inlineStr">
        <is>
          <t>20335 CELTIC PARK DR</t>
        </is>
      </c>
      <c r="D203" t="inlineStr">
        <is>
          <t>193274995000</t>
        </is>
      </c>
      <c r="E203" t="inlineStr">
        <is>
          <t>Under construction / permitted, not complete (inferred)</t>
        </is>
      </c>
      <c r="F203" t="inlineStr">
        <is>
          <t>County lists as 'Existing or Permitted'; year built is placeholder 1000 and building permit issued 2024-01-03 (no completion recorded as of 2025-07-01)</t>
        </is>
      </c>
      <c r="G203" t="inlineStr">
        <is>
          <t>Existing or Permitted</t>
        </is>
      </c>
      <c r="I203" t="inlineStr">
        <is>
          <t>2024-01-03</t>
        </is>
      </c>
      <c r="K203" t="n">
        <v>39.055936</v>
      </c>
      <c r="L203" t="n">
        <v>-77.54732</v>
      </c>
      <c r="M203" t="inlineStr">
        <is>
          <t>https://logis.loudoun.gov/gis/rest/services/Projects/BuildOut_LandUse/MapServer/0/136617?f=html</t>
        </is>
      </c>
    </row>
    <row r="204">
      <c r="A204" t="n">
        <v>450</v>
      </c>
      <c r="B204" t="n">
        <v>203</v>
      </c>
      <c r="C204" t="inlineStr">
        <is>
          <t>22665 DULLES SUMMIT CT</t>
        </is>
      </c>
      <c r="D204" t="inlineStr">
        <is>
          <t>045252512000</t>
        </is>
      </c>
      <c r="E204" t="inlineStr">
        <is>
          <t>Under construction / permitted, not complete (inferred)</t>
        </is>
      </c>
      <c r="F204" t="inlineStr">
        <is>
          <t>County lists as 'Existing or Permitted'; year built is placeholder 1000 and building permit issued 2024-04-03 (no completion recorded as of 2025-07-01)</t>
        </is>
      </c>
      <c r="G204" t="inlineStr">
        <is>
          <t>Existing or Permitted</t>
        </is>
      </c>
      <c r="I204" t="inlineStr">
        <is>
          <t>2024-04-03</t>
        </is>
      </c>
      <c r="K204" t="n">
        <v>38.98945</v>
      </c>
      <c r="L204" t="n">
        <v>-77.449738</v>
      </c>
      <c r="M204" t="inlineStr">
        <is>
          <t>https://logis.loudoun.gov/gis/rest/services/Projects/BuildOut_LandUse/MapServer/0/136660?f=html</t>
        </is>
      </c>
    </row>
    <row r="205">
      <c r="A205" t="n">
        <v>451</v>
      </c>
      <c r="B205" t="n">
        <v>204</v>
      </c>
      <c r="C205" t="inlineStr">
        <is>
          <t>41785 INCLUSION LN</t>
        </is>
      </c>
      <c r="D205" t="inlineStr">
        <is>
          <t>235297431000</t>
        </is>
      </c>
      <c r="E205" t="inlineStr">
        <is>
          <t>Under construction / permitted, not complete (inferred)</t>
        </is>
      </c>
      <c r="F205" t="inlineStr">
        <is>
          <t>County lists as 'Existing or Permitted'; year built is placeholder 1000 and building permit issued 2024-08-27 (no completion recorded as of 2025-07-01)</t>
        </is>
      </c>
      <c r="G205" t="inlineStr">
        <is>
          <t>Existing or Permitted</t>
        </is>
      </c>
      <c r="I205" t="inlineStr">
        <is>
          <t>2024-08-27</t>
        </is>
      </c>
      <c r="K205" t="n">
        <v>39.06591</v>
      </c>
      <c r="L205" t="n">
        <v>-77.55548</v>
      </c>
      <c r="M205" t="inlineStr">
        <is>
          <t>https://logis.loudoun.gov/gis/rest/services/Projects/BuildOut_LandUse/MapServer/0/136771?f=html</t>
        </is>
      </c>
    </row>
    <row r="206">
      <c r="A206" t="n">
        <v>452</v>
      </c>
      <c r="B206" t="n">
        <v>205</v>
      </c>
      <c r="C206" t="inlineStr">
        <is>
          <t>42031 GROWTH MINDSET LN</t>
        </is>
      </c>
      <c r="D206" t="inlineStr">
        <is>
          <t>203354208000</t>
        </is>
      </c>
      <c r="E206" t="inlineStr">
        <is>
          <t>Under construction / permitted, not complete (inferred)</t>
        </is>
      </c>
      <c r="F206" t="inlineStr">
        <is>
          <t>County lists as 'Existing or Permitted'; year built is placeholder 1000 and building permit issued 2024-06-25 (no completion recorded as of 2025-07-01)</t>
        </is>
      </c>
      <c r="G206" t="inlineStr">
        <is>
          <t>Existing or Permitted</t>
        </is>
      </c>
      <c r="I206" t="inlineStr">
        <is>
          <t>2024-06-25</t>
        </is>
      </c>
      <c r="K206" t="n">
        <v>38.949683</v>
      </c>
      <c r="L206" t="n">
        <v>-77.554321</v>
      </c>
      <c r="M206" t="inlineStr">
        <is>
          <t>https://logis.loudoun.gov/gis/rest/services/Projects/BuildOut_LandUse/MapServer/0/136774?f=html</t>
        </is>
      </c>
    </row>
    <row r="207">
      <c r="A207" t="n">
        <v>453</v>
      </c>
      <c r="B207" t="n">
        <v>206</v>
      </c>
      <c r="C207" t="inlineStr">
        <is>
          <t>42010 GROWTH MINDSET LN</t>
        </is>
      </c>
      <c r="D207" t="inlineStr">
        <is>
          <t>203354208000</t>
        </is>
      </c>
      <c r="E207" t="inlineStr">
        <is>
          <t>Under construction / permitted, not complete (inferred)</t>
        </is>
      </c>
      <c r="F207" t="inlineStr">
        <is>
          <t>County lists as 'Existing or Permitted'; year built is placeholder 1000 and building permit issued 2024-05-16 (no completion recorded as of 2025-07-01)</t>
        </is>
      </c>
      <c r="G207" t="inlineStr">
        <is>
          <t>Existing or Permitted</t>
        </is>
      </c>
      <c r="I207" t="inlineStr">
        <is>
          <t>2024-05-16</t>
        </is>
      </c>
      <c r="K207" t="n">
        <v>38.95127</v>
      </c>
      <c r="L207" t="n">
        <v>-77.555553</v>
      </c>
      <c r="M207" t="inlineStr">
        <is>
          <t>https://logis.loudoun.gov/gis/rest/services/Projects/BuildOut_LandUse/MapServer/0/136775?f=html</t>
        </is>
      </c>
    </row>
    <row r="208">
      <c r="A208" t="n">
        <v>454</v>
      </c>
      <c r="B208" t="n">
        <v>207</v>
      </c>
      <c r="C208" t="inlineStr">
        <is>
          <t>19275 COMPASS CREEK PKWY SE</t>
        </is>
      </c>
      <c r="D208" t="inlineStr">
        <is>
          <t>234371847000</t>
        </is>
      </c>
      <c r="E208" t="inlineStr">
        <is>
          <t>Under construction / permitted, not complete (inferred)</t>
        </is>
      </c>
      <c r="F208" t="inlineStr">
        <is>
          <t>County lists as 'Existing or Permitted'; year built is placeholder 1000 and building permit issued 2024-11-25 (no completion recorded as of 2025-07-01)</t>
        </is>
      </c>
      <c r="G208" t="inlineStr">
        <is>
          <t>Existing or Permitted</t>
        </is>
      </c>
      <c r="I208" t="inlineStr">
        <is>
          <t>2024-11-25</t>
        </is>
      </c>
      <c r="K208" t="n">
        <v>39.080136</v>
      </c>
      <c r="L208" t="n">
        <v>-77.56486099999999</v>
      </c>
      <c r="M208" t="inlineStr">
        <is>
          <t>https://logis.loudoun.gov/gis/rest/services/Projects/BuildOut_LandUse/MapServer/0/136942?f=html</t>
        </is>
      </c>
    </row>
    <row r="209">
      <c r="A209" t="n">
        <v>455</v>
      </c>
      <c r="B209" t="n">
        <v>208</v>
      </c>
      <c r="C209" t="inlineStr">
        <is>
          <t>19265 COMPASS CREEK PKWY SE</t>
        </is>
      </c>
      <c r="D209" t="inlineStr">
        <is>
          <t>234371847000</t>
        </is>
      </c>
      <c r="E209" t="inlineStr">
        <is>
          <t>Existing / operating (inferred)</t>
        </is>
      </c>
      <c r="F209" t="inlineStr">
        <is>
          <t>County lists as 'Existing or Permitted'; year built 2025, building permit 2024-07-24</t>
        </is>
      </c>
      <c r="G209" t="inlineStr">
        <is>
          <t>Existing or Permitted</t>
        </is>
      </c>
      <c r="H209" t="n">
        <v>2025</v>
      </c>
      <c r="I209" t="inlineStr">
        <is>
          <t>2024-07-24</t>
        </is>
      </c>
      <c r="K209" t="n">
        <v>39.082183</v>
      </c>
      <c r="L209" t="n">
        <v>-77.565079</v>
      </c>
      <c r="M209" t="inlineStr">
        <is>
          <t>https://logis.loudoun.gov/gis/rest/services/Projects/BuildOut_LandUse/MapServer/0/136943?f=html</t>
        </is>
      </c>
    </row>
    <row r="210">
      <c r="A210" t="n">
        <v>456</v>
      </c>
      <c r="B210" t="n">
        <v>209</v>
      </c>
      <c r="C210" t="inlineStr">
        <is>
          <t>42590 PATRIOT PARK DR</t>
        </is>
      </c>
      <c r="D210" t="inlineStr">
        <is>
          <t>193178229000</t>
        </is>
      </c>
      <c r="E210" t="inlineStr">
        <is>
          <t>Under construction / permitted, not complete (inferred)</t>
        </is>
      </c>
      <c r="F210" t="inlineStr">
        <is>
          <t>County lists as 'Existing or Permitted'; year built is placeholder 1000 and building permit issued 2025-01-31 (no completion recorded as of 2025-07-01)</t>
        </is>
      </c>
      <c r="G210" t="inlineStr">
        <is>
          <t>Existing or Permitted</t>
        </is>
      </c>
      <c r="I210" t="inlineStr">
        <is>
          <t>2025-01-31</t>
        </is>
      </c>
      <c r="K210" t="n">
        <v>39.054043</v>
      </c>
      <c r="L210" t="n">
        <v>-77.54598</v>
      </c>
      <c r="M210" t="inlineStr">
        <is>
          <t>https://logis.loudoun.gov/gis/rest/services/Projects/BuildOut_LandUse/MapServer/0/137650?f=html</t>
        </is>
      </c>
    </row>
    <row r="211">
      <c r="A211" t="n">
        <v>457</v>
      </c>
      <c r="B211" t="n">
        <v>210</v>
      </c>
      <c r="C211" t="inlineStr">
        <is>
          <t>42376 PATRIOT PARK DR</t>
        </is>
      </c>
      <c r="D211" t="inlineStr">
        <is>
          <t>193281883000</t>
        </is>
      </c>
      <c r="E211" t="inlineStr">
        <is>
          <t>Under construction / permitted, not complete (inferred)</t>
        </is>
      </c>
      <c r="F211" t="inlineStr">
        <is>
          <t>County lists as 'Existing or Permitted'; year built is placeholder 1000 and building permit issued 2025-01-31 (no completion recorded as of 2025-07-01)</t>
        </is>
      </c>
      <c r="G211" t="inlineStr">
        <is>
          <t>Existing or Permitted</t>
        </is>
      </c>
      <c r="I211" t="inlineStr">
        <is>
          <t>2025-01-31</t>
        </is>
      </c>
      <c r="K211" t="n">
        <v>39.055208</v>
      </c>
      <c r="L211" t="n">
        <v>-77.544792</v>
      </c>
      <c r="M211" t="inlineStr">
        <is>
          <t>https://logis.loudoun.gov/gis/rest/services/Projects/BuildOut_LandUse/MapServer/0/137652?f=html</t>
        </is>
      </c>
    </row>
    <row r="212">
      <c r="A212" t="n">
        <v>458</v>
      </c>
      <c r="B212" t="n">
        <v>211</v>
      </c>
      <c r="C212" t="inlineStr">
        <is>
          <t>44595 LOW LATENCY LN</t>
        </is>
      </c>
      <c r="D212" t="inlineStr">
        <is>
          <t>063477734000</t>
        </is>
      </c>
      <c r="E212" t="inlineStr">
        <is>
          <t>Under construction / permitted, not complete (inferred)</t>
        </is>
      </c>
      <c r="F212" t="inlineStr">
        <is>
          <t>County lists as 'Existing or Permitted'; year built is placeholder 1000 and building permit issued 2025-06-17 (no completion recorded as of 2025-07-01)</t>
        </is>
      </c>
      <c r="G212" t="inlineStr">
        <is>
          <t>Existing or Permitted</t>
        </is>
      </c>
      <c r="I212" t="inlineStr">
        <is>
          <t>2025-06-17</t>
        </is>
      </c>
      <c r="K212" t="n">
        <v>38.995987</v>
      </c>
      <c r="L212" t="n">
        <v>-77.45971900000001</v>
      </c>
      <c r="M212" t="inlineStr">
        <is>
          <t>https://logis.loudoun.gov/gis/rest/services/Projects/BuildOut_LandUse/MapServer/0/137657?f=html</t>
        </is>
      </c>
    </row>
    <row r="213">
      <c r="A213" t="n">
        <v>459</v>
      </c>
      <c r="B213" t="n">
        <v>212</v>
      </c>
      <c r="C213" t="inlineStr">
        <is>
          <t>45955 MEMPHIS PLZ</t>
        </is>
      </c>
      <c r="D213" t="inlineStr">
        <is>
          <t>043171795000</t>
        </is>
      </c>
      <c r="E213" t="inlineStr">
        <is>
          <t>Under construction / permitted, not complete (inferred)</t>
        </is>
      </c>
      <c r="F213" t="inlineStr">
        <is>
          <t>County lists as 'Existing or Permitted'; year built is placeholder 1000 and building permit issued 2025-03-21 (no completion recorded as of 2025-07-01)</t>
        </is>
      </c>
      <c r="G213" t="inlineStr">
        <is>
          <t>Existing or Permitted</t>
        </is>
      </c>
      <c r="I213" t="inlineStr">
        <is>
          <t>2025-03-21</t>
        </is>
      </c>
      <c r="K213" t="n">
        <v>39.008132</v>
      </c>
      <c r="L213" t="n">
        <v>-77.443123</v>
      </c>
      <c r="M213" t="inlineStr">
        <is>
          <t>https://logis.loudoun.gov/gis/rest/services/Projects/BuildOut_LandUse/MapServer/0/137725?f=html</t>
        </is>
      </c>
    </row>
    <row r="214">
      <c r="A214" t="n">
        <v>460</v>
      </c>
      <c r="B214" t="n">
        <v>213</v>
      </c>
      <c r="C214" t="inlineStr">
        <is>
          <t>45870 MEMPHIS PLZ</t>
        </is>
      </c>
      <c r="D214" t="inlineStr">
        <is>
          <t>043176560000</t>
        </is>
      </c>
      <c r="E214" t="inlineStr">
        <is>
          <t>Under construction / permitted, not complete (inferred)</t>
        </is>
      </c>
      <c r="F214" t="inlineStr">
        <is>
          <t>County lists as 'Existing or Permitted'; year built is placeholder 1000 and building permit issued 2025-01-02 (no completion recorded as of 2025-07-01)</t>
        </is>
      </c>
      <c r="G214" t="inlineStr">
        <is>
          <t>Existing or Permitted</t>
        </is>
      </c>
      <c r="I214" t="inlineStr">
        <is>
          <t>2025-01-02</t>
        </is>
      </c>
      <c r="K214" t="n">
        <v>39.009937</v>
      </c>
      <c r="L214" t="n">
        <v>-77.441506</v>
      </c>
      <c r="M214" t="inlineStr">
        <is>
          <t>https://logis.loudoun.gov/gis/rest/services/Projects/BuildOut_LandUse/MapServer/0/137726?f=html</t>
        </is>
      </c>
    </row>
    <row r="215">
      <c r="A215" t="n">
        <v>461</v>
      </c>
      <c r="B215" t="n">
        <v>214</v>
      </c>
      <c r="C215" t="inlineStr">
        <is>
          <t>22321 PACIFIC BLVD</t>
        </is>
      </c>
      <c r="D215" t="inlineStr">
        <is>
          <t>044175589000</t>
        </is>
      </c>
      <c r="E215" t="inlineStr">
        <is>
          <t>Under construction / permitted, not complete (inferred)</t>
        </is>
      </c>
      <c r="F215" t="inlineStr">
        <is>
          <t>County lists as 'Existing or Permitted'; year built is placeholder 1000 and building permit issued 2024-11-19 (no completion recorded as of 2025-07-01)</t>
        </is>
      </c>
      <c r="G215" t="inlineStr">
        <is>
          <t>Existing or Permitted</t>
        </is>
      </c>
      <c r="I215" t="inlineStr">
        <is>
          <t>2024-11-19</t>
        </is>
      </c>
      <c r="K215" t="n">
        <v>38.99933</v>
      </c>
      <c r="L215" t="n">
        <v>-77.441788</v>
      </c>
      <c r="M215" t="inlineStr">
        <is>
          <t>https://logis.loudoun.gov/gis/rest/services/Projects/BuildOut_LandUse/MapServer/0/137736?f=html</t>
        </is>
      </c>
    </row>
    <row r="216">
      <c r="A216" t="n">
        <v>462</v>
      </c>
      <c r="B216" t="n">
        <v>215</v>
      </c>
      <c r="C216" t="inlineStr">
        <is>
          <t>43705 EFFICIENCY DR</t>
        </is>
      </c>
      <c r="D216" t="inlineStr">
        <is>
          <t>093365404000</t>
        </is>
      </c>
      <c r="E216" t="inlineStr">
        <is>
          <t>Under construction / permitted, not complete (inferred)</t>
        </is>
      </c>
      <c r="F216" t="inlineStr">
        <is>
          <t>County lists as 'Existing or Permitted'; year built is placeholder 1000 and building permit issued 2025-04-23 (no completion recorded as of 2025-07-01)</t>
        </is>
      </c>
      <c r="G216" t="inlineStr">
        <is>
          <t>Existing or Permitted</t>
        </is>
      </c>
      <c r="I216" t="inlineStr">
        <is>
          <t>2025-04-23</t>
        </is>
      </c>
      <c r="K216" t="n">
        <v>38.958144</v>
      </c>
      <c r="L216" t="n">
        <v>-77.49010699999999</v>
      </c>
      <c r="M216" t="inlineStr">
        <is>
          <t>https://logis.loudoun.gov/gis/rest/services/Projects/BuildOut_LandUse/MapServer/0/137826?f=html</t>
        </is>
      </c>
    </row>
    <row r="217">
      <c r="A217" t="n">
        <v>463</v>
      </c>
      <c r="B217" t="n">
        <v>216</v>
      </c>
      <c r="C217" t="inlineStr">
        <is>
          <t>43715 EFFICIENCY DR</t>
        </is>
      </c>
      <c r="D217" t="inlineStr">
        <is>
          <t>093365404000</t>
        </is>
      </c>
      <c r="E217" t="inlineStr">
        <is>
          <t>Under construction / permitted, not complete (inferred)</t>
        </is>
      </c>
      <c r="F217" t="inlineStr">
        <is>
          <t>County lists as 'Existing or Permitted'; year built is placeholder 1000 and building permit issued 2025-04-16 (no completion recorded as of 2025-07-01)</t>
        </is>
      </c>
      <c r="G217" t="inlineStr">
        <is>
          <t>Existing or Permitted</t>
        </is>
      </c>
      <c r="I217" t="inlineStr">
        <is>
          <t>2025-04-16</t>
        </is>
      </c>
      <c r="K217" t="n">
        <v>38.959956</v>
      </c>
      <c r="L217" t="n">
        <v>-77.488651</v>
      </c>
      <c r="M217" t="inlineStr">
        <is>
          <t>https://logis.loudoun.gov/gis/rest/services/Projects/BuildOut_LandUse/MapServer/0/137827?f=html</t>
        </is>
      </c>
    </row>
    <row r="218">
      <c r="A218" t="n">
        <v>464</v>
      </c>
      <c r="B218" t="n">
        <v>217</v>
      </c>
      <c r="C218" t="inlineStr">
        <is>
          <t>22235 LOUDOUN COUNTY PKWY</t>
        </is>
      </c>
      <c r="D218" t="inlineStr">
        <is>
          <t>089496314000</t>
        </is>
      </c>
      <c r="E218" t="inlineStr">
        <is>
          <t>Under construction / permitted, not complete (inferred)</t>
        </is>
      </c>
      <c r="F218" t="inlineStr">
        <is>
          <t>County lists as 'Existing or Permitted'; year built is placeholder 1000 and building permit issued 2025-05-07 (no completion recorded as of 2025-07-01)</t>
        </is>
      </c>
      <c r="G218" t="inlineStr">
        <is>
          <t>Existing or Permitted</t>
        </is>
      </c>
      <c r="I218" t="inlineStr">
        <is>
          <t>2025-05-07</t>
        </is>
      </c>
      <c r="K218" t="n">
        <v>39.006651</v>
      </c>
      <c r="L218" t="n">
        <v>-77.47756099999999</v>
      </c>
      <c r="M218" t="inlineStr">
        <is>
          <t>https://logis.loudoun.gov/gis/rest/services/Projects/BuildOut_LandUse/MapServer/0/138082?f=html</t>
        </is>
      </c>
    </row>
    <row r="219">
      <c r="A219" t="n">
        <v>465</v>
      </c>
      <c r="B219" t="n">
        <v>218</v>
      </c>
      <c r="C219" t="inlineStr">
        <is>
          <t>45757 MARIES RD</t>
        </is>
      </c>
      <c r="D219" t="inlineStr">
        <is>
          <t>030286764000</t>
        </is>
      </c>
      <c r="E219" t="inlineStr">
        <is>
          <t>Under construction / permitted, not complete (inferred)</t>
        </is>
      </c>
      <c r="F219" t="inlineStr">
        <is>
          <t>County lists as 'Existing or Permitted'; year built is placeholder 1000 and building permit issued 2025-04-09 (no completion recorded as of 2025-07-01)</t>
        </is>
      </c>
      <c r="G219" t="inlineStr">
        <is>
          <t>Existing or Permitted</t>
        </is>
      </c>
      <c r="I219" t="inlineStr">
        <is>
          <t>2025-04-09</t>
        </is>
      </c>
      <c r="K219" t="n">
        <v>39.022941</v>
      </c>
      <c r="L219" t="n">
        <v>-77.416706</v>
      </c>
      <c r="M219" t="inlineStr">
        <is>
          <t>https://logis.loudoun.gov/gis/rest/services/Projects/BuildOut_LandUse/MapServer/0/138084?f=html</t>
        </is>
      </c>
    </row>
    <row r="220">
      <c r="A220" t="n">
        <v>466</v>
      </c>
      <c r="B220" t="n">
        <v>219</v>
      </c>
      <c r="C220" t="inlineStr">
        <is>
          <t>45831 MARIES RD</t>
        </is>
      </c>
      <c r="D220" t="inlineStr">
        <is>
          <t>030292034000</t>
        </is>
      </c>
      <c r="E220" t="inlineStr">
        <is>
          <t>Under construction / permitted, not complete (inferred)</t>
        </is>
      </c>
      <c r="F220" t="inlineStr">
        <is>
          <t>County lists as 'Existing or Permitted'; year built is placeholder 1000 and building permit issued 2025-02-26 (no completion recorded as of 2025-07-01)</t>
        </is>
      </c>
      <c r="G220" t="inlineStr">
        <is>
          <t>Existing or Permitted</t>
        </is>
      </c>
      <c r="I220" t="inlineStr">
        <is>
          <t>2025-02-26</t>
        </is>
      </c>
      <c r="K220" t="n">
        <v>39.021812</v>
      </c>
      <c r="L220" t="n">
        <v>-77.414676</v>
      </c>
      <c r="M220" t="inlineStr">
        <is>
          <t>https://logis.loudoun.gov/gis/rest/services/Projects/BuildOut_LandUse/MapServer/0/138137?f=html</t>
        </is>
      </c>
    </row>
    <row r="221">
      <c r="A221" t="n">
        <v>467</v>
      </c>
      <c r="B221" t="n">
        <v>220</v>
      </c>
      <c r="C221" t="inlineStr">
        <is>
          <t>22214 POWER PLAYER LN</t>
        </is>
      </c>
      <c r="D221" t="inlineStr">
        <is>
          <t>044461959000</t>
        </is>
      </c>
      <c r="E221" t="inlineStr">
        <is>
          <t>Under construction / permitted, not complete (inferred)</t>
        </is>
      </c>
      <c r="F221" t="inlineStr">
        <is>
          <t>County lists as 'Existing or Permitted'; year built is placeholder 1000 and building permit issued 2025-06-09 (no completion recorded as of 2025-07-01)</t>
        </is>
      </c>
      <c r="G221" t="inlineStr">
        <is>
          <t>Existing or Permitted</t>
        </is>
      </c>
      <c r="I221" t="inlineStr">
        <is>
          <t>2025-06-09</t>
        </is>
      </c>
      <c r="K221" t="n">
        <v>39.00357</v>
      </c>
      <c r="L221" t="n">
        <v>-77.446749</v>
      </c>
      <c r="M221" t="inlineStr">
        <is>
          <t>https://logis.loudoun.gov/gis/rest/services/Projects/BuildOut_LandUse/MapServer/0/138186?f=html</t>
        </is>
      </c>
    </row>
    <row r="222">
      <c r="A222" t="n">
        <v>468</v>
      </c>
      <c r="B222" t="n">
        <v>221</v>
      </c>
      <c r="C222" t="inlineStr">
        <is>
          <t>22190 POWER PLAYER LN</t>
        </is>
      </c>
      <c r="D222" t="inlineStr">
        <is>
          <t>044461959000</t>
        </is>
      </c>
      <c r="E222" t="inlineStr">
        <is>
          <t>Under construction / permitted, not complete (inferred)</t>
        </is>
      </c>
      <c r="F222" t="inlineStr">
        <is>
          <t>County lists as 'Existing or Permitted'; year built is placeholder 1000 and building permit issued 2025-06-05 (no completion recorded as of 2025-07-01)</t>
        </is>
      </c>
      <c r="G222" t="inlineStr">
        <is>
          <t>Existing or Permitted</t>
        </is>
      </c>
      <c r="I222" t="inlineStr">
        <is>
          <t>2025-06-05</t>
        </is>
      </c>
      <c r="K222" t="n">
        <v>39.005197</v>
      </c>
      <c r="L222" t="n">
        <v>-77.446472</v>
      </c>
      <c r="M222" t="inlineStr">
        <is>
          <t>https://logis.loudoun.gov/gis/rest/services/Projects/BuildOut_LandUse/MapServer/0/138187?f=html</t>
        </is>
      </c>
    </row>
    <row r="223">
      <c r="A223" t="n">
        <v>469</v>
      </c>
      <c r="B223" t="n">
        <v>222</v>
      </c>
      <c r="C223" t="inlineStr">
        <is>
          <t>24531 HOWLING ROOSTER LN</t>
        </is>
      </c>
      <c r="D223" t="inlineStr">
        <is>
          <t>162176713000</t>
        </is>
      </c>
      <c r="E223" t="inlineStr">
        <is>
          <t>Under construction / permitted, not complete (inferred)</t>
        </is>
      </c>
      <c r="F223" t="inlineStr">
        <is>
          <t>County lists as 'Existing or Permitted'; year built is placeholder 1000 and building permit issued 2025-04-09 (no completion recorded as of 2025-07-01)</t>
        </is>
      </c>
      <c r="G223" t="inlineStr">
        <is>
          <t>Existing or Permitted</t>
        </is>
      </c>
      <c r="I223" t="inlineStr">
        <is>
          <t>2025-04-09</t>
        </is>
      </c>
      <c r="K223" t="n">
        <v>38.943011</v>
      </c>
      <c r="L223" t="n">
        <v>-77.52908100000001</v>
      </c>
      <c r="M223" t="inlineStr">
        <is>
          <t>https://logis.loudoun.gov/gis/rest/services/Projects/BuildOut_LandUse/MapServer/0/138190?f=html</t>
        </is>
      </c>
    </row>
    <row r="224">
      <c r="A224" t="n">
        <v>470</v>
      </c>
      <c r="B224" t="n">
        <v>223</v>
      </c>
      <c r="C224" t="inlineStr">
        <is>
          <t>25190 MEADOWDALE DR</t>
        </is>
      </c>
      <c r="D224" t="inlineStr">
        <is>
          <t>096183926000</t>
        </is>
      </c>
      <c r="E224" t="inlineStr">
        <is>
          <t>Under construction / permitted, not complete (inferred)</t>
        </is>
      </c>
      <c r="F224" t="inlineStr">
        <is>
          <t>County lists as 'Existing or Permitted'; year built is placeholder 1000 and building permit issued 2025-06-30 (no completion recorded as of 2025-07-01)</t>
        </is>
      </c>
      <c r="G224" t="inlineStr">
        <is>
          <t>Existing or Permitted</t>
        </is>
      </c>
      <c r="I224" t="inlineStr">
        <is>
          <t>2025-06-30</t>
        </is>
      </c>
      <c r="K224" t="n">
        <v>38.920622</v>
      </c>
      <c r="L224" t="n">
        <v>-77.48382100000001</v>
      </c>
      <c r="M224" t="inlineStr">
        <is>
          <t>https://logis.loudoun.gov/gis/rest/services/Projects/BuildOut_LandUse/MapServer/0/138199?f=html</t>
        </is>
      </c>
    </row>
  </sheetData>
  <autoFilter ref="A1:M22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3" t="inlineStr">
        <is>
          <t>planning area</t>
        </is>
      </c>
      <c r="B1" s="3" t="inlineStr">
        <is>
          <t>county development status</t>
        </is>
      </c>
      <c r="C1" s="3" t="inlineStr">
        <is>
          <t>acres</t>
        </is>
      </c>
      <c r="D1" s="3" t="inlineStr">
        <is>
          <t>DC sf existing</t>
        </is>
      </c>
      <c r="E1" s="3" t="inlineStr">
        <is>
          <t>DC sf zoned (total)</t>
        </is>
      </c>
      <c r="F1" s="3" t="inlineStr">
        <is>
          <t>DC sf zoned remaining</t>
        </is>
      </c>
      <c r="G1" s="3" t="inlineStr">
        <is>
          <t>DC sf staff-refined estimate</t>
        </is>
      </c>
      <c r="H1" s="3" t="inlineStr">
        <is>
          <t>as of</t>
        </is>
      </c>
    </row>
    <row r="2">
      <c r="A2" t="inlineStr">
        <is>
          <t>ARCOLA CENTER</t>
        </is>
      </c>
      <c r="B2" t="inlineStr">
        <is>
          <t>Approved</t>
        </is>
      </c>
      <c r="C2" t="n">
        <v>272.1</v>
      </c>
      <c r="D2" t="n">
        <v>835907</v>
      </c>
      <c r="E2" t="n">
        <v>2350000</v>
      </c>
      <c r="F2" t="n">
        <v>1514093</v>
      </c>
      <c r="G2" t="n">
        <v>961270</v>
      </c>
      <c r="H2" t="inlineStr">
        <is>
          <t>7/1/2025</t>
        </is>
      </c>
    </row>
    <row r="3">
      <c r="A3" t="inlineStr">
        <is>
          <t>TUSCARORA CROSSING</t>
        </is>
      </c>
      <c r="B3" t="inlineStr">
        <is>
          <t>Approved</t>
        </is>
      </c>
      <c r="C3" t="n">
        <v>253.3</v>
      </c>
      <c r="D3" t="n">
        <v>0</v>
      </c>
      <c r="E3" t="n">
        <v>718000</v>
      </c>
      <c r="F3" t="n">
        <v>718000</v>
      </c>
      <c r="G3" t="n">
        <v>0</v>
      </c>
      <c r="H3" t="inlineStr">
        <is>
          <t>7/1/2025</t>
        </is>
      </c>
    </row>
    <row r="4">
      <c r="A4" t="inlineStr">
        <is>
          <t>ASHBURN TECHNOLOGY PARK (BOS OF LOUDOUN COUNTY)</t>
        </is>
      </c>
      <c r="B4" t="inlineStr">
        <is>
          <t>Approved</t>
        </is>
      </c>
      <c r="C4" t="n">
        <v>101.3</v>
      </c>
      <c r="D4" t="n">
        <v>1026167</v>
      </c>
      <c r="E4" t="n">
        <v>2036534</v>
      </c>
      <c r="F4" t="n">
        <v>1010367</v>
      </c>
      <c r="G4" t="n">
        <v>1512166</v>
      </c>
      <c r="H4" t="inlineStr">
        <is>
          <t>7/1/2025</t>
        </is>
      </c>
    </row>
    <row r="5">
      <c r="A5" t="inlineStr">
        <is>
          <t>WEST DULLES STATION</t>
        </is>
      </c>
      <c r="B5" t="inlineStr">
        <is>
          <t>Completed</t>
        </is>
      </c>
      <c r="C5" t="n">
        <v>28.4</v>
      </c>
      <c r="D5" t="n">
        <v>583080</v>
      </c>
      <c r="E5" t="n">
        <v>0</v>
      </c>
      <c r="F5" t="n">
        <v>0</v>
      </c>
      <c r="G5" t="n">
        <v>583080</v>
      </c>
      <c r="H5" t="inlineStr">
        <is>
          <t>7/1/2025</t>
        </is>
      </c>
    </row>
    <row r="6">
      <c r="A6" t="inlineStr">
        <is>
          <t>ICSP @ ARCOLA</t>
        </is>
      </c>
      <c r="B6" t="inlineStr">
        <is>
          <t>Approved</t>
        </is>
      </c>
      <c r="C6" t="n">
        <v>72</v>
      </c>
      <c r="D6" t="n">
        <v>697150</v>
      </c>
      <c r="E6" t="n">
        <v>2767802</v>
      </c>
      <c r="F6" t="n">
        <v>2070652</v>
      </c>
      <c r="G6" t="n">
        <v>702667</v>
      </c>
      <c r="H6" t="inlineStr">
        <is>
          <t>7/1/2025</t>
        </is>
      </c>
    </row>
    <row r="7">
      <c r="A7" t="inlineStr">
        <is>
          <t>TALL OAKS</t>
        </is>
      </c>
      <c r="B7" t="inlineStr">
        <is>
          <t>Approved</t>
        </is>
      </c>
      <c r="C7" t="n">
        <v>39.3</v>
      </c>
      <c r="D7" t="n">
        <v>796718</v>
      </c>
      <c r="E7" t="n">
        <v>1046154</v>
      </c>
      <c r="F7" t="n">
        <v>249436</v>
      </c>
      <c r="G7" t="n">
        <v>1004526</v>
      </c>
      <c r="H7" t="inlineStr">
        <is>
          <t>7/1/2025</t>
        </is>
      </c>
    </row>
    <row r="8">
      <c r="A8" t="inlineStr">
        <is>
          <t>BEAUMEADE</t>
        </is>
      </c>
      <c r="B8" t="inlineStr">
        <is>
          <t>Approved</t>
        </is>
      </c>
      <c r="C8" t="n">
        <v>669.8</v>
      </c>
      <c r="D8" t="n">
        <v>4740856</v>
      </c>
      <c r="E8" t="n">
        <v>0</v>
      </c>
      <c r="F8" t="n">
        <v>0</v>
      </c>
      <c r="G8" t="n">
        <v>5465442</v>
      </c>
      <c r="H8" t="inlineStr">
        <is>
          <t>7/1/2025</t>
        </is>
      </c>
    </row>
    <row r="9">
      <c r="A9" t="inlineStr">
        <is>
          <t>LOUDOUN GATEWAY CENTER</t>
        </is>
      </c>
      <c r="B9" t="inlineStr">
        <is>
          <t>Approved</t>
        </is>
      </c>
      <c r="C9" t="n">
        <v>135.4</v>
      </c>
      <c r="D9" t="n">
        <v>226456</v>
      </c>
      <c r="E9" t="n">
        <v>0</v>
      </c>
      <c r="F9" t="n">
        <v>0</v>
      </c>
      <c r="G9" t="n">
        <v>461966</v>
      </c>
      <c r="H9" t="inlineStr">
        <is>
          <t>7/1/2025</t>
        </is>
      </c>
    </row>
    <row r="10">
      <c r="A10" t="inlineStr">
        <is>
          <t>COMPASS CREEK</t>
        </is>
      </c>
      <c r="B10" t="inlineStr">
        <is>
          <t>Approved</t>
        </is>
      </c>
      <c r="C10" t="n">
        <v>485.8</v>
      </c>
      <c r="D10" t="n">
        <v>1889610</v>
      </c>
      <c r="E10" t="n">
        <v>8716558</v>
      </c>
      <c r="F10" t="n">
        <v>6826948</v>
      </c>
      <c r="G10" t="n">
        <v>2707841</v>
      </c>
      <c r="H10" t="inlineStr">
        <is>
          <t>7/1/2025</t>
        </is>
      </c>
    </row>
    <row r="11">
      <c r="A11" t="inlineStr">
        <is>
          <t>HIGHPOINT</t>
        </is>
      </c>
      <c r="B11" t="inlineStr">
        <is>
          <t>Approved</t>
        </is>
      </c>
      <c r="C11" t="n">
        <v>33.8</v>
      </c>
      <c r="D11" t="n">
        <v>406197</v>
      </c>
      <c r="E11" t="n">
        <v>0</v>
      </c>
      <c r="F11" t="n">
        <v>0</v>
      </c>
      <c r="G11" t="n">
        <v>406197</v>
      </c>
      <c r="H11" t="inlineStr">
        <is>
          <t>7/1/2025</t>
        </is>
      </c>
    </row>
    <row r="12">
      <c r="A12" t="inlineStr">
        <is>
          <t>JK CORPORATE CAMPUS</t>
        </is>
      </c>
      <c r="B12" t="inlineStr">
        <is>
          <t>Approved</t>
        </is>
      </c>
      <c r="C12" t="n">
        <v>38.7</v>
      </c>
      <c r="D12" t="n">
        <v>169960</v>
      </c>
      <c r="E12" t="n">
        <v>1011593</v>
      </c>
      <c r="F12" t="n">
        <v>841633</v>
      </c>
      <c r="G12" t="n">
        <v>522804</v>
      </c>
      <c r="H12" t="inlineStr">
        <is>
          <t>7/1/2025</t>
        </is>
      </c>
    </row>
    <row r="13">
      <c r="A13" t="inlineStr">
        <is>
          <t>DULLES NORTH CORPORATE PARK</t>
        </is>
      </c>
      <c r="B13" t="inlineStr">
        <is>
          <t>Approved</t>
        </is>
      </c>
      <c r="C13" t="n">
        <v>36.8</v>
      </c>
      <c r="D13" t="n">
        <v>93911</v>
      </c>
      <c r="E13" t="n">
        <v>109311</v>
      </c>
      <c r="F13" t="n">
        <v>15400</v>
      </c>
      <c r="G13" t="n">
        <v>93911</v>
      </c>
      <c r="H13" t="inlineStr">
        <is>
          <t>7/1/2025</t>
        </is>
      </c>
    </row>
    <row r="14">
      <c r="A14" t="inlineStr">
        <is>
          <t>DULLES BERRY (DUPONT FABROS 3)</t>
        </is>
      </c>
      <c r="B14" t="inlineStr">
        <is>
          <t>Approved</t>
        </is>
      </c>
      <c r="C14" t="n">
        <v>99.3</v>
      </c>
      <c r="D14" t="n">
        <v>2159293</v>
      </c>
      <c r="E14" t="n">
        <v>4049864</v>
      </c>
      <c r="F14" t="n">
        <v>1890571</v>
      </c>
      <c r="G14" t="n">
        <v>2203850</v>
      </c>
      <c r="H14" t="inlineStr">
        <is>
          <t>7/1/2025</t>
        </is>
      </c>
    </row>
    <row r="15">
      <c r="A15" t="inlineStr">
        <is>
          <t>DIGITAL LOUDOUN IV</t>
        </is>
      </c>
      <c r="B15" t="inlineStr">
        <is>
          <t>Approved</t>
        </is>
      </c>
      <c r="C15" t="n">
        <v>111.8</v>
      </c>
      <c r="D15" t="n">
        <v>788982</v>
      </c>
      <c r="E15" t="n">
        <v>2929979</v>
      </c>
      <c r="F15" t="n">
        <v>2140997</v>
      </c>
      <c r="G15" t="n">
        <v>975273</v>
      </c>
      <c r="H15" t="inlineStr">
        <is>
          <t>7/1/2025</t>
        </is>
      </c>
    </row>
    <row r="16">
      <c r="A16" t="inlineStr">
        <is>
          <t>DIGITAL LOUDOUN III (DIGITAL REALTY CAMPUS 2)</t>
        </is>
      </c>
      <c r="B16" t="inlineStr">
        <is>
          <t>Approved</t>
        </is>
      </c>
      <c r="C16" t="n">
        <v>177.5</v>
      </c>
      <c r="D16" t="n">
        <v>2092651</v>
      </c>
      <c r="E16" t="n">
        <v>3289643</v>
      </c>
      <c r="F16" t="n">
        <v>1196992</v>
      </c>
      <c r="G16" t="n">
        <v>2547667</v>
      </c>
      <c r="H16" t="inlineStr">
        <is>
          <t>7/1/2025</t>
        </is>
      </c>
    </row>
    <row r="17">
      <c r="A17" t="inlineStr">
        <is>
          <t>PROJECT SAMUEL</t>
        </is>
      </c>
      <c r="B17" t="inlineStr">
        <is>
          <t>Approved</t>
        </is>
      </c>
      <c r="C17" t="n">
        <v>24.6</v>
      </c>
      <c r="D17" t="n">
        <v>302180</v>
      </c>
      <c r="E17" t="n">
        <v>1080000</v>
      </c>
      <c r="F17" t="n">
        <v>777820</v>
      </c>
      <c r="G17" t="n">
        <v>622997</v>
      </c>
      <c r="H17" t="inlineStr">
        <is>
          <t>7/1/2025</t>
        </is>
      </c>
    </row>
    <row r="18">
      <c r="A18" t="inlineStr">
        <is>
          <t>PROJECT NOVA</t>
        </is>
      </c>
      <c r="B18" t="inlineStr">
        <is>
          <t>Approved</t>
        </is>
      </c>
      <c r="C18" t="n">
        <v>226.8</v>
      </c>
      <c r="D18" t="n">
        <v>1464341</v>
      </c>
      <c r="E18" t="n">
        <v>3446782</v>
      </c>
      <c r="F18" t="n">
        <v>1982441</v>
      </c>
      <c r="G18" t="n">
        <v>2404431</v>
      </c>
      <c r="H18" t="inlineStr">
        <is>
          <t>7/1/2025</t>
        </is>
      </c>
    </row>
    <row r="19">
      <c r="A19" t="inlineStr">
        <is>
          <t>TRUE NORTH</t>
        </is>
      </c>
      <c r="B19" t="inlineStr">
        <is>
          <t>Approved</t>
        </is>
      </c>
      <c r="C19" t="n">
        <v>97.2</v>
      </c>
      <c r="D19" t="n">
        <v>211459</v>
      </c>
      <c r="E19" t="n">
        <v>750000</v>
      </c>
      <c r="F19" t="n">
        <v>538541</v>
      </c>
      <c r="G19" t="n">
        <v>568159</v>
      </c>
      <c r="H19" t="inlineStr">
        <is>
          <t>7/1/2025</t>
        </is>
      </c>
    </row>
    <row r="20">
      <c r="A20" t="inlineStr">
        <is>
          <t>DIGITAL STERLING PREMIERE</t>
        </is>
      </c>
      <c r="B20" t="inlineStr">
        <is>
          <t>Approved</t>
        </is>
      </c>
      <c r="C20" t="n">
        <v>28</v>
      </c>
      <c r="D20" t="n">
        <v>438555</v>
      </c>
      <c r="E20" t="n">
        <v>576822</v>
      </c>
      <c r="F20" t="n">
        <v>138267</v>
      </c>
      <c r="G20" t="n">
        <v>439753</v>
      </c>
      <c r="H20" t="inlineStr">
        <is>
          <t>7/1/2025</t>
        </is>
      </c>
    </row>
    <row r="21">
      <c r="A21" t="inlineStr">
        <is>
          <t>QUAIL RIDGE</t>
        </is>
      </c>
      <c r="B21" t="inlineStr">
        <is>
          <t>Approved</t>
        </is>
      </c>
      <c r="C21" t="n">
        <v>56.6</v>
      </c>
      <c r="D21" t="n">
        <v>915746</v>
      </c>
      <c r="E21" t="n">
        <v>1442952</v>
      </c>
      <c r="F21" t="n">
        <v>527206</v>
      </c>
      <c r="G21" t="n">
        <v>994832</v>
      </c>
      <c r="H21" t="inlineStr">
        <is>
          <t>7/1/2025</t>
        </is>
      </c>
    </row>
    <row r="22">
      <c r="A22" t="inlineStr">
        <is>
          <t>45865 MARIES ROAD</t>
        </is>
      </c>
      <c r="B22" t="inlineStr">
        <is>
          <t>Approved</t>
        </is>
      </c>
      <c r="C22" t="n">
        <v>9.9</v>
      </c>
      <c r="D22" t="n">
        <v>414900</v>
      </c>
      <c r="E22" t="n">
        <v>418548</v>
      </c>
      <c r="F22" t="n">
        <v>3648</v>
      </c>
      <c r="G22" t="n">
        <v>418900</v>
      </c>
      <c r="H22" t="inlineStr">
        <is>
          <t>7/1/2025</t>
        </is>
      </c>
    </row>
    <row r="23">
      <c r="A23" t="inlineStr">
        <is>
          <t>ALIGNED ENERGY</t>
        </is>
      </c>
      <c r="B23" t="inlineStr">
        <is>
          <t>Approved</t>
        </is>
      </c>
      <c r="C23" t="n">
        <v>10.2</v>
      </c>
      <c r="D23" t="n">
        <v>304166</v>
      </c>
      <c r="E23" t="n">
        <v>450000</v>
      </c>
      <c r="F23" t="n">
        <v>145834</v>
      </c>
      <c r="G23" t="n">
        <v>306227</v>
      </c>
      <c r="H23" t="inlineStr">
        <is>
          <t>7/1/2025</t>
        </is>
      </c>
    </row>
    <row r="24">
      <c r="A24" t="inlineStr">
        <is>
          <t>ARCOLA BUSINESS PARK</t>
        </is>
      </c>
      <c r="B24" t="inlineStr">
        <is>
          <t>Approved</t>
        </is>
      </c>
      <c r="C24" t="n">
        <v>64.8</v>
      </c>
      <c r="D24" t="n">
        <v>524465</v>
      </c>
      <c r="E24" t="n">
        <v>0</v>
      </c>
      <c r="F24" t="n">
        <v>0</v>
      </c>
      <c r="G24" t="n">
        <v>1009660</v>
      </c>
      <c r="H24" t="inlineStr">
        <is>
          <t>7/1/2025</t>
        </is>
      </c>
    </row>
    <row r="25">
      <c r="A25" t="inlineStr">
        <is>
          <t>ARCOLA GROVE COMMERCIAL</t>
        </is>
      </c>
      <c r="B25" t="inlineStr">
        <is>
          <t>Approved</t>
        </is>
      </c>
      <c r="C25" t="n">
        <v>23.6</v>
      </c>
      <c r="D25" t="n">
        <v>0</v>
      </c>
      <c r="E25" t="n">
        <v>614000</v>
      </c>
      <c r="F25" t="n">
        <v>614000</v>
      </c>
      <c r="G25" t="n">
        <v>614400</v>
      </c>
      <c r="H25" t="inlineStr">
        <is>
          <t>7/1/2025</t>
        </is>
      </c>
    </row>
    <row r="26">
      <c r="A26" t="inlineStr">
        <is>
          <t>ASHBURN CENTER NORTH</t>
        </is>
      </c>
      <c r="B26" t="inlineStr">
        <is>
          <t>Approved</t>
        </is>
      </c>
      <c r="C26" t="n">
        <v>26.2</v>
      </c>
      <c r="D26" t="n">
        <v>441383</v>
      </c>
      <c r="E26" t="n">
        <v>0</v>
      </c>
      <c r="F26" t="n">
        <v>0</v>
      </c>
      <c r="G26" t="n">
        <v>441383</v>
      </c>
      <c r="H26" t="inlineStr">
        <is>
          <t>7/1/2025</t>
        </is>
      </c>
    </row>
    <row r="27">
      <c r="A27" t="inlineStr">
        <is>
          <t>BROAD RUN BUSINESS CENTER</t>
        </is>
      </c>
      <c r="B27" t="inlineStr">
        <is>
          <t>Approved</t>
        </is>
      </c>
      <c r="C27" t="n">
        <v>51</v>
      </c>
      <c r="D27" t="n">
        <v>0</v>
      </c>
      <c r="E27" t="n">
        <v>0</v>
      </c>
      <c r="F27" t="n">
        <v>0</v>
      </c>
      <c r="G27" t="n">
        <v>611517</v>
      </c>
      <c r="H27" t="inlineStr">
        <is>
          <t>7/1/2025</t>
        </is>
      </c>
    </row>
    <row r="28">
      <c r="A28" t="inlineStr">
        <is>
          <t>ASHBURN CROSSING</t>
        </is>
      </c>
      <c r="B28" t="inlineStr">
        <is>
          <t>Approved</t>
        </is>
      </c>
      <c r="C28" t="n">
        <v>39.5</v>
      </c>
      <c r="D28" t="n">
        <v>447831</v>
      </c>
      <c r="E28" t="n">
        <v>1369422</v>
      </c>
      <c r="F28" t="n">
        <v>921591</v>
      </c>
      <c r="G28" t="n">
        <v>447831</v>
      </c>
      <c r="H28" t="inlineStr">
        <is>
          <t>7/1/2025</t>
        </is>
      </c>
    </row>
    <row r="29">
      <c r="A29" t="inlineStr">
        <is>
          <t>ASHBURN NEXUS/PROJECT VIPER</t>
        </is>
      </c>
      <c r="B29" t="inlineStr">
        <is>
          <t>Approved</t>
        </is>
      </c>
      <c r="C29" t="n">
        <v>19</v>
      </c>
      <c r="D29" t="n">
        <v>1995716</v>
      </c>
      <c r="E29" t="n">
        <v>2846461</v>
      </c>
      <c r="F29" t="n">
        <v>850745</v>
      </c>
      <c r="G29" t="n">
        <v>2609902</v>
      </c>
      <c r="H29" t="inlineStr">
        <is>
          <t>7/1/2025</t>
        </is>
      </c>
    </row>
    <row r="30">
      <c r="A30" t="inlineStr">
        <is>
          <t>CYRUSONE</t>
        </is>
      </c>
      <c r="B30" t="inlineStr">
        <is>
          <t>Approved</t>
        </is>
      </c>
      <c r="C30" t="n">
        <v>39.8</v>
      </c>
      <c r="D30" t="n">
        <v>225500</v>
      </c>
      <c r="E30" t="n">
        <v>1038383</v>
      </c>
      <c r="F30" t="n">
        <v>812883</v>
      </c>
      <c r="G30" t="n">
        <v>607504</v>
      </c>
      <c r="H30" t="inlineStr">
        <is>
          <t>7/1/2025</t>
        </is>
      </c>
    </row>
    <row r="31">
      <c r="A31" t="inlineStr">
        <is>
          <t>DIGITAL DULLES</t>
        </is>
      </c>
      <c r="B31" t="inlineStr">
        <is>
          <t>Approved</t>
        </is>
      </c>
      <c r="C31" t="n">
        <v>425.4</v>
      </c>
      <c r="D31" t="n">
        <v>2603391</v>
      </c>
      <c r="E31" t="n">
        <v>0</v>
      </c>
      <c r="F31" t="n">
        <v>0</v>
      </c>
      <c r="G31" t="n">
        <v>3385436</v>
      </c>
      <c r="H31" t="inlineStr">
        <is>
          <t>7/1/2025</t>
        </is>
      </c>
    </row>
    <row r="32">
      <c r="A32" t="inlineStr">
        <is>
          <t>HORSESHOE DRIVE</t>
        </is>
      </c>
      <c r="B32" t="inlineStr">
        <is>
          <t>Approved</t>
        </is>
      </c>
      <c r="C32" t="n">
        <v>11.1</v>
      </c>
      <c r="D32" t="n">
        <v>0</v>
      </c>
      <c r="E32" t="n">
        <v>290400</v>
      </c>
      <c r="F32" t="n">
        <v>290400</v>
      </c>
      <c r="G32" t="n">
        <v>0</v>
      </c>
      <c r="H32" t="inlineStr">
        <is>
          <t>7/1/2025</t>
        </is>
      </c>
    </row>
    <row r="33">
      <c r="A33" t="inlineStr">
        <is>
          <t xml:space="preserve">JK TECHNOLOGY PARK #2 </t>
        </is>
      </c>
      <c r="B33" t="inlineStr">
        <is>
          <t>Approved</t>
        </is>
      </c>
      <c r="C33" t="n">
        <v>19.9</v>
      </c>
      <c r="D33" t="n">
        <v>0</v>
      </c>
      <c r="E33" t="n">
        <v>868923</v>
      </c>
      <c r="F33" t="n">
        <v>868923</v>
      </c>
      <c r="G33" t="n">
        <v>0</v>
      </c>
      <c r="H33" t="inlineStr">
        <is>
          <t>7/1/2025</t>
        </is>
      </c>
    </row>
    <row r="34">
      <c r="A34" t="inlineStr">
        <is>
          <t>JK TECHNOLOGY PARK #3</t>
        </is>
      </c>
      <c r="B34" t="inlineStr">
        <is>
          <t>Approved</t>
        </is>
      </c>
      <c r="C34" t="n">
        <v>21.2</v>
      </c>
      <c r="D34" t="n">
        <v>0</v>
      </c>
      <c r="E34" t="n">
        <v>561866</v>
      </c>
      <c r="F34" t="n">
        <v>561866</v>
      </c>
      <c r="G34" t="n">
        <v>0</v>
      </c>
      <c r="H34" t="inlineStr">
        <is>
          <t>7/1/2025</t>
        </is>
      </c>
    </row>
    <row r="35">
      <c r="A35" t="inlineStr">
        <is>
          <t>LOUDOUN CENTER - WORLDCOM/UUNET</t>
        </is>
      </c>
      <c r="B35" t="inlineStr">
        <is>
          <t>Approved</t>
        </is>
      </c>
      <c r="C35" t="n">
        <v>31.1</v>
      </c>
      <c r="D35" t="n">
        <v>0</v>
      </c>
      <c r="E35" t="n">
        <v>0</v>
      </c>
      <c r="F35" t="n">
        <v>0</v>
      </c>
      <c r="G35" t="n">
        <v>463602</v>
      </c>
      <c r="H35" t="inlineStr">
        <is>
          <t>7/1/2025</t>
        </is>
      </c>
    </row>
    <row r="36">
      <c r="A36" t="inlineStr">
        <is>
          <t>VANTAGE DATA CENTER - STERLING</t>
        </is>
      </c>
      <c r="B36" t="inlineStr">
        <is>
          <t>Approved</t>
        </is>
      </c>
      <c r="C36" t="n">
        <v>18.5</v>
      </c>
      <c r="D36" t="n">
        <v>550453</v>
      </c>
      <c r="E36" t="n">
        <v>803085</v>
      </c>
      <c r="F36" t="n">
        <v>252632</v>
      </c>
      <c r="G36" t="n">
        <v>1229285</v>
      </c>
      <c r="H36" t="inlineStr">
        <is>
          <t>7/1/2025</t>
        </is>
      </c>
    </row>
    <row r="37">
      <c r="A37" t="inlineStr">
        <is>
          <t>VANTAGE DATA CENTER - VA3</t>
        </is>
      </c>
      <c r="B37" t="inlineStr">
        <is>
          <t>Approved</t>
        </is>
      </c>
      <c r="C37" t="n">
        <v>133.7</v>
      </c>
      <c r="D37" t="n">
        <v>0</v>
      </c>
      <c r="E37" t="n">
        <v>0</v>
      </c>
      <c r="F37" t="n">
        <v>0</v>
      </c>
      <c r="G37" t="n">
        <v>2327448</v>
      </c>
      <c r="H37" t="inlineStr">
        <is>
          <t>7/1/2025</t>
        </is>
      </c>
    </row>
    <row r="38">
      <c r="A38" t="inlineStr">
        <is>
          <t>WATERSIDE NORTH</t>
        </is>
      </c>
      <c r="B38" t="inlineStr">
        <is>
          <t>Approved</t>
        </is>
      </c>
      <c r="C38" t="n">
        <v>79.5</v>
      </c>
      <c r="D38" t="n">
        <v>976076</v>
      </c>
      <c r="E38" t="n">
        <v>1027387</v>
      </c>
      <c r="F38" t="n">
        <v>51311</v>
      </c>
      <c r="G38" t="n">
        <v>993651</v>
      </c>
      <c r="H38" t="inlineStr">
        <is>
          <t>7/1/2025</t>
        </is>
      </c>
    </row>
    <row r="39">
      <c r="A39" t="inlineStr">
        <is>
          <t>EDGECORE DULLES</t>
        </is>
      </c>
      <c r="B39" t="inlineStr">
        <is>
          <t>Approved</t>
        </is>
      </c>
      <c r="C39" t="n">
        <v>36.8</v>
      </c>
      <c r="D39" t="n">
        <v>776148</v>
      </c>
      <c r="E39" t="n">
        <v>961841</v>
      </c>
      <c r="F39" t="n">
        <v>185693</v>
      </c>
      <c r="G39" t="n">
        <v>790021</v>
      </c>
      <c r="H39" t="inlineStr">
        <is>
          <t>7/1/2025</t>
        </is>
      </c>
    </row>
    <row r="40">
      <c r="A40" t="inlineStr">
        <is>
          <t>H&amp;M PROPERTY</t>
        </is>
      </c>
      <c r="B40" t="inlineStr">
        <is>
          <t>Approved</t>
        </is>
      </c>
      <c r="C40" t="n">
        <v>82.2</v>
      </c>
      <c r="D40" t="n">
        <v>777556</v>
      </c>
      <c r="E40" t="n">
        <v>2499324</v>
      </c>
      <c r="F40" t="n">
        <v>1721768</v>
      </c>
      <c r="G40" t="n">
        <v>1314000</v>
      </c>
      <c r="H40" t="inlineStr">
        <is>
          <t>7/1/2025</t>
        </is>
      </c>
    </row>
    <row r="41">
      <c r="A41" t="inlineStr">
        <is>
          <t>JK TECHNOLOGY PARK #1</t>
        </is>
      </c>
      <c r="B41" t="inlineStr">
        <is>
          <t>Approved</t>
        </is>
      </c>
      <c r="C41" t="n">
        <v>71.3</v>
      </c>
      <c r="D41" t="n">
        <v>0</v>
      </c>
      <c r="E41" t="n">
        <v>2825905</v>
      </c>
      <c r="F41" t="n">
        <v>2825905</v>
      </c>
      <c r="G41" t="n">
        <v>0</v>
      </c>
      <c r="H41" t="inlineStr">
        <is>
          <t>7/1/2025</t>
        </is>
      </c>
    </row>
    <row r="42">
      <c r="A42" t="inlineStr">
        <is>
          <t>LOUDOUN COMMERCE CENTER</t>
        </is>
      </c>
      <c r="B42" t="inlineStr">
        <is>
          <t>Approved</t>
        </is>
      </c>
      <c r="C42" t="n">
        <v>14.3</v>
      </c>
      <c r="D42" t="n">
        <v>0</v>
      </c>
      <c r="E42" t="n">
        <v>377520</v>
      </c>
      <c r="F42" t="n">
        <v>377520</v>
      </c>
      <c r="G42" t="n">
        <v>0</v>
      </c>
      <c r="H42" t="inlineStr">
        <is>
          <t>7/1/2025</t>
        </is>
      </c>
    </row>
    <row r="43">
      <c r="A43" t="inlineStr">
        <is>
          <t>MID DULLES CENTER</t>
        </is>
      </c>
      <c r="B43" t="inlineStr">
        <is>
          <t>Approved</t>
        </is>
      </c>
      <c r="C43" t="n">
        <v>11.2</v>
      </c>
      <c r="D43" t="n">
        <v>0</v>
      </c>
      <c r="E43" t="n">
        <v>649741</v>
      </c>
      <c r="F43" t="n">
        <v>649741</v>
      </c>
      <c r="G43" t="n">
        <v>0</v>
      </c>
      <c r="H43" t="inlineStr">
        <is>
          <t>7/1/2025</t>
        </is>
      </c>
    </row>
    <row r="44">
      <c r="A44" t="inlineStr">
        <is>
          <t>PACIFIC CORPORATE PARK</t>
        </is>
      </c>
      <c r="B44" t="inlineStr">
        <is>
          <t>Approved</t>
        </is>
      </c>
      <c r="C44" t="n">
        <v>47.6</v>
      </c>
      <c r="D44" t="n">
        <v>220000</v>
      </c>
      <c r="E44" t="n">
        <v>1131135</v>
      </c>
      <c r="F44" t="n">
        <v>911135</v>
      </c>
      <c r="G44" t="n">
        <v>1131197</v>
      </c>
      <c r="H44" t="inlineStr">
        <is>
          <t>7/1/2025</t>
        </is>
      </c>
    </row>
    <row r="45">
      <c r="A45" t="inlineStr">
        <is>
          <t>PROLOGIS NOVA 1</t>
        </is>
      </c>
      <c r="B45" t="inlineStr">
        <is>
          <t>Approved</t>
        </is>
      </c>
      <c r="C45" t="n">
        <v>19.5</v>
      </c>
      <c r="D45" t="n">
        <v>243908</v>
      </c>
      <c r="E45" t="n">
        <v>509780</v>
      </c>
      <c r="F45" t="n">
        <v>265872</v>
      </c>
      <c r="G45" t="n">
        <v>257070</v>
      </c>
      <c r="H45" t="inlineStr">
        <is>
          <t>7/1/2025</t>
        </is>
      </c>
    </row>
    <row r="46">
      <c r="A46" t="inlineStr">
        <is>
          <t>STONEWALL SECURE BUSINESS PARK (LOUDOUN WEST)</t>
        </is>
      </c>
      <c r="B46" t="inlineStr">
        <is>
          <t>Approved</t>
        </is>
      </c>
      <c r="C46" t="n">
        <v>94.90000000000001</v>
      </c>
      <c r="D46" t="n">
        <v>1475351</v>
      </c>
      <c r="E46" t="n">
        <v>2479784</v>
      </c>
      <c r="F46" t="n">
        <v>1004433</v>
      </c>
      <c r="G46" t="n">
        <v>1934751</v>
      </c>
      <c r="H46" t="inlineStr">
        <is>
          <t>7/1/2025</t>
        </is>
      </c>
    </row>
    <row r="47">
      <c r="A47" t="inlineStr">
        <is>
          <t>STONEWALL SECURE BUSINESS PARK (PROJECT KALE)</t>
        </is>
      </c>
      <c r="B47" t="inlineStr">
        <is>
          <t>Approved</t>
        </is>
      </c>
      <c r="C47" t="n">
        <v>57.9</v>
      </c>
      <c r="D47" t="n">
        <v>729106</v>
      </c>
      <c r="E47" t="n">
        <v>2738879</v>
      </c>
      <c r="F47" t="n">
        <v>2009773</v>
      </c>
      <c r="G47" t="n">
        <v>784256</v>
      </c>
      <c r="H47" t="inlineStr">
        <is>
          <t>7/1/2025</t>
        </is>
      </c>
    </row>
    <row r="48">
      <c r="A48" t="inlineStr">
        <is>
          <t>INOVA HEALTH SYSTEM PLAN</t>
        </is>
      </c>
      <c r="B48" t="inlineStr">
        <is>
          <t>Approved</t>
        </is>
      </c>
      <c r="C48" t="n">
        <v>89.2</v>
      </c>
      <c r="D48" t="n">
        <v>429213</v>
      </c>
      <c r="E48" t="n">
        <v>602273</v>
      </c>
      <c r="F48" t="n">
        <v>173060</v>
      </c>
      <c r="G48" t="n">
        <v>429241</v>
      </c>
      <c r="H48" t="inlineStr">
        <is>
          <t>7/1/2025</t>
        </is>
      </c>
    </row>
    <row r="49">
      <c r="A49" t="inlineStr">
        <is>
          <t>ASHBURN TECHNOLOGY PARK</t>
        </is>
      </c>
      <c r="B49" t="inlineStr">
        <is>
          <t>Approved</t>
        </is>
      </c>
      <c r="C49" t="n">
        <v>80.2</v>
      </c>
      <c r="D49" t="n">
        <v>730691</v>
      </c>
      <c r="E49" t="n">
        <v>893999</v>
      </c>
      <c r="F49" t="n">
        <v>163308</v>
      </c>
      <c r="G49" t="n">
        <v>2068151</v>
      </c>
      <c r="H49" t="inlineStr">
        <is>
          <t>7/1/2025</t>
        </is>
      </c>
    </row>
    <row r="50">
      <c r="A50" t="inlineStr">
        <is>
          <t>DULLES 28 TECHNOLOGY PARK</t>
        </is>
      </c>
      <c r="B50" t="inlineStr">
        <is>
          <t>Approved</t>
        </is>
      </c>
      <c r="C50" t="n">
        <v>38.9</v>
      </c>
      <c r="D50" t="n">
        <v>508318</v>
      </c>
      <c r="E50" t="n">
        <v>531060</v>
      </c>
      <c r="F50" t="n">
        <v>22742</v>
      </c>
      <c r="G50" t="n">
        <v>528030</v>
      </c>
      <c r="H50" t="inlineStr">
        <is>
          <t>7/1/2025</t>
        </is>
      </c>
    </row>
    <row r="51">
      <c r="A51" t="inlineStr">
        <is>
          <t>ICSP @ EASTGATE</t>
        </is>
      </c>
      <c r="B51" t="inlineStr">
        <is>
          <t>Approved</t>
        </is>
      </c>
      <c r="C51" t="n">
        <v>51.3</v>
      </c>
      <c r="D51" t="n">
        <v>774442</v>
      </c>
      <c r="E51" t="n">
        <v>926071</v>
      </c>
      <c r="F51" t="n">
        <v>151629</v>
      </c>
      <c r="G51" t="n">
        <v>780101</v>
      </c>
      <c r="H51" t="inlineStr">
        <is>
          <t>7/1/2025</t>
        </is>
      </c>
    </row>
    <row r="52">
      <c r="A52" t="inlineStr">
        <is>
          <t>EVERGREEN COMMERCE CENTER</t>
        </is>
      </c>
      <c r="B52" t="inlineStr">
        <is>
          <t>Approved</t>
        </is>
      </c>
      <c r="C52" t="n">
        <v>21</v>
      </c>
      <c r="D52" t="n">
        <v>13801</v>
      </c>
      <c r="E52" t="n">
        <v>0</v>
      </c>
      <c r="F52" t="n">
        <v>0</v>
      </c>
      <c r="G52" t="n">
        <v>15000</v>
      </c>
      <c r="H52" t="inlineStr">
        <is>
          <t>7/1/2025</t>
        </is>
      </c>
    </row>
    <row r="53">
      <c r="A53" t="inlineStr">
        <is>
          <t>PROJECT ALLEGRO SOUTH CAMPUS</t>
        </is>
      </c>
      <c r="B53" t="inlineStr">
        <is>
          <t>Completed</t>
        </is>
      </c>
      <c r="C53" t="n">
        <v>39.9</v>
      </c>
      <c r="D53" t="n">
        <v>333000</v>
      </c>
      <c r="E53" t="n">
        <v>0</v>
      </c>
      <c r="F53" t="n">
        <v>0</v>
      </c>
      <c r="G53" t="n">
        <v>333000</v>
      </c>
      <c r="H53" t="inlineStr">
        <is>
          <t>7/1/2025</t>
        </is>
      </c>
    </row>
    <row r="54">
      <c r="A54" t="inlineStr">
        <is>
          <t>STONEWALL SECURE BUSINESS PARK (PROJECT ASPEN)</t>
        </is>
      </c>
      <c r="B54" t="inlineStr">
        <is>
          <t>Approved</t>
        </is>
      </c>
      <c r="C54" t="n">
        <v>61.2</v>
      </c>
      <c r="D54" t="n">
        <v>170930</v>
      </c>
      <c r="E54" t="n">
        <v>1066348</v>
      </c>
      <c r="F54" t="n">
        <v>895418</v>
      </c>
      <c r="G54" t="n">
        <v>356220</v>
      </c>
      <c r="H54" t="inlineStr">
        <is>
          <t>7/1/2025</t>
        </is>
      </c>
    </row>
    <row r="55">
      <c r="A55" t="inlineStr">
        <is>
          <t>ASHBURN EAST</t>
        </is>
      </c>
      <c r="B55" t="inlineStr">
        <is>
          <t>Approved</t>
        </is>
      </c>
      <c r="C55" t="n">
        <v>19.9</v>
      </c>
      <c r="D55" t="n">
        <v>0</v>
      </c>
      <c r="E55" t="n">
        <v>0</v>
      </c>
      <c r="F55" t="n">
        <v>0</v>
      </c>
      <c r="G55" t="n">
        <v>139000</v>
      </c>
      <c r="H55" t="inlineStr">
        <is>
          <t>7/1/2025</t>
        </is>
      </c>
    </row>
    <row r="56">
      <c r="A56" t="inlineStr">
        <is>
          <t>VANTAGE DATA CENTER - BROAD RUN</t>
        </is>
      </c>
      <c r="B56" t="inlineStr">
        <is>
          <t>Approved</t>
        </is>
      </c>
      <c r="C56" t="n">
        <v>9.800000000000001</v>
      </c>
      <c r="D56" t="n">
        <v>191952</v>
      </c>
      <c r="E56" t="n">
        <v>256132</v>
      </c>
      <c r="F56" t="n">
        <v>64180</v>
      </c>
      <c r="G56" t="n">
        <v>255964</v>
      </c>
      <c r="H56" t="inlineStr">
        <is>
          <t>7/1/2025</t>
        </is>
      </c>
    </row>
    <row r="57">
      <c r="A57" t="inlineStr">
        <is>
          <t>GREENLIN PARK</t>
        </is>
      </c>
      <c r="B57" t="inlineStr">
        <is>
          <t>Approved</t>
        </is>
      </c>
      <c r="C57" t="n">
        <v>83.7</v>
      </c>
      <c r="D57" t="n">
        <v>0</v>
      </c>
      <c r="E57" t="n">
        <v>1414440</v>
      </c>
      <c r="F57" t="n">
        <v>1414440</v>
      </c>
      <c r="G57" t="n">
        <v>0</v>
      </c>
      <c r="H57" t="inlineStr">
        <is>
          <t>7/1/2025</t>
        </is>
      </c>
    </row>
    <row r="58">
      <c r="A58" t="inlineStr">
        <is>
          <t>LOUDOUN METRO</t>
        </is>
      </c>
      <c r="B58" t="inlineStr">
        <is>
          <t>Approved</t>
        </is>
      </c>
      <c r="C58" t="n">
        <v>140.3</v>
      </c>
      <c r="D58" t="n">
        <v>0</v>
      </c>
      <c r="E58" t="n">
        <v>2277313</v>
      </c>
      <c r="F58" t="n">
        <v>2277313</v>
      </c>
      <c r="G58" t="n">
        <v>2104983</v>
      </c>
      <c r="H58" t="inlineStr">
        <is>
          <t>7/1/2025</t>
        </is>
      </c>
    </row>
    <row r="59">
      <c r="A59" t="inlineStr">
        <is>
          <t>1501 MORAN ROAD</t>
        </is>
      </c>
      <c r="B59" t="inlineStr">
        <is>
          <t>Approved</t>
        </is>
      </c>
      <c r="C59" t="n">
        <v>17.8</v>
      </c>
      <c r="D59" t="n">
        <v>0</v>
      </c>
      <c r="E59" t="n">
        <v>326920</v>
      </c>
      <c r="F59" t="n">
        <v>326920</v>
      </c>
      <c r="G59" t="n">
        <v>0</v>
      </c>
      <c r="H59" t="inlineStr">
        <is>
          <t>7/1/2025</t>
        </is>
      </c>
    </row>
    <row r="60">
      <c r="A60" t="inlineStr">
        <is>
          <t>FIREFOX DULLES</t>
        </is>
      </c>
      <c r="B60" t="inlineStr">
        <is>
          <t>Approved</t>
        </is>
      </c>
      <c r="C60" t="n">
        <v>18.1</v>
      </c>
      <c r="D60" t="n">
        <v>0</v>
      </c>
      <c r="E60" t="n">
        <v>375000</v>
      </c>
      <c r="F60" t="n">
        <v>375000</v>
      </c>
      <c r="G60" t="n">
        <v>0</v>
      </c>
      <c r="H60" t="inlineStr">
        <is>
          <t>7/1/2025</t>
        </is>
      </c>
    </row>
    <row r="61">
      <c r="A61" t="inlineStr">
        <is>
          <t>BELMONT INNOVATION STATION</t>
        </is>
      </c>
      <c r="B61" t="inlineStr">
        <is>
          <t>Approved</t>
        </is>
      </c>
      <c r="C61" t="n">
        <v>111.4</v>
      </c>
      <c r="D61" t="n">
        <v>0</v>
      </c>
      <c r="E61" t="n">
        <v>1320723</v>
      </c>
      <c r="F61" t="n">
        <v>1320723</v>
      </c>
      <c r="G61" t="n">
        <v>0</v>
      </c>
      <c r="H61" t="inlineStr">
        <is>
          <t>7/1/2025</t>
        </is>
      </c>
    </row>
    <row r="62">
      <c r="A62" t="inlineStr">
        <is>
          <t>COMMONWEALTH CENTER</t>
        </is>
      </c>
      <c r="B62" t="inlineStr">
        <is>
          <t>Approved</t>
        </is>
      </c>
      <c r="C62" t="n">
        <v>188.9</v>
      </c>
      <c r="D62" t="n">
        <v>0</v>
      </c>
      <c r="E62" t="n">
        <v>0</v>
      </c>
      <c r="F62" t="n">
        <v>0</v>
      </c>
      <c r="G62" t="n">
        <v>362590</v>
      </c>
      <c r="H62" t="inlineStr">
        <is>
          <t>7/1/2025</t>
        </is>
      </c>
    </row>
  </sheetData>
  <autoFilter ref="A1:H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2026-10-15T22:00:18Z</dcterms:created>
  <dcterms:modified xmlns:dcterms="http://purl.org/dc/terms/" xmlns:xsi="http://www.w3.org/2001/XMLSchema-instance" xsi:type="dcterms:W3CDTF">2026-10-15T22:00:18Z</dcterms:modified>
</cp:coreProperties>
</file>